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63427\Desktop\Code\鋼床鈑\Steeldeckgirder\test\"/>
    </mc:Choice>
  </mc:AlternateContent>
  <xr:revisionPtr revIDLastSave="0" documentId="13_ncr:1_{0D559DB0-9DC2-43C7-B50A-D90B4F3458B2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鋼床鈑" sheetId="1" r:id="rId1"/>
    <sheet name="加勁鈑" sheetId="2" r:id="rId2"/>
    <sheet name="斷面性質" sheetId="3" r:id="rId3"/>
    <sheet name="FV檢討" sheetId="5" r:id="rId4"/>
  </sheets>
  <definedNames>
    <definedName name="底版加勁鈑配置" localSheetId="3">FV檢討!#REF!</definedName>
    <definedName name="底版加勁鈑配置">鋼床鈑!$AE:$AJ</definedName>
    <definedName name="頂版加勁鈑配置" localSheetId="3">FV檢討!#REF!</definedName>
    <definedName name="頂版加勁鈑配置">鋼床鈑!$Y:$AD</definedName>
    <definedName name="斷面參數" localSheetId="3">FV檢討!$C:$M</definedName>
    <definedName name="斷面參數">鋼床鈑!$L:$X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" i="5" l="1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3" i="5"/>
  <c r="W5" i="5" l="1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3" i="5"/>
  <c r="W4" i="5"/>
  <c r="R14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3" i="5"/>
  <c r="P4" i="5"/>
  <c r="R4" i="5" s="1"/>
  <c r="P5" i="5"/>
  <c r="R5" i="5" s="1"/>
  <c r="P6" i="5"/>
  <c r="R6" i="5" s="1"/>
  <c r="P7" i="5"/>
  <c r="R7" i="5" s="1"/>
  <c r="P8" i="5"/>
  <c r="R8" i="5" s="1"/>
  <c r="P9" i="5"/>
  <c r="R9" i="5" s="1"/>
  <c r="P10" i="5"/>
  <c r="R10" i="5" s="1"/>
  <c r="P11" i="5"/>
  <c r="R11" i="5" s="1"/>
  <c r="P12" i="5"/>
  <c r="R12" i="5" s="1"/>
  <c r="P13" i="5"/>
  <c r="R13" i="5" s="1"/>
  <c r="P14" i="5"/>
  <c r="R14" i="5" s="1"/>
  <c r="P15" i="5"/>
  <c r="R15" i="5" s="1"/>
  <c r="P16" i="5"/>
  <c r="R16" i="5" s="1"/>
  <c r="P17" i="5"/>
  <c r="R17" i="5" s="1"/>
  <c r="P18" i="5"/>
  <c r="R18" i="5" s="1"/>
  <c r="P19" i="5"/>
  <c r="R19" i="5" s="1"/>
  <c r="P20" i="5"/>
  <c r="R20" i="5" s="1"/>
  <c r="P21" i="5"/>
  <c r="R21" i="5" s="1"/>
  <c r="P22" i="5"/>
  <c r="R22" i="5" s="1"/>
  <c r="P23" i="5"/>
  <c r="R23" i="5" s="1"/>
  <c r="P24" i="5"/>
  <c r="R24" i="5" s="1"/>
  <c r="P25" i="5"/>
  <c r="R25" i="5" s="1"/>
  <c r="P26" i="5"/>
  <c r="R26" i="5" s="1"/>
  <c r="P27" i="5"/>
  <c r="R27" i="5" s="1"/>
  <c r="P28" i="5"/>
  <c r="R28" i="5" s="1"/>
  <c r="P29" i="5"/>
  <c r="R29" i="5" s="1"/>
  <c r="P30" i="5"/>
  <c r="R30" i="5" s="1"/>
  <c r="P31" i="5"/>
  <c r="R31" i="5" s="1"/>
  <c r="P32" i="5"/>
  <c r="R32" i="5" s="1"/>
  <c r="P33" i="5"/>
  <c r="R33" i="5" s="1"/>
  <c r="P34" i="5"/>
  <c r="R34" i="5" s="1"/>
  <c r="P35" i="5"/>
  <c r="R35" i="5" s="1"/>
  <c r="P36" i="5"/>
  <c r="R36" i="5" s="1"/>
  <c r="P37" i="5"/>
  <c r="R37" i="5" s="1"/>
  <c r="P38" i="5"/>
  <c r="R38" i="5" s="1"/>
  <c r="P39" i="5"/>
  <c r="R39" i="5" s="1"/>
  <c r="P40" i="5"/>
  <c r="R40" i="5" s="1"/>
  <c r="P41" i="5"/>
  <c r="R41" i="5" s="1"/>
  <c r="P42" i="5"/>
  <c r="R42" i="5" s="1"/>
  <c r="P43" i="5"/>
  <c r="R43" i="5" s="1"/>
  <c r="P44" i="5"/>
  <c r="R44" i="5" s="1"/>
  <c r="P45" i="5"/>
  <c r="R45" i="5" s="1"/>
  <c r="P46" i="5"/>
  <c r="R46" i="5" s="1"/>
  <c r="P47" i="5"/>
  <c r="R47" i="5" s="1"/>
  <c r="P48" i="5"/>
  <c r="R48" i="5" s="1"/>
  <c r="P49" i="5"/>
  <c r="R49" i="5" s="1"/>
  <c r="P50" i="5"/>
  <c r="R50" i="5" s="1"/>
  <c r="P51" i="5"/>
  <c r="R51" i="5" s="1"/>
  <c r="P52" i="5"/>
  <c r="R52" i="5" s="1"/>
  <c r="P53" i="5"/>
  <c r="R53" i="5" s="1"/>
  <c r="P54" i="5"/>
  <c r="R54" i="5" s="1"/>
  <c r="P55" i="5"/>
  <c r="R55" i="5" s="1"/>
  <c r="P56" i="5"/>
  <c r="R56" i="5" s="1"/>
  <c r="P57" i="5"/>
  <c r="R57" i="5" s="1"/>
  <c r="P58" i="5"/>
  <c r="R58" i="5" s="1"/>
  <c r="P59" i="5"/>
  <c r="R59" i="5" s="1"/>
  <c r="P60" i="5"/>
  <c r="R60" i="5" s="1"/>
  <c r="P61" i="5"/>
  <c r="R61" i="5" s="1"/>
  <c r="P62" i="5"/>
  <c r="R62" i="5" s="1"/>
  <c r="P63" i="5"/>
  <c r="R63" i="5" s="1"/>
  <c r="P64" i="5"/>
  <c r="R64" i="5" s="1"/>
  <c r="P65" i="5"/>
  <c r="R65" i="5" s="1"/>
  <c r="P66" i="5"/>
  <c r="R66" i="5" s="1"/>
  <c r="P67" i="5"/>
  <c r="R67" i="5" s="1"/>
  <c r="P68" i="5"/>
  <c r="R68" i="5" s="1"/>
  <c r="P69" i="5"/>
  <c r="R69" i="5" s="1"/>
  <c r="P70" i="5"/>
  <c r="R70" i="5" s="1"/>
  <c r="P71" i="5"/>
  <c r="R71" i="5" s="1"/>
  <c r="P72" i="5"/>
  <c r="R72" i="5" s="1"/>
  <c r="P73" i="5"/>
  <c r="R73" i="5" s="1"/>
  <c r="P74" i="5"/>
  <c r="R74" i="5" s="1"/>
  <c r="P75" i="5"/>
  <c r="R75" i="5" s="1"/>
  <c r="P76" i="5"/>
  <c r="R76" i="5" s="1"/>
  <c r="P77" i="5"/>
  <c r="R77" i="5" s="1"/>
  <c r="P78" i="5"/>
  <c r="R78" i="5" s="1"/>
  <c r="P79" i="5"/>
  <c r="R79" i="5" s="1"/>
  <c r="P80" i="5"/>
  <c r="R80" i="5" s="1"/>
  <c r="P81" i="5"/>
  <c r="R81" i="5" s="1"/>
  <c r="P82" i="5"/>
  <c r="R82" i="5" s="1"/>
  <c r="P83" i="5"/>
  <c r="R83" i="5" s="1"/>
  <c r="P84" i="5"/>
  <c r="R84" i="5" s="1"/>
  <c r="P85" i="5"/>
  <c r="R85" i="5" s="1"/>
  <c r="P86" i="5"/>
  <c r="R86" i="5" s="1"/>
  <c r="P87" i="5"/>
  <c r="R87" i="5" s="1"/>
  <c r="P88" i="5"/>
  <c r="R88" i="5" s="1"/>
  <c r="P89" i="5"/>
  <c r="R89" i="5" s="1"/>
  <c r="P90" i="5"/>
  <c r="R90" i="5" s="1"/>
  <c r="P91" i="5"/>
  <c r="R91" i="5" s="1"/>
  <c r="P92" i="5"/>
  <c r="R92" i="5" s="1"/>
  <c r="P93" i="5"/>
  <c r="R93" i="5" s="1"/>
  <c r="P94" i="5"/>
  <c r="R94" i="5" s="1"/>
  <c r="P95" i="5"/>
  <c r="R95" i="5" s="1"/>
  <c r="P96" i="5"/>
  <c r="R96" i="5" s="1"/>
  <c r="P97" i="5"/>
  <c r="R97" i="5" s="1"/>
  <c r="P98" i="5"/>
  <c r="R98" i="5" s="1"/>
  <c r="P99" i="5"/>
  <c r="R99" i="5" s="1"/>
  <c r="P100" i="5"/>
  <c r="R100" i="5" s="1"/>
  <c r="P101" i="5"/>
  <c r="R101" i="5" s="1"/>
  <c r="P102" i="5"/>
  <c r="R102" i="5" s="1"/>
  <c r="P103" i="5"/>
  <c r="R103" i="5" s="1"/>
  <c r="P104" i="5"/>
  <c r="R104" i="5" s="1"/>
  <c r="P105" i="5"/>
  <c r="R105" i="5" s="1"/>
  <c r="P106" i="5"/>
  <c r="R106" i="5" s="1"/>
  <c r="P107" i="5"/>
  <c r="R107" i="5" s="1"/>
  <c r="P108" i="5"/>
  <c r="R108" i="5" s="1"/>
  <c r="P109" i="5"/>
  <c r="R109" i="5" s="1"/>
  <c r="P110" i="5"/>
  <c r="R110" i="5" s="1"/>
  <c r="P111" i="5"/>
  <c r="R111" i="5" s="1"/>
  <c r="P112" i="5"/>
  <c r="R112" i="5" s="1"/>
  <c r="P113" i="5"/>
  <c r="R113" i="5" s="1"/>
  <c r="P114" i="5"/>
  <c r="R114" i="5" s="1"/>
  <c r="P115" i="5"/>
  <c r="R115" i="5" s="1"/>
  <c r="P116" i="5"/>
  <c r="R116" i="5" s="1"/>
  <c r="P117" i="5"/>
  <c r="R117" i="5" s="1"/>
  <c r="P118" i="5"/>
  <c r="R118" i="5" s="1"/>
  <c r="P119" i="5"/>
  <c r="R119" i="5" s="1"/>
  <c r="P120" i="5"/>
  <c r="R120" i="5" s="1"/>
  <c r="P121" i="5"/>
  <c r="R121" i="5" s="1"/>
  <c r="P122" i="5"/>
  <c r="R122" i="5" s="1"/>
  <c r="P123" i="5"/>
  <c r="R123" i="5" s="1"/>
  <c r="P124" i="5"/>
  <c r="R124" i="5" s="1"/>
  <c r="P125" i="5"/>
  <c r="R125" i="5" s="1"/>
  <c r="P126" i="5"/>
  <c r="R126" i="5" s="1"/>
  <c r="P127" i="5"/>
  <c r="R127" i="5" s="1"/>
  <c r="P128" i="5"/>
  <c r="R128" i="5" s="1"/>
  <c r="P129" i="5"/>
  <c r="R129" i="5" s="1"/>
  <c r="P130" i="5"/>
  <c r="R130" i="5" s="1"/>
  <c r="P131" i="5"/>
  <c r="R131" i="5" s="1"/>
  <c r="P132" i="5"/>
  <c r="R132" i="5" s="1"/>
  <c r="P133" i="5"/>
  <c r="R133" i="5" s="1"/>
  <c r="P134" i="5"/>
  <c r="R134" i="5" s="1"/>
  <c r="P135" i="5"/>
  <c r="R135" i="5" s="1"/>
  <c r="P136" i="5"/>
  <c r="R136" i="5" s="1"/>
  <c r="P137" i="5"/>
  <c r="R137" i="5" s="1"/>
  <c r="P138" i="5"/>
  <c r="R138" i="5" s="1"/>
  <c r="P139" i="5"/>
  <c r="R139" i="5" s="1"/>
  <c r="P140" i="5"/>
  <c r="R140" i="5" s="1"/>
  <c r="P141" i="5"/>
  <c r="R141" i="5" s="1"/>
  <c r="P142" i="5"/>
  <c r="R142" i="5" s="1"/>
  <c r="P143" i="5"/>
  <c r="P144" i="5"/>
  <c r="R144" i="5" s="1"/>
  <c r="P145" i="5"/>
  <c r="R145" i="5" s="1"/>
  <c r="P146" i="5"/>
  <c r="R146" i="5" s="1"/>
  <c r="P147" i="5"/>
  <c r="R147" i="5" s="1"/>
  <c r="P148" i="5"/>
  <c r="R148" i="5" s="1"/>
  <c r="P149" i="5"/>
  <c r="R149" i="5" s="1"/>
  <c r="P150" i="5"/>
  <c r="R150" i="5" s="1"/>
  <c r="P151" i="5"/>
  <c r="R151" i="5" s="1"/>
  <c r="P152" i="5"/>
  <c r="R152" i="5" s="1"/>
  <c r="P153" i="5"/>
  <c r="R153" i="5" s="1"/>
  <c r="P154" i="5"/>
  <c r="R154" i="5" s="1"/>
  <c r="P155" i="5"/>
  <c r="R155" i="5" s="1"/>
  <c r="P156" i="5"/>
  <c r="R156" i="5" s="1"/>
  <c r="P157" i="5"/>
  <c r="R157" i="5" s="1"/>
  <c r="P158" i="5"/>
  <c r="R158" i="5" s="1"/>
  <c r="P159" i="5"/>
  <c r="R159" i="5" s="1"/>
  <c r="P160" i="5"/>
  <c r="R160" i="5" s="1"/>
  <c r="P161" i="5"/>
  <c r="R161" i="5" s="1"/>
  <c r="P162" i="5"/>
  <c r="R162" i="5" s="1"/>
  <c r="P163" i="5"/>
  <c r="R163" i="5" s="1"/>
  <c r="P164" i="5"/>
  <c r="R164" i="5" s="1"/>
  <c r="P165" i="5"/>
  <c r="R165" i="5" s="1"/>
  <c r="P166" i="5"/>
  <c r="R166" i="5" s="1"/>
  <c r="P167" i="5"/>
  <c r="R167" i="5" s="1"/>
  <c r="P168" i="5"/>
  <c r="R168" i="5" s="1"/>
  <c r="P169" i="5"/>
  <c r="R169" i="5" s="1"/>
  <c r="P170" i="5"/>
  <c r="R170" i="5" s="1"/>
  <c r="P171" i="5"/>
  <c r="R171" i="5" s="1"/>
  <c r="P172" i="5"/>
  <c r="R172" i="5" s="1"/>
  <c r="P173" i="5"/>
  <c r="R173" i="5" s="1"/>
  <c r="P174" i="5"/>
  <c r="R174" i="5" s="1"/>
  <c r="P175" i="5"/>
  <c r="R175" i="5" s="1"/>
  <c r="P176" i="5"/>
  <c r="R176" i="5" s="1"/>
  <c r="P177" i="5"/>
  <c r="R177" i="5" s="1"/>
  <c r="P178" i="5"/>
  <c r="R178" i="5" s="1"/>
  <c r="P179" i="5"/>
  <c r="R179" i="5" s="1"/>
  <c r="P180" i="5"/>
  <c r="R180" i="5" s="1"/>
  <c r="P181" i="5"/>
  <c r="R181" i="5" s="1"/>
  <c r="P182" i="5"/>
  <c r="R182" i="5" s="1"/>
  <c r="P183" i="5"/>
  <c r="R183" i="5" s="1"/>
  <c r="P184" i="5"/>
  <c r="R184" i="5" s="1"/>
  <c r="P185" i="5"/>
  <c r="R185" i="5" s="1"/>
  <c r="P186" i="5"/>
  <c r="R186" i="5" s="1"/>
  <c r="P187" i="5"/>
  <c r="R187" i="5" s="1"/>
  <c r="P188" i="5"/>
  <c r="R188" i="5" s="1"/>
  <c r="P189" i="5"/>
  <c r="R189" i="5" s="1"/>
  <c r="P190" i="5"/>
  <c r="R190" i="5" s="1"/>
  <c r="P191" i="5"/>
  <c r="R191" i="5" s="1"/>
  <c r="P192" i="5"/>
  <c r="R192" i="5" s="1"/>
  <c r="P193" i="5"/>
  <c r="R193" i="5" s="1"/>
  <c r="P194" i="5"/>
  <c r="R194" i="5" s="1"/>
  <c r="P195" i="5"/>
  <c r="R195" i="5" s="1"/>
  <c r="P196" i="5"/>
  <c r="R196" i="5" s="1"/>
  <c r="P197" i="5"/>
  <c r="R197" i="5" s="1"/>
  <c r="P198" i="5"/>
  <c r="R198" i="5" s="1"/>
  <c r="P199" i="5"/>
  <c r="R199" i="5" s="1"/>
  <c r="P200" i="5"/>
  <c r="R200" i="5" s="1"/>
  <c r="P201" i="5"/>
  <c r="R201" i="5" s="1"/>
  <c r="P202" i="5"/>
  <c r="R202" i="5" s="1"/>
  <c r="P203" i="5"/>
  <c r="R203" i="5" s="1"/>
  <c r="P204" i="5"/>
  <c r="R204" i="5" s="1"/>
  <c r="P205" i="5"/>
  <c r="R205" i="5" s="1"/>
  <c r="P206" i="5"/>
  <c r="R206" i="5" s="1"/>
  <c r="P207" i="5"/>
  <c r="R207" i="5" s="1"/>
  <c r="P208" i="5"/>
  <c r="R208" i="5" s="1"/>
  <c r="P209" i="5"/>
  <c r="R209" i="5" s="1"/>
  <c r="P210" i="5"/>
  <c r="R210" i="5" s="1"/>
  <c r="P211" i="5"/>
  <c r="R211" i="5" s="1"/>
  <c r="P3" i="5"/>
  <c r="R3" i="5" s="1"/>
  <c r="S4" i="3"/>
  <c r="T4" i="3"/>
  <c r="U4" i="3"/>
  <c r="S5" i="3"/>
  <c r="T5" i="3"/>
  <c r="U5" i="3"/>
  <c r="S6" i="3"/>
  <c r="T6" i="3"/>
  <c r="U6" i="3"/>
  <c r="S7" i="3"/>
  <c r="T7" i="3"/>
  <c r="U7" i="3"/>
  <c r="S8" i="3"/>
  <c r="T8" i="3"/>
  <c r="U8" i="3"/>
  <c r="S9" i="3"/>
  <c r="T9" i="3"/>
  <c r="U9" i="3"/>
  <c r="S10" i="3"/>
  <c r="T10" i="3"/>
  <c r="U10" i="3"/>
  <c r="S11" i="3"/>
  <c r="T11" i="3"/>
  <c r="U11" i="3"/>
  <c r="S12" i="3"/>
  <c r="T12" i="3"/>
  <c r="U12" i="3"/>
  <c r="S13" i="3"/>
  <c r="T13" i="3"/>
  <c r="U13" i="3"/>
  <c r="S14" i="3"/>
  <c r="T14" i="3"/>
  <c r="U14" i="3"/>
  <c r="S15" i="3"/>
  <c r="T15" i="3"/>
  <c r="U15" i="3"/>
  <c r="S16" i="3"/>
  <c r="T16" i="3"/>
  <c r="U16" i="3"/>
  <c r="S17" i="3"/>
  <c r="T17" i="3"/>
  <c r="U17" i="3"/>
  <c r="S18" i="3"/>
  <c r="T18" i="3"/>
  <c r="U18" i="3"/>
  <c r="S19" i="3"/>
  <c r="T19" i="3"/>
  <c r="U19" i="3"/>
  <c r="S20" i="3"/>
  <c r="T20" i="3"/>
  <c r="U20" i="3"/>
  <c r="S21" i="3"/>
  <c r="T21" i="3"/>
  <c r="U21" i="3"/>
  <c r="S22" i="3"/>
  <c r="T22" i="3"/>
  <c r="U22" i="3"/>
  <c r="S23" i="3"/>
  <c r="T23" i="3"/>
  <c r="U23" i="3"/>
  <c r="S24" i="3"/>
  <c r="T24" i="3"/>
  <c r="U24" i="3"/>
  <c r="S25" i="3"/>
  <c r="T25" i="3"/>
  <c r="U25" i="3"/>
  <c r="S26" i="3"/>
  <c r="T26" i="3"/>
  <c r="U26" i="3"/>
  <c r="S27" i="3"/>
  <c r="T27" i="3"/>
  <c r="U27" i="3"/>
  <c r="S28" i="3"/>
  <c r="T28" i="3"/>
  <c r="U28" i="3"/>
  <c r="S29" i="3"/>
  <c r="T29" i="3"/>
  <c r="U29" i="3"/>
  <c r="S30" i="3"/>
  <c r="T30" i="3"/>
  <c r="U30" i="3"/>
  <c r="S31" i="3"/>
  <c r="T31" i="3"/>
  <c r="U31" i="3"/>
  <c r="S32" i="3"/>
  <c r="T32" i="3"/>
  <c r="U32" i="3"/>
  <c r="S33" i="3"/>
  <c r="T33" i="3"/>
  <c r="U33" i="3"/>
  <c r="S34" i="3"/>
  <c r="T34" i="3"/>
  <c r="U34" i="3"/>
  <c r="S35" i="3"/>
  <c r="T35" i="3"/>
  <c r="U35" i="3"/>
  <c r="S36" i="3"/>
  <c r="T36" i="3"/>
  <c r="U36" i="3"/>
  <c r="S37" i="3"/>
  <c r="T37" i="3"/>
  <c r="U37" i="3"/>
  <c r="S38" i="3"/>
  <c r="T38" i="3"/>
  <c r="U38" i="3"/>
  <c r="S39" i="3"/>
  <c r="T39" i="3"/>
  <c r="U39" i="3"/>
  <c r="S40" i="3"/>
  <c r="T40" i="3"/>
  <c r="U40" i="3"/>
  <c r="S41" i="3"/>
  <c r="T41" i="3"/>
  <c r="U41" i="3"/>
  <c r="S42" i="3"/>
  <c r="T42" i="3"/>
  <c r="U42" i="3"/>
  <c r="S43" i="3"/>
  <c r="T43" i="3"/>
  <c r="U43" i="3"/>
  <c r="S44" i="3"/>
  <c r="T44" i="3"/>
  <c r="U44" i="3"/>
  <c r="S45" i="3"/>
  <c r="T45" i="3"/>
  <c r="U45" i="3"/>
  <c r="S46" i="3"/>
  <c r="T46" i="3"/>
  <c r="U46" i="3"/>
  <c r="S47" i="3"/>
  <c r="T47" i="3"/>
  <c r="U47" i="3"/>
  <c r="S48" i="3"/>
  <c r="T48" i="3"/>
  <c r="U48" i="3"/>
  <c r="S49" i="3"/>
  <c r="T49" i="3"/>
  <c r="U49" i="3"/>
  <c r="S50" i="3"/>
  <c r="T50" i="3"/>
  <c r="U50" i="3"/>
  <c r="S51" i="3"/>
  <c r="T51" i="3"/>
  <c r="U51" i="3"/>
  <c r="S52" i="3"/>
  <c r="T52" i="3"/>
  <c r="U52" i="3"/>
  <c r="S53" i="3"/>
  <c r="T53" i="3"/>
  <c r="U53" i="3"/>
  <c r="S54" i="3"/>
  <c r="T54" i="3"/>
  <c r="U54" i="3"/>
  <c r="S55" i="3"/>
  <c r="T55" i="3"/>
  <c r="U55" i="3"/>
  <c r="S56" i="3"/>
  <c r="T56" i="3"/>
  <c r="U56" i="3"/>
  <c r="S57" i="3"/>
  <c r="T57" i="3"/>
  <c r="U57" i="3"/>
  <c r="S58" i="3"/>
  <c r="T58" i="3"/>
  <c r="U58" i="3"/>
  <c r="S59" i="3"/>
  <c r="T59" i="3"/>
  <c r="U59" i="3"/>
  <c r="S60" i="3"/>
  <c r="T60" i="3"/>
  <c r="U60" i="3"/>
  <c r="S61" i="3"/>
  <c r="T61" i="3"/>
  <c r="U61" i="3"/>
  <c r="S62" i="3"/>
  <c r="T62" i="3"/>
  <c r="U62" i="3"/>
  <c r="S63" i="3"/>
  <c r="T63" i="3"/>
  <c r="U63" i="3"/>
  <c r="S64" i="3"/>
  <c r="T64" i="3"/>
  <c r="U64" i="3"/>
  <c r="S65" i="3"/>
  <c r="T65" i="3"/>
  <c r="U65" i="3"/>
  <c r="S66" i="3"/>
  <c r="T66" i="3"/>
  <c r="U66" i="3"/>
  <c r="S67" i="3"/>
  <c r="T67" i="3"/>
  <c r="U67" i="3"/>
  <c r="S68" i="3"/>
  <c r="T68" i="3"/>
  <c r="U68" i="3"/>
  <c r="S69" i="3"/>
  <c r="T69" i="3"/>
  <c r="U69" i="3"/>
  <c r="S70" i="3"/>
  <c r="T70" i="3"/>
  <c r="U70" i="3"/>
  <c r="S71" i="3"/>
  <c r="T71" i="3"/>
  <c r="U71" i="3"/>
  <c r="S72" i="3"/>
  <c r="T72" i="3"/>
  <c r="U72" i="3"/>
  <c r="S73" i="3"/>
  <c r="T73" i="3"/>
  <c r="U73" i="3"/>
  <c r="S74" i="3"/>
  <c r="T74" i="3"/>
  <c r="U74" i="3"/>
  <c r="S75" i="3"/>
  <c r="T75" i="3"/>
  <c r="U75" i="3"/>
  <c r="S76" i="3"/>
  <c r="T76" i="3"/>
  <c r="U76" i="3"/>
  <c r="S77" i="3"/>
  <c r="T77" i="3"/>
  <c r="U77" i="3"/>
  <c r="S78" i="3"/>
  <c r="T78" i="3"/>
  <c r="U78" i="3"/>
  <c r="S79" i="3"/>
  <c r="T79" i="3"/>
  <c r="U79" i="3"/>
  <c r="S80" i="3"/>
  <c r="T80" i="3"/>
  <c r="U80" i="3"/>
  <c r="S81" i="3"/>
  <c r="T81" i="3"/>
  <c r="U81" i="3"/>
  <c r="S82" i="3"/>
  <c r="T82" i="3"/>
  <c r="U82" i="3"/>
  <c r="S83" i="3"/>
  <c r="T83" i="3"/>
  <c r="U83" i="3"/>
  <c r="S84" i="3"/>
  <c r="T84" i="3"/>
  <c r="U84" i="3"/>
  <c r="S85" i="3"/>
  <c r="T85" i="3"/>
  <c r="U85" i="3"/>
  <c r="S86" i="3"/>
  <c r="T86" i="3"/>
  <c r="U86" i="3"/>
  <c r="S87" i="3"/>
  <c r="T87" i="3"/>
  <c r="U87" i="3"/>
  <c r="S88" i="3"/>
  <c r="T88" i="3"/>
  <c r="U88" i="3"/>
  <c r="S89" i="3"/>
  <c r="T89" i="3"/>
  <c r="U89" i="3"/>
  <c r="S90" i="3"/>
  <c r="T90" i="3"/>
  <c r="U90" i="3"/>
  <c r="S91" i="3"/>
  <c r="T91" i="3"/>
  <c r="U91" i="3"/>
  <c r="S92" i="3"/>
  <c r="T92" i="3"/>
  <c r="U92" i="3"/>
  <c r="S93" i="3"/>
  <c r="T93" i="3"/>
  <c r="U93" i="3"/>
  <c r="S94" i="3"/>
  <c r="T94" i="3"/>
  <c r="U94" i="3"/>
  <c r="S95" i="3"/>
  <c r="T95" i="3"/>
  <c r="U95" i="3"/>
  <c r="S96" i="3"/>
  <c r="T96" i="3"/>
  <c r="U96" i="3"/>
  <c r="S97" i="3"/>
  <c r="T97" i="3"/>
  <c r="U97" i="3"/>
  <c r="S98" i="3"/>
  <c r="T98" i="3"/>
  <c r="U98" i="3"/>
  <c r="S99" i="3"/>
  <c r="T99" i="3"/>
  <c r="U99" i="3"/>
  <c r="S100" i="3"/>
  <c r="T100" i="3"/>
  <c r="U100" i="3"/>
  <c r="S101" i="3"/>
  <c r="T101" i="3"/>
  <c r="U101" i="3"/>
  <c r="S102" i="3"/>
  <c r="T102" i="3"/>
  <c r="U102" i="3"/>
  <c r="S103" i="3"/>
  <c r="T103" i="3"/>
  <c r="U103" i="3"/>
  <c r="S104" i="3"/>
  <c r="T104" i="3"/>
  <c r="U104" i="3"/>
  <c r="S105" i="3"/>
  <c r="T105" i="3"/>
  <c r="U105" i="3"/>
  <c r="S106" i="3"/>
  <c r="T106" i="3"/>
  <c r="U106" i="3"/>
  <c r="S107" i="3"/>
  <c r="T107" i="3"/>
  <c r="U107" i="3"/>
  <c r="S108" i="3"/>
  <c r="T108" i="3"/>
  <c r="U108" i="3"/>
  <c r="S109" i="3"/>
  <c r="T109" i="3"/>
  <c r="U109" i="3"/>
  <c r="S110" i="3"/>
  <c r="T110" i="3"/>
  <c r="U110" i="3"/>
  <c r="S111" i="3"/>
  <c r="T111" i="3"/>
  <c r="U111" i="3"/>
  <c r="S112" i="3"/>
  <c r="T112" i="3"/>
  <c r="U112" i="3"/>
  <c r="S113" i="3"/>
  <c r="T113" i="3"/>
  <c r="U113" i="3"/>
  <c r="S114" i="3"/>
  <c r="T114" i="3"/>
  <c r="U114" i="3"/>
  <c r="S115" i="3"/>
  <c r="T115" i="3"/>
  <c r="U115" i="3"/>
  <c r="S116" i="3"/>
  <c r="T116" i="3"/>
  <c r="U116" i="3"/>
  <c r="S117" i="3"/>
  <c r="T117" i="3"/>
  <c r="U117" i="3"/>
  <c r="S118" i="3"/>
  <c r="T118" i="3"/>
  <c r="U118" i="3"/>
  <c r="S119" i="3"/>
  <c r="T119" i="3"/>
  <c r="U119" i="3"/>
  <c r="S120" i="3"/>
  <c r="T120" i="3"/>
  <c r="U120" i="3"/>
  <c r="S121" i="3"/>
  <c r="T121" i="3"/>
  <c r="U121" i="3"/>
  <c r="S122" i="3"/>
  <c r="T122" i="3"/>
  <c r="U122" i="3"/>
  <c r="S123" i="3"/>
  <c r="T123" i="3"/>
  <c r="U123" i="3"/>
  <c r="S124" i="3"/>
  <c r="T124" i="3"/>
  <c r="U124" i="3"/>
  <c r="S125" i="3"/>
  <c r="T125" i="3"/>
  <c r="U125" i="3"/>
  <c r="S126" i="3"/>
  <c r="T126" i="3"/>
  <c r="U126" i="3"/>
  <c r="S127" i="3"/>
  <c r="T127" i="3"/>
  <c r="U127" i="3"/>
  <c r="S128" i="3"/>
  <c r="T128" i="3"/>
  <c r="U128" i="3"/>
  <c r="S129" i="3"/>
  <c r="T129" i="3"/>
  <c r="U129" i="3"/>
  <c r="S130" i="3"/>
  <c r="T130" i="3"/>
  <c r="U130" i="3"/>
  <c r="S131" i="3"/>
  <c r="T131" i="3"/>
  <c r="U131" i="3"/>
  <c r="S132" i="3"/>
  <c r="T132" i="3"/>
  <c r="U132" i="3"/>
  <c r="S133" i="3"/>
  <c r="T133" i="3"/>
  <c r="U133" i="3"/>
  <c r="S134" i="3"/>
  <c r="T134" i="3"/>
  <c r="U134" i="3"/>
  <c r="S135" i="3"/>
  <c r="T135" i="3"/>
  <c r="U135" i="3"/>
  <c r="S136" i="3"/>
  <c r="T136" i="3"/>
  <c r="U136" i="3"/>
  <c r="S137" i="3"/>
  <c r="T137" i="3"/>
  <c r="U137" i="3"/>
  <c r="S138" i="3"/>
  <c r="T138" i="3"/>
  <c r="U138" i="3"/>
  <c r="S139" i="3"/>
  <c r="T139" i="3"/>
  <c r="U139" i="3"/>
  <c r="S140" i="3"/>
  <c r="T140" i="3"/>
  <c r="U140" i="3"/>
  <c r="S141" i="3"/>
  <c r="T141" i="3"/>
  <c r="U141" i="3"/>
  <c r="S142" i="3"/>
  <c r="T142" i="3"/>
  <c r="U142" i="3"/>
  <c r="S143" i="3"/>
  <c r="T143" i="3"/>
  <c r="U143" i="3"/>
  <c r="S144" i="3"/>
  <c r="T144" i="3"/>
  <c r="U144" i="3"/>
  <c r="S145" i="3"/>
  <c r="T145" i="3"/>
  <c r="U145" i="3"/>
  <c r="S146" i="3"/>
  <c r="T146" i="3"/>
  <c r="U146" i="3"/>
  <c r="S147" i="3"/>
  <c r="T147" i="3"/>
  <c r="U147" i="3"/>
  <c r="S148" i="3"/>
  <c r="T148" i="3"/>
  <c r="U148" i="3"/>
  <c r="S149" i="3"/>
  <c r="T149" i="3"/>
  <c r="U149" i="3"/>
  <c r="S150" i="3"/>
  <c r="T150" i="3"/>
  <c r="U150" i="3"/>
  <c r="S151" i="3"/>
  <c r="T151" i="3"/>
  <c r="U151" i="3"/>
  <c r="S152" i="3"/>
  <c r="T152" i="3"/>
  <c r="U152" i="3"/>
  <c r="S153" i="3"/>
  <c r="T153" i="3"/>
  <c r="U153" i="3"/>
  <c r="S154" i="3"/>
  <c r="T154" i="3"/>
  <c r="U154" i="3"/>
  <c r="S155" i="3"/>
  <c r="T155" i="3"/>
  <c r="U155" i="3"/>
  <c r="S156" i="3"/>
  <c r="T156" i="3"/>
  <c r="U156" i="3"/>
  <c r="S157" i="3"/>
  <c r="T157" i="3"/>
  <c r="U157" i="3"/>
  <c r="S158" i="3"/>
  <c r="T158" i="3"/>
  <c r="U158" i="3"/>
  <c r="S159" i="3"/>
  <c r="T159" i="3"/>
  <c r="U159" i="3"/>
  <c r="S160" i="3"/>
  <c r="T160" i="3"/>
  <c r="U160" i="3"/>
  <c r="S161" i="3"/>
  <c r="T161" i="3"/>
  <c r="U161" i="3"/>
  <c r="S162" i="3"/>
  <c r="T162" i="3"/>
  <c r="U162" i="3"/>
  <c r="S163" i="3"/>
  <c r="T163" i="3"/>
  <c r="U163" i="3"/>
  <c r="S164" i="3"/>
  <c r="T164" i="3"/>
  <c r="U164" i="3"/>
  <c r="S165" i="3"/>
  <c r="T165" i="3"/>
  <c r="U165" i="3"/>
  <c r="S166" i="3"/>
  <c r="T166" i="3"/>
  <c r="U166" i="3"/>
  <c r="S167" i="3"/>
  <c r="T167" i="3"/>
  <c r="U167" i="3"/>
  <c r="S168" i="3"/>
  <c r="T168" i="3"/>
  <c r="U168" i="3"/>
  <c r="S169" i="3"/>
  <c r="T169" i="3"/>
  <c r="U169" i="3"/>
  <c r="S170" i="3"/>
  <c r="T170" i="3"/>
  <c r="U170" i="3"/>
  <c r="S171" i="3"/>
  <c r="T171" i="3"/>
  <c r="U171" i="3"/>
  <c r="S172" i="3"/>
  <c r="T172" i="3"/>
  <c r="U172" i="3"/>
  <c r="S173" i="3"/>
  <c r="T173" i="3"/>
  <c r="U173" i="3"/>
  <c r="S174" i="3"/>
  <c r="T174" i="3"/>
  <c r="U174" i="3"/>
  <c r="S175" i="3"/>
  <c r="T175" i="3"/>
  <c r="U175" i="3"/>
  <c r="S176" i="3"/>
  <c r="T176" i="3"/>
  <c r="U176" i="3"/>
  <c r="S177" i="3"/>
  <c r="T177" i="3"/>
  <c r="U177" i="3"/>
  <c r="S178" i="3"/>
  <c r="T178" i="3"/>
  <c r="U178" i="3"/>
  <c r="S179" i="3"/>
  <c r="T179" i="3"/>
  <c r="U179" i="3"/>
  <c r="S180" i="3"/>
  <c r="T180" i="3"/>
  <c r="U180" i="3"/>
  <c r="S181" i="3"/>
  <c r="T181" i="3"/>
  <c r="U181" i="3"/>
  <c r="S182" i="3"/>
  <c r="T182" i="3"/>
  <c r="U182" i="3"/>
  <c r="S183" i="3"/>
  <c r="T183" i="3"/>
  <c r="U183" i="3"/>
  <c r="S184" i="3"/>
  <c r="T184" i="3"/>
  <c r="U184" i="3"/>
  <c r="S185" i="3"/>
  <c r="T185" i="3"/>
  <c r="U185" i="3"/>
  <c r="S186" i="3"/>
  <c r="T186" i="3"/>
  <c r="U186" i="3"/>
  <c r="S187" i="3"/>
  <c r="T187" i="3"/>
  <c r="U187" i="3"/>
  <c r="S188" i="3"/>
  <c r="T188" i="3"/>
  <c r="U188" i="3"/>
  <c r="S189" i="3"/>
  <c r="T189" i="3"/>
  <c r="U189" i="3"/>
  <c r="S190" i="3"/>
  <c r="T190" i="3"/>
  <c r="U190" i="3"/>
  <c r="S191" i="3"/>
  <c r="T191" i="3"/>
  <c r="U191" i="3"/>
  <c r="S192" i="3"/>
  <c r="T192" i="3"/>
  <c r="U192" i="3"/>
  <c r="S193" i="3"/>
  <c r="T193" i="3"/>
  <c r="U193" i="3"/>
  <c r="S194" i="3"/>
  <c r="T194" i="3"/>
  <c r="U194" i="3"/>
  <c r="S195" i="3"/>
  <c r="T195" i="3"/>
  <c r="U195" i="3"/>
  <c r="S196" i="3"/>
  <c r="T196" i="3"/>
  <c r="U196" i="3"/>
  <c r="S197" i="3"/>
  <c r="T197" i="3"/>
  <c r="U197" i="3"/>
  <c r="S198" i="3"/>
  <c r="T198" i="3"/>
  <c r="U198" i="3"/>
  <c r="S199" i="3"/>
  <c r="T199" i="3"/>
  <c r="U199" i="3"/>
  <c r="S200" i="3"/>
  <c r="T200" i="3"/>
  <c r="U200" i="3"/>
  <c r="S201" i="3"/>
  <c r="T201" i="3"/>
  <c r="U201" i="3"/>
  <c r="S202" i="3"/>
  <c r="T202" i="3"/>
  <c r="U202" i="3"/>
  <c r="S203" i="3"/>
  <c r="T203" i="3"/>
  <c r="U203" i="3"/>
  <c r="S204" i="3"/>
  <c r="T204" i="3"/>
  <c r="U204" i="3"/>
  <c r="S205" i="3"/>
  <c r="T205" i="3"/>
  <c r="U205" i="3"/>
  <c r="S206" i="3"/>
  <c r="T206" i="3"/>
  <c r="U206" i="3"/>
  <c r="S207" i="3"/>
  <c r="T207" i="3"/>
  <c r="U207" i="3"/>
  <c r="S208" i="3"/>
  <c r="T208" i="3"/>
  <c r="U208" i="3"/>
  <c r="S209" i="3"/>
  <c r="T209" i="3"/>
  <c r="U209" i="3"/>
  <c r="S210" i="3"/>
  <c r="T210" i="3"/>
  <c r="U210" i="3"/>
  <c r="S211" i="3"/>
  <c r="T211" i="3"/>
  <c r="U211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S205" i="5" l="1"/>
  <c r="S189" i="5"/>
  <c r="S173" i="5"/>
  <c r="S157" i="5"/>
  <c r="S141" i="5"/>
  <c r="S125" i="5"/>
  <c r="S109" i="5"/>
  <c r="S93" i="5"/>
  <c r="S77" i="5"/>
  <c r="S61" i="5"/>
  <c r="S29" i="5"/>
  <c r="S13" i="5"/>
  <c r="S204" i="5"/>
  <c r="S172" i="5"/>
  <c r="S156" i="5"/>
  <c r="S140" i="5"/>
  <c r="S108" i="5"/>
  <c r="S92" i="5"/>
  <c r="S76" i="5"/>
  <c r="S44" i="5"/>
  <c r="S28" i="5"/>
  <c r="S12" i="5"/>
  <c r="S45" i="5"/>
  <c r="S203" i="5"/>
  <c r="S187" i="5"/>
  <c r="S171" i="5"/>
  <c r="S155" i="5"/>
  <c r="S139" i="5"/>
  <c r="S123" i="5"/>
  <c r="S107" i="5"/>
  <c r="S91" i="5"/>
  <c r="S75" i="5"/>
  <c r="S59" i="5"/>
  <c r="S43" i="5"/>
  <c r="S27" i="5"/>
  <c r="S11" i="5"/>
  <c r="S202" i="5"/>
  <c r="S186" i="5"/>
  <c r="S170" i="5"/>
  <c r="S154" i="5"/>
  <c r="S138" i="5"/>
  <c r="S122" i="5"/>
  <c r="S106" i="5"/>
  <c r="S90" i="5"/>
  <c r="S74" i="5"/>
  <c r="S58" i="5"/>
  <c r="S42" i="5"/>
  <c r="S26" i="5"/>
  <c r="S10" i="5"/>
  <c r="S201" i="5"/>
  <c r="S185" i="5"/>
  <c r="S169" i="5"/>
  <c r="S153" i="5"/>
  <c r="S137" i="5"/>
  <c r="S121" i="5"/>
  <c r="S105" i="5"/>
  <c r="S89" i="5"/>
  <c r="S73" i="5"/>
  <c r="S57" i="5"/>
  <c r="S41" i="5"/>
  <c r="S25" i="5"/>
  <c r="S9" i="5"/>
  <c r="S200" i="5"/>
  <c r="S184" i="5"/>
  <c r="S168" i="5"/>
  <c r="S152" i="5"/>
  <c r="S136" i="5"/>
  <c r="S120" i="5"/>
  <c r="S104" i="5"/>
  <c r="S88" i="5"/>
  <c r="S72" i="5"/>
  <c r="S56" i="5"/>
  <c r="S40" i="5"/>
  <c r="S24" i="5"/>
  <c r="S8" i="5"/>
  <c r="S199" i="5"/>
  <c r="S183" i="5"/>
  <c r="S167" i="5"/>
  <c r="S151" i="5"/>
  <c r="S135" i="5"/>
  <c r="S119" i="5"/>
  <c r="S103" i="5"/>
  <c r="S87" i="5"/>
  <c r="S71" i="5"/>
  <c r="S55" i="5"/>
  <c r="S39" i="5"/>
  <c r="S23" i="5"/>
  <c r="S7" i="5"/>
  <c r="S198" i="5"/>
  <c r="S182" i="5"/>
  <c r="S166" i="5"/>
  <c r="S150" i="5"/>
  <c r="S134" i="5"/>
  <c r="S118" i="5"/>
  <c r="S102" i="5"/>
  <c r="S86" i="5"/>
  <c r="S70" i="5"/>
  <c r="S54" i="5"/>
  <c r="S38" i="5"/>
  <c r="S22" i="5"/>
  <c r="S6" i="5"/>
  <c r="S197" i="5"/>
  <c r="S181" i="5"/>
  <c r="S165" i="5"/>
  <c r="S149" i="5"/>
  <c r="S133" i="5"/>
  <c r="S117" i="5"/>
  <c r="S101" i="5"/>
  <c r="S85" i="5"/>
  <c r="S69" i="5"/>
  <c r="S53" i="5"/>
  <c r="S37" i="5"/>
  <c r="S21" i="5"/>
  <c r="S5" i="5"/>
  <c r="S196" i="5"/>
  <c r="S180" i="5"/>
  <c r="S164" i="5"/>
  <c r="S148" i="5"/>
  <c r="S132" i="5"/>
  <c r="S116" i="5"/>
  <c r="S100" i="5"/>
  <c r="S84" i="5"/>
  <c r="S68" i="5"/>
  <c r="S52" i="5"/>
  <c r="S36" i="5"/>
  <c r="S20" i="5"/>
  <c r="S4" i="5"/>
  <c r="S211" i="5"/>
  <c r="S195" i="5"/>
  <c r="S179" i="5"/>
  <c r="S163" i="5"/>
  <c r="S147" i="5"/>
  <c r="S131" i="5"/>
  <c r="S115" i="5"/>
  <c r="S99" i="5"/>
  <c r="S83" i="5"/>
  <c r="S67" i="5"/>
  <c r="S51" i="5"/>
  <c r="S35" i="5"/>
  <c r="S19" i="5"/>
  <c r="S210" i="5"/>
  <c r="S194" i="5"/>
  <c r="S178" i="5"/>
  <c r="S162" i="5"/>
  <c r="S146" i="5"/>
  <c r="S130" i="5"/>
  <c r="S114" i="5"/>
  <c r="S98" i="5"/>
  <c r="S82" i="5"/>
  <c r="S66" i="5"/>
  <c r="S50" i="5"/>
  <c r="S34" i="5"/>
  <c r="S18" i="5"/>
  <c r="S209" i="5"/>
  <c r="S193" i="5"/>
  <c r="S177" i="5"/>
  <c r="S161" i="5"/>
  <c r="S145" i="5"/>
  <c r="S129" i="5"/>
  <c r="S113" i="5"/>
  <c r="S97" i="5"/>
  <c r="S81" i="5"/>
  <c r="S65" i="5"/>
  <c r="S49" i="5"/>
  <c r="S33" i="5"/>
  <c r="S17" i="5"/>
  <c r="S208" i="5"/>
  <c r="S192" i="5"/>
  <c r="S176" i="5"/>
  <c r="S160" i="5"/>
  <c r="S144" i="5"/>
  <c r="S128" i="5"/>
  <c r="S112" i="5"/>
  <c r="S96" i="5"/>
  <c r="S80" i="5"/>
  <c r="S64" i="5"/>
  <c r="S48" i="5"/>
  <c r="S32" i="5"/>
  <c r="S16" i="5"/>
  <c r="S207" i="5"/>
  <c r="S191" i="5"/>
  <c r="S175" i="5"/>
  <c r="S159" i="5"/>
  <c r="S143" i="5"/>
  <c r="S127" i="5"/>
  <c r="S111" i="5"/>
  <c r="S95" i="5"/>
  <c r="S79" i="5"/>
  <c r="S63" i="5"/>
  <c r="S47" i="5"/>
  <c r="S31" i="5"/>
  <c r="S15" i="5"/>
  <c r="S206" i="5"/>
  <c r="S190" i="5"/>
  <c r="S174" i="5"/>
  <c r="S158" i="5"/>
  <c r="S142" i="5"/>
  <c r="S126" i="5"/>
  <c r="S110" i="5"/>
  <c r="S94" i="5"/>
  <c r="S78" i="5"/>
  <c r="S62" i="5"/>
  <c r="S46" i="5"/>
  <c r="S30" i="5"/>
  <c r="S14" i="5"/>
  <c r="T188" i="5"/>
  <c r="V188" i="5" s="1"/>
  <c r="X188" i="5" s="1"/>
  <c r="S188" i="5"/>
  <c r="T124" i="5"/>
  <c r="V124" i="5" s="1"/>
  <c r="X124" i="5" s="1"/>
  <c r="S124" i="5"/>
  <c r="T60" i="5"/>
  <c r="V60" i="5" s="1"/>
  <c r="S60" i="5"/>
  <c r="S3" i="5"/>
  <c r="T3" i="5"/>
  <c r="V3" i="5" s="1"/>
  <c r="X3" i="5" s="1"/>
  <c r="T204" i="5"/>
  <c r="V204" i="5" s="1"/>
  <c r="X204" i="5" s="1"/>
  <c r="T172" i="5"/>
  <c r="V172" i="5" s="1"/>
  <c r="X172" i="5" s="1"/>
  <c r="T156" i="5"/>
  <c r="V156" i="5" s="1"/>
  <c r="X156" i="5" s="1"/>
  <c r="T140" i="5"/>
  <c r="V140" i="5" s="1"/>
  <c r="X140" i="5" s="1"/>
  <c r="T108" i="5"/>
  <c r="V108" i="5" s="1"/>
  <c r="X108" i="5" s="1"/>
  <c r="T92" i="5"/>
  <c r="V92" i="5" s="1"/>
  <c r="X92" i="5" s="1"/>
  <c r="T76" i="5"/>
  <c r="V76" i="5" s="1"/>
  <c r="X76" i="5" s="1"/>
  <c r="T44" i="5"/>
  <c r="V44" i="5" s="1"/>
  <c r="X44" i="5" s="1"/>
  <c r="T28" i="5"/>
  <c r="V28" i="5" s="1"/>
  <c r="X28" i="5" s="1"/>
  <c r="T12" i="5"/>
  <c r="V12" i="5" s="1"/>
  <c r="X12" i="5" s="1"/>
  <c r="T205" i="5"/>
  <c r="V205" i="5" s="1"/>
  <c r="X205" i="5" s="1"/>
  <c r="T189" i="5"/>
  <c r="V189" i="5" s="1"/>
  <c r="X189" i="5" s="1"/>
  <c r="T173" i="5"/>
  <c r="V173" i="5" s="1"/>
  <c r="X173" i="5" s="1"/>
  <c r="T157" i="5"/>
  <c r="V157" i="5" s="1"/>
  <c r="X157" i="5" s="1"/>
  <c r="T141" i="5"/>
  <c r="V141" i="5" s="1"/>
  <c r="X141" i="5" s="1"/>
  <c r="T125" i="5"/>
  <c r="V125" i="5" s="1"/>
  <c r="X125" i="5" s="1"/>
  <c r="T109" i="5"/>
  <c r="V109" i="5" s="1"/>
  <c r="X109" i="5" s="1"/>
  <c r="T93" i="5"/>
  <c r="V93" i="5" s="1"/>
  <c r="X93" i="5" s="1"/>
  <c r="T77" i="5"/>
  <c r="V77" i="5" s="1"/>
  <c r="X77" i="5" s="1"/>
  <c r="T61" i="5"/>
  <c r="V61" i="5" s="1"/>
  <c r="X61" i="5" s="1"/>
  <c r="T45" i="5"/>
  <c r="V45" i="5" s="1"/>
  <c r="X45" i="5" s="1"/>
  <c r="T29" i="5"/>
  <c r="V29" i="5" s="1"/>
  <c r="X29" i="5" s="1"/>
  <c r="T13" i="5"/>
  <c r="V13" i="5" s="1"/>
  <c r="X13" i="5" s="1"/>
  <c r="X60" i="5"/>
  <c r="T203" i="5"/>
  <c r="V203" i="5" s="1"/>
  <c r="X203" i="5" s="1"/>
  <c r="T187" i="5"/>
  <c r="V187" i="5" s="1"/>
  <c r="X187" i="5" s="1"/>
  <c r="T171" i="5"/>
  <c r="V171" i="5" s="1"/>
  <c r="X171" i="5" s="1"/>
  <c r="T155" i="5"/>
  <c r="V155" i="5" s="1"/>
  <c r="X155" i="5" s="1"/>
  <c r="T139" i="5"/>
  <c r="V139" i="5" s="1"/>
  <c r="X139" i="5" s="1"/>
  <c r="T123" i="5"/>
  <c r="V123" i="5" s="1"/>
  <c r="X123" i="5" s="1"/>
  <c r="T107" i="5"/>
  <c r="V107" i="5" s="1"/>
  <c r="X107" i="5" s="1"/>
  <c r="T91" i="5"/>
  <c r="V91" i="5" s="1"/>
  <c r="X91" i="5" s="1"/>
  <c r="T75" i="5"/>
  <c r="V75" i="5" s="1"/>
  <c r="X75" i="5" s="1"/>
  <c r="T59" i="5"/>
  <c r="V59" i="5" s="1"/>
  <c r="X59" i="5" s="1"/>
  <c r="T43" i="5"/>
  <c r="V43" i="5" s="1"/>
  <c r="X43" i="5" s="1"/>
  <c r="T27" i="5"/>
  <c r="V27" i="5" s="1"/>
  <c r="X27" i="5" s="1"/>
  <c r="T11" i="5"/>
  <c r="V11" i="5" s="1"/>
  <c r="X11" i="5" s="1"/>
  <c r="T74" i="5"/>
  <c r="V74" i="5" s="1"/>
  <c r="X74" i="5" s="1"/>
  <c r="T73" i="5"/>
  <c r="V73" i="5" s="1"/>
  <c r="X73" i="5" s="1"/>
  <c r="T200" i="5"/>
  <c r="V200" i="5" s="1"/>
  <c r="X200" i="5" s="1"/>
  <c r="T184" i="5"/>
  <c r="V184" i="5" s="1"/>
  <c r="X184" i="5" s="1"/>
  <c r="T168" i="5"/>
  <c r="V168" i="5" s="1"/>
  <c r="X168" i="5" s="1"/>
  <c r="T152" i="5"/>
  <c r="V152" i="5" s="1"/>
  <c r="X152" i="5" s="1"/>
  <c r="T136" i="5"/>
  <c r="V136" i="5" s="1"/>
  <c r="X136" i="5" s="1"/>
  <c r="T120" i="5"/>
  <c r="V120" i="5" s="1"/>
  <c r="X120" i="5" s="1"/>
  <c r="T104" i="5"/>
  <c r="V104" i="5" s="1"/>
  <c r="X104" i="5" s="1"/>
  <c r="T88" i="5"/>
  <c r="V88" i="5" s="1"/>
  <c r="X88" i="5" s="1"/>
  <c r="T72" i="5"/>
  <c r="V72" i="5" s="1"/>
  <c r="X72" i="5" s="1"/>
  <c r="T56" i="5"/>
  <c r="V56" i="5" s="1"/>
  <c r="X56" i="5" s="1"/>
  <c r="T40" i="5"/>
  <c r="V40" i="5" s="1"/>
  <c r="X40" i="5" s="1"/>
  <c r="T24" i="5"/>
  <c r="V24" i="5" s="1"/>
  <c r="X24" i="5" s="1"/>
  <c r="T8" i="5"/>
  <c r="V8" i="5" s="1"/>
  <c r="X8" i="5" s="1"/>
  <c r="T138" i="5"/>
  <c r="V138" i="5" s="1"/>
  <c r="X138" i="5" s="1"/>
  <c r="T199" i="5"/>
  <c r="V199" i="5" s="1"/>
  <c r="X199" i="5" s="1"/>
  <c r="T183" i="5"/>
  <c r="V183" i="5" s="1"/>
  <c r="X183" i="5" s="1"/>
  <c r="T167" i="5"/>
  <c r="V167" i="5" s="1"/>
  <c r="X167" i="5" s="1"/>
  <c r="T151" i="5"/>
  <c r="V151" i="5" s="1"/>
  <c r="X151" i="5" s="1"/>
  <c r="T135" i="5"/>
  <c r="V135" i="5" s="1"/>
  <c r="X135" i="5" s="1"/>
  <c r="T119" i="5"/>
  <c r="V119" i="5" s="1"/>
  <c r="X119" i="5" s="1"/>
  <c r="T103" i="5"/>
  <c r="V103" i="5" s="1"/>
  <c r="X103" i="5" s="1"/>
  <c r="T87" i="5"/>
  <c r="V87" i="5" s="1"/>
  <c r="X87" i="5" s="1"/>
  <c r="T71" i="5"/>
  <c r="V71" i="5" s="1"/>
  <c r="X71" i="5" s="1"/>
  <c r="T55" i="5"/>
  <c r="V55" i="5" s="1"/>
  <c r="X55" i="5" s="1"/>
  <c r="T39" i="5"/>
  <c r="V39" i="5" s="1"/>
  <c r="X39" i="5" s="1"/>
  <c r="T23" i="5"/>
  <c r="V23" i="5" s="1"/>
  <c r="X23" i="5" s="1"/>
  <c r="T7" i="5"/>
  <c r="V7" i="5" s="1"/>
  <c r="X7" i="5" s="1"/>
  <c r="T42" i="5"/>
  <c r="V42" i="5" s="1"/>
  <c r="X42" i="5" s="1"/>
  <c r="T185" i="5"/>
  <c r="V185" i="5" s="1"/>
  <c r="X185" i="5" s="1"/>
  <c r="T198" i="5"/>
  <c r="V198" i="5" s="1"/>
  <c r="X198" i="5" s="1"/>
  <c r="T182" i="5"/>
  <c r="V182" i="5" s="1"/>
  <c r="X182" i="5" s="1"/>
  <c r="T166" i="5"/>
  <c r="V166" i="5" s="1"/>
  <c r="X166" i="5" s="1"/>
  <c r="T150" i="5"/>
  <c r="V150" i="5" s="1"/>
  <c r="X150" i="5" s="1"/>
  <c r="T134" i="5"/>
  <c r="V134" i="5" s="1"/>
  <c r="X134" i="5" s="1"/>
  <c r="T118" i="5"/>
  <c r="V118" i="5" s="1"/>
  <c r="X118" i="5" s="1"/>
  <c r="T102" i="5"/>
  <c r="V102" i="5" s="1"/>
  <c r="X102" i="5" s="1"/>
  <c r="T86" i="5"/>
  <c r="V86" i="5" s="1"/>
  <c r="X86" i="5" s="1"/>
  <c r="T70" i="5"/>
  <c r="V70" i="5" s="1"/>
  <c r="X70" i="5" s="1"/>
  <c r="T54" i="5"/>
  <c r="V54" i="5" s="1"/>
  <c r="X54" i="5" s="1"/>
  <c r="T38" i="5"/>
  <c r="V38" i="5" s="1"/>
  <c r="X38" i="5" s="1"/>
  <c r="T22" i="5"/>
  <c r="V22" i="5" s="1"/>
  <c r="X22" i="5" s="1"/>
  <c r="T6" i="5"/>
  <c r="V6" i="5" s="1"/>
  <c r="X6" i="5" s="1"/>
  <c r="T122" i="5"/>
  <c r="V122" i="5" s="1"/>
  <c r="X122" i="5" s="1"/>
  <c r="T105" i="5"/>
  <c r="V105" i="5" s="1"/>
  <c r="X105" i="5" s="1"/>
  <c r="T197" i="5"/>
  <c r="V197" i="5" s="1"/>
  <c r="X197" i="5" s="1"/>
  <c r="T181" i="5"/>
  <c r="V181" i="5" s="1"/>
  <c r="X181" i="5" s="1"/>
  <c r="T165" i="5"/>
  <c r="V165" i="5" s="1"/>
  <c r="X165" i="5" s="1"/>
  <c r="T149" i="5"/>
  <c r="V149" i="5" s="1"/>
  <c r="X149" i="5" s="1"/>
  <c r="T133" i="5"/>
  <c r="V133" i="5" s="1"/>
  <c r="X133" i="5" s="1"/>
  <c r="T117" i="5"/>
  <c r="V117" i="5" s="1"/>
  <c r="X117" i="5" s="1"/>
  <c r="T101" i="5"/>
  <c r="V101" i="5" s="1"/>
  <c r="X101" i="5" s="1"/>
  <c r="T85" i="5"/>
  <c r="V85" i="5" s="1"/>
  <c r="X85" i="5" s="1"/>
  <c r="T69" i="5"/>
  <c r="V69" i="5" s="1"/>
  <c r="X69" i="5" s="1"/>
  <c r="T53" i="5"/>
  <c r="V53" i="5" s="1"/>
  <c r="X53" i="5" s="1"/>
  <c r="T37" i="5"/>
  <c r="V37" i="5" s="1"/>
  <c r="X37" i="5" s="1"/>
  <c r="T21" i="5"/>
  <c r="V21" i="5" s="1"/>
  <c r="X21" i="5" s="1"/>
  <c r="T5" i="5"/>
  <c r="V5" i="5" s="1"/>
  <c r="X5" i="5" s="1"/>
  <c r="T170" i="5"/>
  <c r="V170" i="5" s="1"/>
  <c r="X170" i="5" s="1"/>
  <c r="T196" i="5"/>
  <c r="V196" i="5" s="1"/>
  <c r="X196" i="5" s="1"/>
  <c r="T180" i="5"/>
  <c r="V180" i="5" s="1"/>
  <c r="X180" i="5" s="1"/>
  <c r="T164" i="5"/>
  <c r="V164" i="5" s="1"/>
  <c r="X164" i="5" s="1"/>
  <c r="T148" i="5"/>
  <c r="V148" i="5" s="1"/>
  <c r="X148" i="5" s="1"/>
  <c r="T132" i="5"/>
  <c r="V132" i="5" s="1"/>
  <c r="X132" i="5" s="1"/>
  <c r="T116" i="5"/>
  <c r="V116" i="5" s="1"/>
  <c r="X116" i="5" s="1"/>
  <c r="T100" i="5"/>
  <c r="V100" i="5" s="1"/>
  <c r="X100" i="5" s="1"/>
  <c r="T84" i="5"/>
  <c r="V84" i="5" s="1"/>
  <c r="X84" i="5" s="1"/>
  <c r="T68" i="5"/>
  <c r="V68" i="5" s="1"/>
  <c r="X68" i="5" s="1"/>
  <c r="T52" i="5"/>
  <c r="V52" i="5" s="1"/>
  <c r="X52" i="5" s="1"/>
  <c r="T36" i="5"/>
  <c r="V36" i="5" s="1"/>
  <c r="X36" i="5" s="1"/>
  <c r="T20" i="5"/>
  <c r="V20" i="5" s="1"/>
  <c r="X20" i="5" s="1"/>
  <c r="T4" i="5"/>
  <c r="V4" i="5" s="1"/>
  <c r="X4" i="5" s="1"/>
  <c r="T202" i="5"/>
  <c r="V202" i="5" s="1"/>
  <c r="X202" i="5" s="1"/>
  <c r="T26" i="5"/>
  <c r="V26" i="5" s="1"/>
  <c r="X26" i="5" s="1"/>
  <c r="T121" i="5"/>
  <c r="V121" i="5" s="1"/>
  <c r="X121" i="5" s="1"/>
  <c r="T9" i="5"/>
  <c r="V9" i="5" s="1"/>
  <c r="X9" i="5" s="1"/>
  <c r="T211" i="5"/>
  <c r="V211" i="5" s="1"/>
  <c r="X211" i="5" s="1"/>
  <c r="T195" i="5"/>
  <c r="V195" i="5" s="1"/>
  <c r="X195" i="5" s="1"/>
  <c r="T179" i="5"/>
  <c r="V179" i="5" s="1"/>
  <c r="X179" i="5" s="1"/>
  <c r="T163" i="5"/>
  <c r="V163" i="5" s="1"/>
  <c r="X163" i="5" s="1"/>
  <c r="T147" i="5"/>
  <c r="V147" i="5" s="1"/>
  <c r="X147" i="5" s="1"/>
  <c r="T131" i="5"/>
  <c r="V131" i="5" s="1"/>
  <c r="X131" i="5" s="1"/>
  <c r="T115" i="5"/>
  <c r="V115" i="5" s="1"/>
  <c r="X115" i="5" s="1"/>
  <c r="T99" i="5"/>
  <c r="V99" i="5" s="1"/>
  <c r="X99" i="5" s="1"/>
  <c r="T83" i="5"/>
  <c r="V83" i="5" s="1"/>
  <c r="X83" i="5" s="1"/>
  <c r="T67" i="5"/>
  <c r="V67" i="5" s="1"/>
  <c r="X67" i="5" s="1"/>
  <c r="T51" i="5"/>
  <c r="V51" i="5" s="1"/>
  <c r="X51" i="5" s="1"/>
  <c r="T35" i="5"/>
  <c r="V35" i="5" s="1"/>
  <c r="X35" i="5" s="1"/>
  <c r="T19" i="5"/>
  <c r="V19" i="5" s="1"/>
  <c r="X19" i="5" s="1"/>
  <c r="T90" i="5"/>
  <c r="V90" i="5" s="1"/>
  <c r="X90" i="5" s="1"/>
  <c r="T169" i="5"/>
  <c r="V169" i="5" s="1"/>
  <c r="X169" i="5" s="1"/>
  <c r="T41" i="5"/>
  <c r="V41" i="5" s="1"/>
  <c r="X41" i="5" s="1"/>
  <c r="T210" i="5"/>
  <c r="V210" i="5" s="1"/>
  <c r="X210" i="5" s="1"/>
  <c r="T194" i="5"/>
  <c r="V194" i="5" s="1"/>
  <c r="X194" i="5" s="1"/>
  <c r="T178" i="5"/>
  <c r="V178" i="5" s="1"/>
  <c r="X178" i="5" s="1"/>
  <c r="T162" i="5"/>
  <c r="V162" i="5" s="1"/>
  <c r="X162" i="5" s="1"/>
  <c r="T146" i="5"/>
  <c r="V146" i="5" s="1"/>
  <c r="X146" i="5" s="1"/>
  <c r="T130" i="5"/>
  <c r="V130" i="5" s="1"/>
  <c r="X130" i="5" s="1"/>
  <c r="T114" i="5"/>
  <c r="V114" i="5" s="1"/>
  <c r="X114" i="5" s="1"/>
  <c r="T98" i="5"/>
  <c r="V98" i="5" s="1"/>
  <c r="X98" i="5" s="1"/>
  <c r="T82" i="5"/>
  <c r="V82" i="5" s="1"/>
  <c r="X82" i="5" s="1"/>
  <c r="T66" i="5"/>
  <c r="V66" i="5" s="1"/>
  <c r="X66" i="5" s="1"/>
  <c r="T50" i="5"/>
  <c r="V50" i="5" s="1"/>
  <c r="X50" i="5" s="1"/>
  <c r="T34" i="5"/>
  <c r="V34" i="5" s="1"/>
  <c r="X34" i="5" s="1"/>
  <c r="T18" i="5"/>
  <c r="V18" i="5" s="1"/>
  <c r="X18" i="5" s="1"/>
  <c r="T186" i="5"/>
  <c r="V186" i="5" s="1"/>
  <c r="X186" i="5" s="1"/>
  <c r="T10" i="5"/>
  <c r="V10" i="5" s="1"/>
  <c r="X10" i="5" s="1"/>
  <c r="T201" i="5"/>
  <c r="V201" i="5" s="1"/>
  <c r="X201" i="5" s="1"/>
  <c r="T57" i="5"/>
  <c r="V57" i="5" s="1"/>
  <c r="X57" i="5" s="1"/>
  <c r="T209" i="5"/>
  <c r="V209" i="5" s="1"/>
  <c r="X209" i="5" s="1"/>
  <c r="T193" i="5"/>
  <c r="V193" i="5" s="1"/>
  <c r="X193" i="5" s="1"/>
  <c r="T177" i="5"/>
  <c r="V177" i="5" s="1"/>
  <c r="X177" i="5" s="1"/>
  <c r="T161" i="5"/>
  <c r="V161" i="5" s="1"/>
  <c r="X161" i="5" s="1"/>
  <c r="T145" i="5"/>
  <c r="V145" i="5" s="1"/>
  <c r="X145" i="5" s="1"/>
  <c r="T129" i="5"/>
  <c r="V129" i="5" s="1"/>
  <c r="X129" i="5" s="1"/>
  <c r="T113" i="5"/>
  <c r="V113" i="5" s="1"/>
  <c r="X113" i="5" s="1"/>
  <c r="T97" i="5"/>
  <c r="V97" i="5" s="1"/>
  <c r="X97" i="5" s="1"/>
  <c r="T81" i="5"/>
  <c r="V81" i="5" s="1"/>
  <c r="X81" i="5" s="1"/>
  <c r="T65" i="5"/>
  <c r="V65" i="5" s="1"/>
  <c r="X65" i="5" s="1"/>
  <c r="T49" i="5"/>
  <c r="V49" i="5" s="1"/>
  <c r="X49" i="5" s="1"/>
  <c r="T33" i="5"/>
  <c r="V33" i="5" s="1"/>
  <c r="X33" i="5" s="1"/>
  <c r="T17" i="5"/>
  <c r="V17" i="5" s="1"/>
  <c r="X17" i="5" s="1"/>
  <c r="T106" i="5"/>
  <c r="V106" i="5" s="1"/>
  <c r="X106" i="5" s="1"/>
  <c r="T137" i="5"/>
  <c r="V137" i="5" s="1"/>
  <c r="X137" i="5" s="1"/>
  <c r="T25" i="5"/>
  <c r="V25" i="5" s="1"/>
  <c r="X25" i="5" s="1"/>
  <c r="T208" i="5"/>
  <c r="V208" i="5" s="1"/>
  <c r="X208" i="5" s="1"/>
  <c r="T192" i="5"/>
  <c r="V192" i="5" s="1"/>
  <c r="X192" i="5" s="1"/>
  <c r="T176" i="5"/>
  <c r="V176" i="5" s="1"/>
  <c r="X176" i="5" s="1"/>
  <c r="T160" i="5"/>
  <c r="V160" i="5" s="1"/>
  <c r="X160" i="5" s="1"/>
  <c r="T144" i="5"/>
  <c r="V144" i="5" s="1"/>
  <c r="X144" i="5" s="1"/>
  <c r="T128" i="5"/>
  <c r="V128" i="5" s="1"/>
  <c r="X128" i="5" s="1"/>
  <c r="T112" i="5"/>
  <c r="V112" i="5" s="1"/>
  <c r="X112" i="5" s="1"/>
  <c r="T96" i="5"/>
  <c r="V96" i="5" s="1"/>
  <c r="X96" i="5" s="1"/>
  <c r="T80" i="5"/>
  <c r="V80" i="5" s="1"/>
  <c r="X80" i="5" s="1"/>
  <c r="T64" i="5"/>
  <c r="V64" i="5" s="1"/>
  <c r="X64" i="5" s="1"/>
  <c r="T48" i="5"/>
  <c r="V48" i="5" s="1"/>
  <c r="X48" i="5" s="1"/>
  <c r="T32" i="5"/>
  <c r="V32" i="5" s="1"/>
  <c r="X32" i="5" s="1"/>
  <c r="T16" i="5"/>
  <c r="V16" i="5" s="1"/>
  <c r="X16" i="5" s="1"/>
  <c r="T58" i="5"/>
  <c r="V58" i="5" s="1"/>
  <c r="X58" i="5" s="1"/>
  <c r="T153" i="5"/>
  <c r="V153" i="5" s="1"/>
  <c r="X153" i="5" s="1"/>
  <c r="T207" i="5"/>
  <c r="V207" i="5" s="1"/>
  <c r="X207" i="5" s="1"/>
  <c r="T191" i="5"/>
  <c r="V191" i="5" s="1"/>
  <c r="X191" i="5" s="1"/>
  <c r="T175" i="5"/>
  <c r="V175" i="5" s="1"/>
  <c r="X175" i="5" s="1"/>
  <c r="T159" i="5"/>
  <c r="V159" i="5" s="1"/>
  <c r="X159" i="5" s="1"/>
  <c r="T143" i="5"/>
  <c r="V143" i="5" s="1"/>
  <c r="X143" i="5" s="1"/>
  <c r="T127" i="5"/>
  <c r="V127" i="5" s="1"/>
  <c r="X127" i="5" s="1"/>
  <c r="T111" i="5"/>
  <c r="V111" i="5" s="1"/>
  <c r="X111" i="5" s="1"/>
  <c r="T95" i="5"/>
  <c r="V95" i="5" s="1"/>
  <c r="X95" i="5" s="1"/>
  <c r="T79" i="5"/>
  <c r="V79" i="5" s="1"/>
  <c r="X79" i="5" s="1"/>
  <c r="T63" i="5"/>
  <c r="V63" i="5" s="1"/>
  <c r="X63" i="5" s="1"/>
  <c r="T47" i="5"/>
  <c r="V47" i="5" s="1"/>
  <c r="X47" i="5" s="1"/>
  <c r="T31" i="5"/>
  <c r="V31" i="5" s="1"/>
  <c r="X31" i="5" s="1"/>
  <c r="T15" i="5"/>
  <c r="V15" i="5" s="1"/>
  <c r="X15" i="5" s="1"/>
  <c r="T154" i="5"/>
  <c r="V154" i="5" s="1"/>
  <c r="X154" i="5" s="1"/>
  <c r="T89" i="5"/>
  <c r="V89" i="5" s="1"/>
  <c r="X89" i="5" s="1"/>
  <c r="T206" i="5"/>
  <c r="V206" i="5" s="1"/>
  <c r="X206" i="5" s="1"/>
  <c r="T190" i="5"/>
  <c r="V190" i="5" s="1"/>
  <c r="X190" i="5" s="1"/>
  <c r="T174" i="5"/>
  <c r="V174" i="5" s="1"/>
  <c r="X174" i="5" s="1"/>
  <c r="T158" i="5"/>
  <c r="V158" i="5" s="1"/>
  <c r="X158" i="5" s="1"/>
  <c r="T142" i="5"/>
  <c r="V142" i="5" s="1"/>
  <c r="X142" i="5" s="1"/>
  <c r="T126" i="5"/>
  <c r="V126" i="5" s="1"/>
  <c r="X126" i="5" s="1"/>
  <c r="T110" i="5"/>
  <c r="V110" i="5" s="1"/>
  <c r="X110" i="5" s="1"/>
  <c r="T94" i="5"/>
  <c r="V94" i="5" s="1"/>
  <c r="X94" i="5" s="1"/>
  <c r="T78" i="5"/>
  <c r="V78" i="5" s="1"/>
  <c r="X78" i="5" s="1"/>
  <c r="T62" i="5"/>
  <c r="V62" i="5" s="1"/>
  <c r="X62" i="5" s="1"/>
  <c r="T46" i="5"/>
  <c r="V46" i="5" s="1"/>
  <c r="X46" i="5" s="1"/>
  <c r="T30" i="5"/>
  <c r="V30" i="5" s="1"/>
  <c r="X30" i="5" s="1"/>
  <c r="T14" i="5"/>
  <c r="V14" i="5" s="1"/>
  <c r="X14" i="5" s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AB5" i="3" l="1"/>
  <c r="AC5" i="3"/>
  <c r="AD5" i="3"/>
  <c r="AH5" i="3"/>
  <c r="AI5" i="3"/>
  <c r="AB6" i="3"/>
  <c r="AC6" i="3"/>
  <c r="AD6" i="3"/>
  <c r="AH6" i="3"/>
  <c r="V6" i="3" s="1"/>
  <c r="AI6" i="3"/>
  <c r="Y6" i="3" s="1"/>
  <c r="AB7" i="3"/>
  <c r="AC7" i="3"/>
  <c r="AD7" i="3"/>
  <c r="AH7" i="3"/>
  <c r="AI7" i="3"/>
  <c r="Y7" i="3" s="1"/>
  <c r="AB8" i="3"/>
  <c r="AC8" i="3"/>
  <c r="AD8" i="3"/>
  <c r="AH8" i="3"/>
  <c r="V8" i="3" s="1"/>
  <c r="AI8" i="3"/>
  <c r="AB9" i="3"/>
  <c r="AC9" i="3"/>
  <c r="AD9" i="3"/>
  <c r="AH9" i="3"/>
  <c r="V9" i="3" s="1"/>
  <c r="AI9" i="3"/>
  <c r="Y9" i="3" s="1"/>
  <c r="AB10" i="3"/>
  <c r="AC10" i="3"/>
  <c r="AD10" i="3"/>
  <c r="AH10" i="3"/>
  <c r="W10" i="3" s="1"/>
  <c r="AI10" i="3"/>
  <c r="AB11" i="3"/>
  <c r="AC11" i="3"/>
  <c r="AD11" i="3"/>
  <c r="AH11" i="3"/>
  <c r="V11" i="3" s="1"/>
  <c r="AI11" i="3"/>
  <c r="V12" i="3"/>
  <c r="W12" i="3"/>
  <c r="AB12" i="3"/>
  <c r="AC12" i="3"/>
  <c r="AD12" i="3"/>
  <c r="AH12" i="3"/>
  <c r="AI12" i="3"/>
  <c r="Y12" i="3" s="1"/>
  <c r="AB13" i="3"/>
  <c r="AC13" i="3"/>
  <c r="AD13" i="3"/>
  <c r="AH13" i="3"/>
  <c r="V13" i="3" s="1"/>
  <c r="AI13" i="3"/>
  <c r="AB14" i="3"/>
  <c r="AC14" i="3"/>
  <c r="AD14" i="3"/>
  <c r="AH14" i="3"/>
  <c r="AI14" i="3"/>
  <c r="V15" i="3"/>
  <c r="AB15" i="3"/>
  <c r="AC15" i="3"/>
  <c r="AD15" i="3"/>
  <c r="AH15" i="3"/>
  <c r="W15" i="3" s="1"/>
  <c r="AI15" i="3"/>
  <c r="Y15" i="3" s="1"/>
  <c r="AB16" i="3"/>
  <c r="AC16" i="3"/>
  <c r="AD16" i="3"/>
  <c r="AH16" i="3"/>
  <c r="V16" i="3" s="1"/>
  <c r="AI16" i="3"/>
  <c r="Y16" i="3" s="1"/>
  <c r="AB17" i="3"/>
  <c r="AC17" i="3"/>
  <c r="AD17" i="3"/>
  <c r="AH17" i="3"/>
  <c r="AI17" i="3"/>
  <c r="Y18" i="3"/>
  <c r="AB18" i="3"/>
  <c r="AC18" i="3"/>
  <c r="AD18" i="3"/>
  <c r="AH18" i="3"/>
  <c r="AI18" i="3"/>
  <c r="AB19" i="3"/>
  <c r="AC19" i="3"/>
  <c r="AD19" i="3"/>
  <c r="AH19" i="3"/>
  <c r="AI19" i="3"/>
  <c r="AK19" i="3"/>
  <c r="AB20" i="3"/>
  <c r="AC20" i="3"/>
  <c r="AD20" i="3"/>
  <c r="AH20" i="3"/>
  <c r="W20" i="3" s="1"/>
  <c r="AI20" i="3"/>
  <c r="AA20" i="3" s="1"/>
  <c r="AB21" i="3"/>
  <c r="AC21" i="3"/>
  <c r="AD21" i="3"/>
  <c r="AH21" i="3"/>
  <c r="V21" i="3" s="1"/>
  <c r="AI21" i="3"/>
  <c r="AB22" i="3"/>
  <c r="AC22" i="3"/>
  <c r="AD22" i="3"/>
  <c r="AH22" i="3"/>
  <c r="AI22" i="3"/>
  <c r="AB23" i="3"/>
  <c r="AC23" i="3"/>
  <c r="AD23" i="3"/>
  <c r="AH23" i="3"/>
  <c r="Z23" i="3" s="1"/>
  <c r="AI23" i="3"/>
  <c r="AB24" i="3"/>
  <c r="AC24" i="3"/>
  <c r="AD24" i="3"/>
  <c r="AH24" i="3"/>
  <c r="AI24" i="3"/>
  <c r="AB25" i="3"/>
  <c r="AC25" i="3"/>
  <c r="AD25" i="3"/>
  <c r="AH25" i="3"/>
  <c r="AJ25" i="3" s="1"/>
  <c r="AI25" i="3"/>
  <c r="AB26" i="3"/>
  <c r="AC26" i="3"/>
  <c r="AD26" i="3"/>
  <c r="AH26" i="3"/>
  <c r="AI26" i="3"/>
  <c r="X26" i="3" s="1"/>
  <c r="AB27" i="3"/>
  <c r="AC27" i="3"/>
  <c r="AD27" i="3"/>
  <c r="AH27" i="3"/>
  <c r="AI27" i="3"/>
  <c r="AB28" i="3"/>
  <c r="AC28" i="3"/>
  <c r="AD28" i="3"/>
  <c r="AH28" i="3"/>
  <c r="W28" i="3" s="1"/>
  <c r="AI28" i="3"/>
  <c r="X28" i="3" s="1"/>
  <c r="AB29" i="3"/>
  <c r="AC29" i="3"/>
  <c r="AD29" i="3"/>
  <c r="AH29" i="3"/>
  <c r="AI29" i="3"/>
  <c r="W30" i="3"/>
  <c r="AB30" i="3"/>
  <c r="AC30" i="3"/>
  <c r="AD30" i="3"/>
  <c r="AH30" i="3"/>
  <c r="AJ30" i="3" s="1"/>
  <c r="AI30" i="3"/>
  <c r="AB31" i="3"/>
  <c r="AC31" i="3"/>
  <c r="AD31" i="3"/>
  <c r="AH31" i="3"/>
  <c r="W31" i="3" s="1"/>
  <c r="AI31" i="3"/>
  <c r="Y31" i="3" s="1"/>
  <c r="AB32" i="3"/>
  <c r="AC32" i="3"/>
  <c r="AD32" i="3"/>
  <c r="AH32" i="3"/>
  <c r="AI32" i="3"/>
  <c r="AB33" i="3"/>
  <c r="AC33" i="3"/>
  <c r="AD33" i="3"/>
  <c r="AH33" i="3"/>
  <c r="AJ33" i="3" s="1"/>
  <c r="AI33" i="3"/>
  <c r="AB34" i="3"/>
  <c r="AC34" i="3"/>
  <c r="AD34" i="3"/>
  <c r="AH34" i="3"/>
  <c r="W34" i="3" s="1"/>
  <c r="AI34" i="3"/>
  <c r="AB35" i="3"/>
  <c r="AC35" i="3"/>
  <c r="AD35" i="3"/>
  <c r="AH35" i="3"/>
  <c r="AI35" i="3"/>
  <c r="AB36" i="3"/>
  <c r="AC36" i="3"/>
  <c r="AD36" i="3"/>
  <c r="AH36" i="3"/>
  <c r="AI36" i="3"/>
  <c r="AJ36" i="3"/>
  <c r="AB37" i="3"/>
  <c r="AC37" i="3"/>
  <c r="AD37" i="3"/>
  <c r="AH37" i="3"/>
  <c r="AI37" i="3"/>
  <c r="AJ37" i="3"/>
  <c r="AB38" i="3"/>
  <c r="AC38" i="3"/>
  <c r="AD38" i="3"/>
  <c r="AH38" i="3"/>
  <c r="W38" i="3" s="1"/>
  <c r="AI38" i="3"/>
  <c r="AB39" i="3"/>
  <c r="AC39" i="3"/>
  <c r="AD39" i="3"/>
  <c r="AH39" i="3"/>
  <c r="AJ39" i="3" s="1"/>
  <c r="AI39" i="3"/>
  <c r="AB40" i="3"/>
  <c r="AC40" i="3"/>
  <c r="AD40" i="3"/>
  <c r="AH40" i="3"/>
  <c r="W40" i="3" s="1"/>
  <c r="AI40" i="3"/>
  <c r="AB41" i="3"/>
  <c r="AC41" i="3"/>
  <c r="AD41" i="3"/>
  <c r="AH41" i="3"/>
  <c r="AI41" i="3"/>
  <c r="AB42" i="3"/>
  <c r="AC42" i="3"/>
  <c r="AD42" i="3"/>
  <c r="AH42" i="3"/>
  <c r="AI42" i="3"/>
  <c r="AB43" i="3"/>
  <c r="AC43" i="3"/>
  <c r="AD43" i="3"/>
  <c r="AH43" i="3"/>
  <c r="Z43" i="3" s="1"/>
  <c r="AI43" i="3"/>
  <c r="AB44" i="3"/>
  <c r="AC44" i="3"/>
  <c r="AD44" i="3"/>
  <c r="AH44" i="3"/>
  <c r="Z44" i="3" s="1"/>
  <c r="AI44" i="3"/>
  <c r="X44" i="3" s="1"/>
  <c r="AB45" i="3"/>
  <c r="AC45" i="3"/>
  <c r="AD45" i="3"/>
  <c r="AH45" i="3"/>
  <c r="W45" i="3" s="1"/>
  <c r="AI45" i="3"/>
  <c r="AB46" i="3"/>
  <c r="AC46" i="3"/>
  <c r="AD46" i="3"/>
  <c r="AH46" i="3"/>
  <c r="AI46" i="3"/>
  <c r="AB47" i="3"/>
  <c r="AC47" i="3"/>
  <c r="AD47" i="3"/>
  <c r="AH47" i="3"/>
  <c r="AI47" i="3"/>
  <c r="X47" i="3" s="1"/>
  <c r="AB48" i="3"/>
  <c r="AC48" i="3"/>
  <c r="AD48" i="3"/>
  <c r="AH48" i="3"/>
  <c r="AI48" i="3"/>
  <c r="AB49" i="3"/>
  <c r="AC49" i="3"/>
  <c r="AD49" i="3"/>
  <c r="AH49" i="3"/>
  <c r="AI49" i="3"/>
  <c r="AB50" i="3"/>
  <c r="AC50" i="3"/>
  <c r="AD50" i="3"/>
  <c r="AH50" i="3"/>
  <c r="AI50" i="3"/>
  <c r="AB51" i="3"/>
  <c r="AC51" i="3"/>
  <c r="AD51" i="3"/>
  <c r="AH51" i="3"/>
  <c r="AI51" i="3"/>
  <c r="AA51" i="3" s="1"/>
  <c r="AB52" i="3"/>
  <c r="AC52" i="3"/>
  <c r="AD52" i="3"/>
  <c r="AH52" i="3"/>
  <c r="W52" i="3" s="1"/>
  <c r="AI52" i="3"/>
  <c r="AB53" i="3"/>
  <c r="AC53" i="3"/>
  <c r="AD53" i="3"/>
  <c r="AH53" i="3"/>
  <c r="AI53" i="3"/>
  <c r="X53" i="3" s="1"/>
  <c r="AB54" i="3"/>
  <c r="AC54" i="3"/>
  <c r="AD54" i="3"/>
  <c r="AH54" i="3"/>
  <c r="AJ54" i="3" s="1"/>
  <c r="AI54" i="3"/>
  <c r="AB55" i="3"/>
  <c r="AC55" i="3"/>
  <c r="AD55" i="3"/>
  <c r="AH55" i="3"/>
  <c r="AI55" i="3"/>
  <c r="X55" i="3" s="1"/>
  <c r="X56" i="3"/>
  <c r="AB56" i="3"/>
  <c r="AC56" i="3"/>
  <c r="AD56" i="3"/>
  <c r="AH56" i="3"/>
  <c r="AI56" i="3"/>
  <c r="AB57" i="3"/>
  <c r="AC57" i="3"/>
  <c r="AD57" i="3"/>
  <c r="AH57" i="3"/>
  <c r="AI57" i="3"/>
  <c r="AJ57" i="3"/>
  <c r="AB58" i="3"/>
  <c r="AC58" i="3"/>
  <c r="AD58" i="3"/>
  <c r="AH58" i="3"/>
  <c r="AI58" i="3"/>
  <c r="AB59" i="3"/>
  <c r="AC59" i="3"/>
  <c r="AD59" i="3"/>
  <c r="AH59" i="3"/>
  <c r="AI59" i="3"/>
  <c r="Y59" i="3" s="1"/>
  <c r="AB60" i="3"/>
  <c r="AC60" i="3"/>
  <c r="AD60" i="3"/>
  <c r="AH60" i="3"/>
  <c r="AI60" i="3"/>
  <c r="AB61" i="3"/>
  <c r="AC61" i="3"/>
  <c r="AD61" i="3"/>
  <c r="AH61" i="3"/>
  <c r="AI61" i="3"/>
  <c r="AJ61" i="3"/>
  <c r="AB62" i="3"/>
  <c r="AC62" i="3"/>
  <c r="AD62" i="3"/>
  <c r="AH62" i="3"/>
  <c r="W62" i="3" s="1"/>
  <c r="AI62" i="3"/>
  <c r="AA62" i="3" s="1"/>
  <c r="AB63" i="3"/>
  <c r="AC63" i="3"/>
  <c r="AD63" i="3"/>
  <c r="AH63" i="3"/>
  <c r="AI63" i="3"/>
  <c r="AB64" i="3"/>
  <c r="AC64" i="3"/>
  <c r="AD64" i="3"/>
  <c r="AH64" i="3"/>
  <c r="AI64" i="3"/>
  <c r="AB65" i="3"/>
  <c r="AC65" i="3"/>
  <c r="AD65" i="3"/>
  <c r="AH65" i="3"/>
  <c r="AI65" i="3"/>
  <c r="AB66" i="3"/>
  <c r="AC66" i="3"/>
  <c r="AD66" i="3"/>
  <c r="AH66" i="3"/>
  <c r="AI66" i="3"/>
  <c r="Y66" i="3" s="1"/>
  <c r="AB67" i="3"/>
  <c r="AC67" i="3"/>
  <c r="AD67" i="3"/>
  <c r="AH67" i="3"/>
  <c r="AI67" i="3"/>
  <c r="AB68" i="3"/>
  <c r="AC68" i="3"/>
  <c r="AD68" i="3"/>
  <c r="AH68" i="3"/>
  <c r="AI68" i="3"/>
  <c r="AB69" i="3"/>
  <c r="AC69" i="3"/>
  <c r="AD69" i="3"/>
  <c r="AH69" i="3"/>
  <c r="W69" i="3" s="1"/>
  <c r="AI69" i="3"/>
  <c r="AB70" i="3"/>
  <c r="AC70" i="3"/>
  <c r="AD70" i="3"/>
  <c r="AH70" i="3"/>
  <c r="AI70" i="3"/>
  <c r="AB71" i="3"/>
  <c r="AC71" i="3"/>
  <c r="AD71" i="3"/>
  <c r="AH71" i="3"/>
  <c r="Z71" i="3" s="1"/>
  <c r="AI71" i="3"/>
  <c r="AB72" i="3"/>
  <c r="AC72" i="3"/>
  <c r="AD72" i="3"/>
  <c r="AH72" i="3"/>
  <c r="W72" i="3" s="1"/>
  <c r="AI72" i="3"/>
  <c r="AB73" i="3"/>
  <c r="AC73" i="3"/>
  <c r="AD73" i="3"/>
  <c r="AH73" i="3"/>
  <c r="AJ73" i="3" s="1"/>
  <c r="AI73" i="3"/>
  <c r="AB74" i="3"/>
  <c r="AC74" i="3"/>
  <c r="AD74" i="3"/>
  <c r="AH74" i="3"/>
  <c r="Z74" i="3" s="1"/>
  <c r="AI74" i="3"/>
  <c r="AB75" i="3"/>
  <c r="AC75" i="3"/>
  <c r="AD75" i="3"/>
  <c r="AH75" i="3"/>
  <c r="AI75" i="3"/>
  <c r="AB76" i="3"/>
  <c r="AC76" i="3"/>
  <c r="AD76" i="3"/>
  <c r="AH76" i="3"/>
  <c r="AI76" i="3"/>
  <c r="X77" i="3"/>
  <c r="AB77" i="3"/>
  <c r="AC77" i="3"/>
  <c r="AD77" i="3"/>
  <c r="AH77" i="3"/>
  <c r="AI77" i="3"/>
  <c r="Y77" i="3" s="1"/>
  <c r="AB78" i="3"/>
  <c r="AC78" i="3"/>
  <c r="AD78" i="3"/>
  <c r="AH78" i="3"/>
  <c r="AI78" i="3"/>
  <c r="AB79" i="3"/>
  <c r="AC79" i="3"/>
  <c r="AD79" i="3"/>
  <c r="AH79" i="3"/>
  <c r="AI79" i="3"/>
  <c r="AB80" i="3"/>
  <c r="AC80" i="3"/>
  <c r="AD80" i="3"/>
  <c r="AH80" i="3"/>
  <c r="AI80" i="3"/>
  <c r="AA80" i="3" s="1"/>
  <c r="AB81" i="3"/>
  <c r="AC81" i="3"/>
  <c r="AD81" i="3"/>
  <c r="AH81" i="3"/>
  <c r="AI81" i="3"/>
  <c r="AB82" i="3"/>
  <c r="AC82" i="3"/>
  <c r="AD82" i="3"/>
  <c r="AH82" i="3"/>
  <c r="AI82" i="3"/>
  <c r="AB83" i="3"/>
  <c r="AC83" i="3"/>
  <c r="AD83" i="3"/>
  <c r="AH83" i="3"/>
  <c r="AI83" i="3"/>
  <c r="AB84" i="3"/>
  <c r="AC84" i="3"/>
  <c r="AD84" i="3"/>
  <c r="AH84" i="3"/>
  <c r="Z84" i="3" s="1"/>
  <c r="AI84" i="3"/>
  <c r="AA84" i="3" s="1"/>
  <c r="AB85" i="3"/>
  <c r="AC85" i="3"/>
  <c r="AD85" i="3"/>
  <c r="AH85" i="3"/>
  <c r="AI85" i="3"/>
  <c r="W86" i="3"/>
  <c r="AB86" i="3"/>
  <c r="AC86" i="3"/>
  <c r="AD86" i="3"/>
  <c r="AH86" i="3"/>
  <c r="AI86" i="3"/>
  <c r="AB87" i="3"/>
  <c r="AC87" i="3"/>
  <c r="AD87" i="3"/>
  <c r="AH87" i="3"/>
  <c r="Z87" i="3" s="1"/>
  <c r="AI87" i="3"/>
  <c r="AB88" i="3"/>
  <c r="AC88" i="3"/>
  <c r="AD88" i="3"/>
  <c r="AH88" i="3"/>
  <c r="AI88" i="3"/>
  <c r="AB89" i="3"/>
  <c r="AC89" i="3"/>
  <c r="AD89" i="3"/>
  <c r="AH89" i="3"/>
  <c r="AJ89" i="3" s="1"/>
  <c r="AI89" i="3"/>
  <c r="AB90" i="3"/>
  <c r="AC90" i="3"/>
  <c r="AD90" i="3"/>
  <c r="AH90" i="3"/>
  <c r="AI90" i="3"/>
  <c r="AB91" i="3"/>
  <c r="AC91" i="3"/>
  <c r="AD91" i="3"/>
  <c r="AH91" i="3"/>
  <c r="AI91" i="3"/>
  <c r="AJ91" i="3"/>
  <c r="AB92" i="3"/>
  <c r="AC92" i="3"/>
  <c r="AD92" i="3"/>
  <c r="AH92" i="3"/>
  <c r="AI92" i="3"/>
  <c r="AB93" i="3"/>
  <c r="AC93" i="3"/>
  <c r="AD93" i="3"/>
  <c r="AH93" i="3"/>
  <c r="W93" i="3" s="1"/>
  <c r="AI93" i="3"/>
  <c r="X93" i="3" s="1"/>
  <c r="AB94" i="3"/>
  <c r="AC94" i="3"/>
  <c r="AD94" i="3"/>
  <c r="AH94" i="3"/>
  <c r="AI94" i="3"/>
  <c r="AB95" i="3"/>
  <c r="AC95" i="3"/>
  <c r="AD95" i="3"/>
  <c r="AH95" i="3"/>
  <c r="AI95" i="3"/>
  <c r="AB96" i="3"/>
  <c r="AC96" i="3"/>
  <c r="AD96" i="3"/>
  <c r="AH96" i="3"/>
  <c r="AI96" i="3"/>
  <c r="AA96" i="3" s="1"/>
  <c r="AB97" i="3"/>
  <c r="AC97" i="3"/>
  <c r="AD97" i="3"/>
  <c r="AH97" i="3"/>
  <c r="AI97" i="3"/>
  <c r="AB98" i="3"/>
  <c r="AC98" i="3"/>
  <c r="AD98" i="3"/>
  <c r="AH98" i="3"/>
  <c r="AI98" i="3"/>
  <c r="AB99" i="3"/>
  <c r="AC99" i="3"/>
  <c r="AD99" i="3"/>
  <c r="AH99" i="3"/>
  <c r="AI99" i="3"/>
  <c r="X99" i="3" s="1"/>
  <c r="AB100" i="3"/>
  <c r="AC100" i="3"/>
  <c r="AD100" i="3"/>
  <c r="AH100" i="3"/>
  <c r="AI100" i="3"/>
  <c r="AB101" i="3"/>
  <c r="AC101" i="3"/>
  <c r="AD101" i="3"/>
  <c r="AH101" i="3"/>
  <c r="AJ101" i="3" s="1"/>
  <c r="AI101" i="3"/>
  <c r="AB102" i="3"/>
  <c r="AC102" i="3"/>
  <c r="AD102" i="3"/>
  <c r="AH102" i="3"/>
  <c r="AJ102" i="3" s="1"/>
  <c r="AI102" i="3"/>
  <c r="AB103" i="3"/>
  <c r="AC103" i="3"/>
  <c r="AD103" i="3"/>
  <c r="AH103" i="3"/>
  <c r="AI103" i="3"/>
  <c r="X103" i="3" s="1"/>
  <c r="AB104" i="3"/>
  <c r="AC104" i="3"/>
  <c r="AD104" i="3"/>
  <c r="AH104" i="3"/>
  <c r="V104" i="3" s="1"/>
  <c r="AI104" i="3"/>
  <c r="AA104" i="3" s="1"/>
  <c r="AB105" i="3"/>
  <c r="AC105" i="3"/>
  <c r="AD105" i="3"/>
  <c r="AH105" i="3"/>
  <c r="AI105" i="3"/>
  <c r="AB106" i="3"/>
  <c r="AC106" i="3"/>
  <c r="AD106" i="3"/>
  <c r="AH106" i="3"/>
  <c r="AI106" i="3"/>
  <c r="AK106" i="3" s="1"/>
  <c r="AB107" i="3"/>
  <c r="AC107" i="3"/>
  <c r="AD107" i="3"/>
  <c r="AH107" i="3"/>
  <c r="AI107" i="3"/>
  <c r="AK107" i="3" s="1"/>
  <c r="AB108" i="3"/>
  <c r="AC108" i="3"/>
  <c r="AD108" i="3"/>
  <c r="AH108" i="3"/>
  <c r="AI108" i="3"/>
  <c r="AK108" i="3"/>
  <c r="AB109" i="3"/>
  <c r="AC109" i="3"/>
  <c r="AD109" i="3"/>
  <c r="AH109" i="3"/>
  <c r="AI109" i="3"/>
  <c r="X109" i="3" s="1"/>
  <c r="AB110" i="3"/>
  <c r="AC110" i="3"/>
  <c r="AD110" i="3"/>
  <c r="AH110" i="3"/>
  <c r="AI110" i="3"/>
  <c r="AB111" i="3"/>
  <c r="AC111" i="3"/>
  <c r="AD111" i="3"/>
  <c r="AH111" i="3"/>
  <c r="AI111" i="3"/>
  <c r="AB112" i="3"/>
  <c r="AC112" i="3"/>
  <c r="AD112" i="3"/>
  <c r="AH112" i="3"/>
  <c r="AI112" i="3"/>
  <c r="AB113" i="3"/>
  <c r="AC113" i="3"/>
  <c r="AD113" i="3"/>
  <c r="AH113" i="3"/>
  <c r="W113" i="3" s="1"/>
  <c r="AI113" i="3"/>
  <c r="X113" i="3" s="1"/>
  <c r="AB114" i="3"/>
  <c r="AC114" i="3"/>
  <c r="AD114" i="3"/>
  <c r="AH114" i="3"/>
  <c r="AI114" i="3"/>
  <c r="X114" i="3" s="1"/>
  <c r="AB115" i="3"/>
  <c r="AC115" i="3"/>
  <c r="AD115" i="3"/>
  <c r="AH115" i="3"/>
  <c r="AI115" i="3"/>
  <c r="Y115" i="3" s="1"/>
  <c r="AB116" i="3"/>
  <c r="AC116" i="3"/>
  <c r="AD116" i="3"/>
  <c r="AH116" i="3"/>
  <c r="AJ116" i="3" s="1"/>
  <c r="AI116" i="3"/>
  <c r="AB117" i="3"/>
  <c r="AC117" i="3"/>
  <c r="AD117" i="3"/>
  <c r="AH117" i="3"/>
  <c r="AJ117" i="3" s="1"/>
  <c r="AI117" i="3"/>
  <c r="AK117" i="3" s="1"/>
  <c r="AB118" i="3"/>
  <c r="AC118" i="3"/>
  <c r="AD118" i="3"/>
  <c r="AH118" i="3"/>
  <c r="W118" i="3" s="1"/>
  <c r="AI118" i="3"/>
  <c r="AK118" i="3" s="1"/>
  <c r="X119" i="3"/>
  <c r="AB119" i="3"/>
  <c r="AC119" i="3"/>
  <c r="AD119" i="3"/>
  <c r="AH119" i="3"/>
  <c r="AJ119" i="3" s="1"/>
  <c r="AI119" i="3"/>
  <c r="AK119" i="3"/>
  <c r="AB120" i="3"/>
  <c r="AC120" i="3"/>
  <c r="AD120" i="3"/>
  <c r="AH120" i="3"/>
  <c r="AI120" i="3"/>
  <c r="W121" i="3"/>
  <c r="AB121" i="3"/>
  <c r="AC121" i="3"/>
  <c r="AD121" i="3"/>
  <c r="AH121" i="3"/>
  <c r="AJ121" i="3" s="1"/>
  <c r="AI121" i="3"/>
  <c r="X121" i="3" s="1"/>
  <c r="X122" i="3"/>
  <c r="AB122" i="3"/>
  <c r="AC122" i="3"/>
  <c r="AD122" i="3"/>
  <c r="AH122" i="3"/>
  <c r="AI122" i="3"/>
  <c r="AB123" i="3"/>
  <c r="AC123" i="3"/>
  <c r="AD123" i="3"/>
  <c r="AH123" i="3"/>
  <c r="Z123" i="3" s="1"/>
  <c r="AI123" i="3"/>
  <c r="AB124" i="3"/>
  <c r="AC124" i="3"/>
  <c r="AD124" i="3"/>
  <c r="AH124" i="3"/>
  <c r="AI124" i="3"/>
  <c r="X125" i="3"/>
  <c r="AB125" i="3"/>
  <c r="AC125" i="3"/>
  <c r="AD125" i="3"/>
  <c r="AH125" i="3"/>
  <c r="AI125" i="3"/>
  <c r="AK125" i="3" s="1"/>
  <c r="AB126" i="3"/>
  <c r="AC126" i="3"/>
  <c r="AD126" i="3"/>
  <c r="AH126" i="3"/>
  <c r="AJ126" i="3" s="1"/>
  <c r="AI126" i="3"/>
  <c r="AK126" i="3" s="1"/>
  <c r="AB127" i="3"/>
  <c r="AC127" i="3"/>
  <c r="AD127" i="3"/>
  <c r="AH127" i="3"/>
  <c r="W127" i="3" s="1"/>
  <c r="AI127" i="3"/>
  <c r="AB128" i="3"/>
  <c r="AC128" i="3"/>
  <c r="AD128" i="3"/>
  <c r="AH128" i="3"/>
  <c r="AI128" i="3"/>
  <c r="AK128" i="3" s="1"/>
  <c r="AB129" i="3"/>
  <c r="AC129" i="3"/>
  <c r="AD129" i="3"/>
  <c r="AH129" i="3"/>
  <c r="AI129" i="3"/>
  <c r="AB130" i="3"/>
  <c r="AC130" i="3"/>
  <c r="AD130" i="3"/>
  <c r="AH130" i="3"/>
  <c r="AI130" i="3"/>
  <c r="AB131" i="3"/>
  <c r="AC131" i="3"/>
  <c r="AD131" i="3"/>
  <c r="AH131" i="3"/>
  <c r="AI131" i="3"/>
  <c r="Y131" i="3" s="1"/>
  <c r="AB132" i="3"/>
  <c r="AC132" i="3"/>
  <c r="AD132" i="3"/>
  <c r="AH132" i="3"/>
  <c r="AI132" i="3"/>
  <c r="X132" i="3" s="1"/>
  <c r="AB133" i="3"/>
  <c r="AC133" i="3"/>
  <c r="AD133" i="3"/>
  <c r="AH133" i="3"/>
  <c r="W133" i="3" s="1"/>
  <c r="AI133" i="3"/>
  <c r="AB134" i="3"/>
  <c r="AC134" i="3"/>
  <c r="AD134" i="3"/>
  <c r="AH134" i="3"/>
  <c r="AI134" i="3"/>
  <c r="AA134" i="3" s="1"/>
  <c r="AB135" i="3"/>
  <c r="AC135" i="3"/>
  <c r="AD135" i="3"/>
  <c r="AH135" i="3"/>
  <c r="AJ135" i="3" s="1"/>
  <c r="AI135" i="3"/>
  <c r="AB136" i="3"/>
  <c r="AC136" i="3"/>
  <c r="AD136" i="3"/>
  <c r="AH136" i="3"/>
  <c r="AJ136" i="3" s="1"/>
  <c r="AI136" i="3"/>
  <c r="X136" i="3" s="1"/>
  <c r="X137" i="3"/>
  <c r="AB137" i="3"/>
  <c r="AC137" i="3"/>
  <c r="AD137" i="3"/>
  <c r="AH137" i="3"/>
  <c r="AI137" i="3"/>
  <c r="Y137" i="3" s="1"/>
  <c r="AB138" i="3"/>
  <c r="AC138" i="3"/>
  <c r="AD138" i="3"/>
  <c r="AH138" i="3"/>
  <c r="AI138" i="3"/>
  <c r="AB139" i="3"/>
  <c r="AC139" i="3"/>
  <c r="AD139" i="3"/>
  <c r="AH139" i="3"/>
  <c r="AI139" i="3"/>
  <c r="AB140" i="3"/>
  <c r="AC140" i="3"/>
  <c r="AD140" i="3"/>
  <c r="AH140" i="3"/>
  <c r="AI140" i="3"/>
  <c r="AB141" i="3"/>
  <c r="AC141" i="3"/>
  <c r="AD141" i="3"/>
  <c r="AH141" i="3"/>
  <c r="AI141" i="3"/>
  <c r="AK141" i="3" s="1"/>
  <c r="AB142" i="3"/>
  <c r="AC142" i="3"/>
  <c r="AD142" i="3"/>
  <c r="AH142" i="3"/>
  <c r="AI142" i="3"/>
  <c r="Y142" i="3" s="1"/>
  <c r="AB143" i="3"/>
  <c r="AC143" i="3"/>
  <c r="AD143" i="3"/>
  <c r="AH143" i="3"/>
  <c r="AI143" i="3"/>
  <c r="AB144" i="3"/>
  <c r="AC144" i="3"/>
  <c r="AD144" i="3"/>
  <c r="AH144" i="3"/>
  <c r="AI144" i="3"/>
  <c r="AB145" i="3"/>
  <c r="AC145" i="3"/>
  <c r="AD145" i="3"/>
  <c r="AH145" i="3"/>
  <c r="AI145" i="3"/>
  <c r="AB146" i="3"/>
  <c r="AC146" i="3"/>
  <c r="AD146" i="3"/>
  <c r="AH146" i="3"/>
  <c r="AI146" i="3"/>
  <c r="AB147" i="3"/>
  <c r="AC147" i="3"/>
  <c r="AD147" i="3"/>
  <c r="AH147" i="3"/>
  <c r="AI147" i="3"/>
  <c r="AB148" i="3"/>
  <c r="AC148" i="3"/>
  <c r="AD148" i="3"/>
  <c r="AH148" i="3"/>
  <c r="AI148" i="3"/>
  <c r="AB149" i="3"/>
  <c r="AC149" i="3"/>
  <c r="AD149" i="3"/>
  <c r="AH149" i="3"/>
  <c r="AJ149" i="3" s="1"/>
  <c r="AI149" i="3"/>
  <c r="AB150" i="3"/>
  <c r="AC150" i="3"/>
  <c r="AD150" i="3"/>
  <c r="AH150" i="3"/>
  <c r="W150" i="3" s="1"/>
  <c r="AI150" i="3"/>
  <c r="X150" i="3" s="1"/>
  <c r="AB151" i="3"/>
  <c r="AC151" i="3"/>
  <c r="AD151" i="3"/>
  <c r="AH151" i="3"/>
  <c r="AJ151" i="3" s="1"/>
  <c r="AI151" i="3"/>
  <c r="X151" i="3" s="1"/>
  <c r="AB152" i="3"/>
  <c r="AC152" i="3"/>
  <c r="AD152" i="3"/>
  <c r="AH152" i="3"/>
  <c r="AI152" i="3"/>
  <c r="AB153" i="3"/>
  <c r="AC153" i="3"/>
  <c r="AD153" i="3"/>
  <c r="AH153" i="3"/>
  <c r="AI153" i="3"/>
  <c r="AB154" i="3"/>
  <c r="AC154" i="3"/>
  <c r="AD154" i="3"/>
  <c r="AH154" i="3"/>
  <c r="AI154" i="3"/>
  <c r="AA154" i="3" s="1"/>
  <c r="AB155" i="3"/>
  <c r="AC155" i="3"/>
  <c r="AD155" i="3"/>
  <c r="AH155" i="3"/>
  <c r="AI155" i="3"/>
  <c r="AK155" i="3"/>
  <c r="AB156" i="3"/>
  <c r="AC156" i="3"/>
  <c r="AD156" i="3"/>
  <c r="AH156" i="3"/>
  <c r="AI156" i="3"/>
  <c r="AB157" i="3"/>
  <c r="AC157" i="3"/>
  <c r="AD157" i="3"/>
  <c r="AH157" i="3"/>
  <c r="W157" i="3" s="1"/>
  <c r="AI157" i="3"/>
  <c r="AK157" i="3" s="1"/>
  <c r="AB158" i="3"/>
  <c r="AC158" i="3"/>
  <c r="AD158" i="3"/>
  <c r="AH158" i="3"/>
  <c r="AI158" i="3"/>
  <c r="Y158" i="3" s="1"/>
  <c r="AB159" i="3"/>
  <c r="AC159" i="3"/>
  <c r="AD159" i="3"/>
  <c r="AH159" i="3"/>
  <c r="AI159" i="3"/>
  <c r="AB160" i="3"/>
  <c r="AC160" i="3"/>
  <c r="AD160" i="3"/>
  <c r="AH160" i="3"/>
  <c r="AJ160" i="3" s="1"/>
  <c r="AI160" i="3"/>
  <c r="W161" i="3"/>
  <c r="AB161" i="3"/>
  <c r="AC161" i="3"/>
  <c r="AD161" i="3"/>
  <c r="AH161" i="3"/>
  <c r="AI161" i="3"/>
  <c r="AK161" i="3" s="1"/>
  <c r="AB162" i="3"/>
  <c r="AC162" i="3"/>
  <c r="AD162" i="3"/>
  <c r="AH162" i="3"/>
  <c r="AI162" i="3"/>
  <c r="AB163" i="3"/>
  <c r="AC163" i="3"/>
  <c r="AD163" i="3"/>
  <c r="AH163" i="3"/>
  <c r="AI163" i="3"/>
  <c r="AB164" i="3"/>
  <c r="AC164" i="3"/>
  <c r="AD164" i="3"/>
  <c r="AH164" i="3"/>
  <c r="AJ164" i="3" s="1"/>
  <c r="AI164" i="3"/>
  <c r="AK164" i="3"/>
  <c r="AB165" i="3"/>
  <c r="AC165" i="3"/>
  <c r="AD165" i="3"/>
  <c r="AH165" i="3"/>
  <c r="W165" i="3" s="1"/>
  <c r="AI165" i="3"/>
  <c r="AK165" i="3" s="1"/>
  <c r="AJ165" i="3"/>
  <c r="AB166" i="3"/>
  <c r="AC166" i="3"/>
  <c r="AD166" i="3"/>
  <c r="AH166" i="3"/>
  <c r="V166" i="3" s="1"/>
  <c r="AI166" i="3"/>
  <c r="AK166" i="3" s="1"/>
  <c r="AB167" i="3"/>
  <c r="AC167" i="3"/>
  <c r="AD167" i="3"/>
  <c r="AH167" i="3"/>
  <c r="AI167" i="3"/>
  <c r="AA167" i="3" s="1"/>
  <c r="AB168" i="3"/>
  <c r="AC168" i="3"/>
  <c r="AD168" i="3"/>
  <c r="AH168" i="3"/>
  <c r="AI168" i="3"/>
  <c r="AB169" i="3"/>
  <c r="AC169" i="3"/>
  <c r="AD169" i="3"/>
  <c r="AH169" i="3"/>
  <c r="AJ169" i="3" s="1"/>
  <c r="AI169" i="3"/>
  <c r="AB170" i="3"/>
  <c r="AC170" i="3"/>
  <c r="AD170" i="3"/>
  <c r="AH170" i="3"/>
  <c r="AJ170" i="3" s="1"/>
  <c r="AI170" i="3"/>
  <c r="AK170" i="3" s="1"/>
  <c r="V171" i="3"/>
  <c r="AB171" i="3"/>
  <c r="AC171" i="3"/>
  <c r="AD171" i="3"/>
  <c r="AH171" i="3"/>
  <c r="Z171" i="3" s="1"/>
  <c r="AI171" i="3"/>
  <c r="AK171" i="3" s="1"/>
  <c r="Y172" i="3"/>
  <c r="AB172" i="3"/>
  <c r="AC172" i="3"/>
  <c r="AD172" i="3"/>
  <c r="AH172" i="3"/>
  <c r="Z172" i="3" s="1"/>
  <c r="AI172" i="3"/>
  <c r="AK172" i="3" s="1"/>
  <c r="X173" i="3"/>
  <c r="Y173" i="3"/>
  <c r="AB173" i="3"/>
  <c r="AC173" i="3"/>
  <c r="AD173" i="3"/>
  <c r="AH173" i="3"/>
  <c r="W173" i="3" s="1"/>
  <c r="AI173" i="3"/>
  <c r="AB174" i="3"/>
  <c r="AC174" i="3"/>
  <c r="AD174" i="3"/>
  <c r="AH174" i="3"/>
  <c r="V174" i="3" s="1"/>
  <c r="AI174" i="3"/>
  <c r="AK174" i="3" s="1"/>
  <c r="AB175" i="3"/>
  <c r="AC175" i="3"/>
  <c r="AD175" i="3"/>
  <c r="AH175" i="3"/>
  <c r="AJ175" i="3" s="1"/>
  <c r="AI175" i="3"/>
  <c r="AB176" i="3"/>
  <c r="AC176" i="3"/>
  <c r="AD176" i="3"/>
  <c r="AH176" i="3"/>
  <c r="AI176" i="3"/>
  <c r="AK176" i="3" s="1"/>
  <c r="AB177" i="3"/>
  <c r="AC177" i="3"/>
  <c r="AD177" i="3"/>
  <c r="AH177" i="3"/>
  <c r="Z177" i="3" s="1"/>
  <c r="AI177" i="3"/>
  <c r="X177" i="3" s="1"/>
  <c r="AB178" i="3"/>
  <c r="AC178" i="3"/>
  <c r="AD178" i="3"/>
  <c r="AH178" i="3"/>
  <c r="AI178" i="3"/>
  <c r="X178" i="3" s="1"/>
  <c r="AB179" i="3"/>
  <c r="AC179" i="3"/>
  <c r="AD179" i="3"/>
  <c r="AH179" i="3"/>
  <c r="AI179" i="3"/>
  <c r="AB180" i="3"/>
  <c r="AC180" i="3"/>
  <c r="AD180" i="3"/>
  <c r="AH180" i="3"/>
  <c r="V180" i="3" s="1"/>
  <c r="AI180" i="3"/>
  <c r="AB181" i="3"/>
  <c r="AC181" i="3"/>
  <c r="AD181" i="3"/>
  <c r="AH181" i="3"/>
  <c r="AI181" i="3"/>
  <c r="AK181" i="3" s="1"/>
  <c r="W182" i="3"/>
  <c r="AB182" i="3"/>
  <c r="AC182" i="3"/>
  <c r="AD182" i="3"/>
  <c r="AH182" i="3"/>
  <c r="V182" i="3" s="1"/>
  <c r="AI182" i="3"/>
  <c r="AK182" i="3" s="1"/>
  <c r="W183" i="3"/>
  <c r="AB183" i="3"/>
  <c r="AC183" i="3"/>
  <c r="AD183" i="3"/>
  <c r="AH183" i="3"/>
  <c r="AI183" i="3"/>
  <c r="X183" i="3" s="1"/>
  <c r="Y184" i="3"/>
  <c r="AB184" i="3"/>
  <c r="AC184" i="3"/>
  <c r="AD184" i="3"/>
  <c r="AH184" i="3"/>
  <c r="AI184" i="3"/>
  <c r="AK184" i="3" s="1"/>
  <c r="Y185" i="3"/>
  <c r="AB185" i="3"/>
  <c r="AC185" i="3"/>
  <c r="AD185" i="3"/>
  <c r="AH185" i="3"/>
  <c r="V185" i="3" s="1"/>
  <c r="AI185" i="3"/>
  <c r="AB186" i="3"/>
  <c r="AC186" i="3"/>
  <c r="AD186" i="3"/>
  <c r="AH186" i="3"/>
  <c r="AJ186" i="3" s="1"/>
  <c r="AI186" i="3"/>
  <c r="Y186" i="3" s="1"/>
  <c r="AB187" i="3"/>
  <c r="AC187" i="3"/>
  <c r="AD187" i="3"/>
  <c r="AH187" i="3"/>
  <c r="AI187" i="3"/>
  <c r="X187" i="3" s="1"/>
  <c r="AB188" i="3"/>
  <c r="AC188" i="3"/>
  <c r="AD188" i="3"/>
  <c r="AH188" i="3"/>
  <c r="AI188" i="3"/>
  <c r="AA188" i="3" s="1"/>
  <c r="AB189" i="3"/>
  <c r="AC189" i="3"/>
  <c r="AD189" i="3"/>
  <c r="AH189" i="3"/>
  <c r="AI189" i="3"/>
  <c r="X190" i="3"/>
  <c r="AB190" i="3"/>
  <c r="AC190" i="3"/>
  <c r="AD190" i="3"/>
  <c r="AH190" i="3"/>
  <c r="AI190" i="3"/>
  <c r="Y190" i="3" s="1"/>
  <c r="AB191" i="3"/>
  <c r="AC191" i="3"/>
  <c r="AD191" i="3"/>
  <c r="AH191" i="3"/>
  <c r="AI191" i="3"/>
  <c r="AK191" i="3" s="1"/>
  <c r="AB192" i="3"/>
  <c r="AC192" i="3"/>
  <c r="AD192" i="3"/>
  <c r="AH192" i="3"/>
  <c r="AJ192" i="3" s="1"/>
  <c r="AI192" i="3"/>
  <c r="AK192" i="3"/>
  <c r="AB193" i="3"/>
  <c r="AC193" i="3"/>
  <c r="AD193" i="3"/>
  <c r="AH193" i="3"/>
  <c r="Z193" i="3" s="1"/>
  <c r="AI193" i="3"/>
  <c r="AA193" i="3" s="1"/>
  <c r="AB194" i="3"/>
  <c r="AC194" i="3"/>
  <c r="AD194" i="3"/>
  <c r="AH194" i="3"/>
  <c r="V194" i="3" s="1"/>
  <c r="AI194" i="3"/>
  <c r="X194" i="3" s="1"/>
  <c r="AB195" i="3"/>
  <c r="AC195" i="3"/>
  <c r="AD195" i="3"/>
  <c r="AH195" i="3"/>
  <c r="AI195" i="3"/>
  <c r="AB196" i="3"/>
  <c r="AC196" i="3"/>
  <c r="AD196" i="3"/>
  <c r="AH196" i="3"/>
  <c r="AJ196" i="3" s="1"/>
  <c r="AI196" i="3"/>
  <c r="AK196" i="3" s="1"/>
  <c r="AB197" i="3"/>
  <c r="AC197" i="3"/>
  <c r="AD197" i="3"/>
  <c r="AH197" i="3"/>
  <c r="AI197" i="3"/>
  <c r="AK197" i="3" s="1"/>
  <c r="AB198" i="3"/>
  <c r="AC198" i="3"/>
  <c r="AD198" i="3"/>
  <c r="AH198" i="3"/>
  <c r="AI198" i="3"/>
  <c r="X198" i="3" s="1"/>
  <c r="AB199" i="3"/>
  <c r="AC199" i="3"/>
  <c r="AD199" i="3"/>
  <c r="AH199" i="3"/>
  <c r="AJ199" i="3" s="1"/>
  <c r="AI199" i="3"/>
  <c r="AB200" i="3"/>
  <c r="AC200" i="3"/>
  <c r="AD200" i="3"/>
  <c r="AH200" i="3"/>
  <c r="AI200" i="3"/>
  <c r="V201" i="3"/>
  <c r="AB201" i="3"/>
  <c r="AC201" i="3"/>
  <c r="AD201" i="3"/>
  <c r="AH201" i="3"/>
  <c r="AI201" i="3"/>
  <c r="AK201" i="3" s="1"/>
  <c r="V202" i="3"/>
  <c r="AB202" i="3"/>
  <c r="AC202" i="3"/>
  <c r="AD202" i="3"/>
  <c r="AH202" i="3"/>
  <c r="AJ202" i="3" s="1"/>
  <c r="AI202" i="3"/>
  <c r="AB203" i="3"/>
  <c r="AC203" i="3"/>
  <c r="AD203" i="3"/>
  <c r="AH203" i="3"/>
  <c r="W203" i="3" s="1"/>
  <c r="AI203" i="3"/>
  <c r="AK203" i="3" s="1"/>
  <c r="AB204" i="3"/>
  <c r="AC204" i="3"/>
  <c r="AD204" i="3"/>
  <c r="AH204" i="3"/>
  <c r="W204" i="3" s="1"/>
  <c r="AI204" i="3"/>
  <c r="X204" i="3" s="1"/>
  <c r="AB205" i="3"/>
  <c r="AC205" i="3"/>
  <c r="AD205" i="3"/>
  <c r="AH205" i="3"/>
  <c r="Z205" i="3" s="1"/>
  <c r="AI205" i="3"/>
  <c r="AK205" i="3" s="1"/>
  <c r="AB206" i="3"/>
  <c r="AC206" i="3"/>
  <c r="AD206" i="3"/>
  <c r="AH206" i="3"/>
  <c r="V206" i="3" s="1"/>
  <c r="AI206" i="3"/>
  <c r="V207" i="3"/>
  <c r="AB207" i="3"/>
  <c r="AC207" i="3"/>
  <c r="AD207" i="3"/>
  <c r="AH207" i="3"/>
  <c r="AI207" i="3"/>
  <c r="X207" i="3" s="1"/>
  <c r="Y208" i="3"/>
  <c r="AB208" i="3"/>
  <c r="AC208" i="3"/>
  <c r="AD208" i="3"/>
  <c r="AH208" i="3"/>
  <c r="AI208" i="3"/>
  <c r="X208" i="3" s="1"/>
  <c r="AB209" i="3"/>
  <c r="AC209" i="3"/>
  <c r="AD209" i="3"/>
  <c r="AH209" i="3"/>
  <c r="AI209" i="3"/>
  <c r="AK209" i="3" s="1"/>
  <c r="AB210" i="3"/>
  <c r="AC210" i="3"/>
  <c r="AD210" i="3"/>
  <c r="AH210" i="3"/>
  <c r="Z210" i="3" s="1"/>
  <c r="AI210" i="3"/>
  <c r="AK210" i="3" s="1"/>
  <c r="X211" i="3"/>
  <c r="AB211" i="3"/>
  <c r="AC211" i="3"/>
  <c r="AD211" i="3"/>
  <c r="AH211" i="3"/>
  <c r="AI211" i="3"/>
  <c r="AK211" i="3"/>
  <c r="AG5" i="3"/>
  <c r="AF5" i="3"/>
  <c r="AE5" i="3"/>
  <c r="AG6" i="3"/>
  <c r="AF6" i="3"/>
  <c r="AE6" i="3"/>
  <c r="AG7" i="3"/>
  <c r="AF7" i="3"/>
  <c r="AE7" i="3"/>
  <c r="AG8" i="3"/>
  <c r="AF8" i="3"/>
  <c r="AE8" i="3"/>
  <c r="AG9" i="3"/>
  <c r="AF9" i="3"/>
  <c r="AE9" i="3"/>
  <c r="AG10" i="3"/>
  <c r="AF10" i="3"/>
  <c r="AE10" i="3"/>
  <c r="AG11" i="3"/>
  <c r="AF11" i="3"/>
  <c r="AE11" i="3"/>
  <c r="AG12" i="3"/>
  <c r="AF12" i="3"/>
  <c r="AE12" i="3"/>
  <c r="AG13" i="3"/>
  <c r="AF13" i="3"/>
  <c r="AE13" i="3"/>
  <c r="AG14" i="3"/>
  <c r="AF14" i="3"/>
  <c r="AE14" i="3"/>
  <c r="AG15" i="3"/>
  <c r="AF15" i="3"/>
  <c r="AE15" i="3"/>
  <c r="AG16" i="3"/>
  <c r="AF16" i="3"/>
  <c r="AE16" i="3"/>
  <c r="AG17" i="3"/>
  <c r="AF17" i="3"/>
  <c r="AE17" i="3"/>
  <c r="AG18" i="3"/>
  <c r="AF18" i="3"/>
  <c r="AE18" i="3"/>
  <c r="AG19" i="3"/>
  <c r="AF19" i="3"/>
  <c r="AE19" i="3"/>
  <c r="AG20" i="3"/>
  <c r="AF20" i="3"/>
  <c r="AE20" i="3"/>
  <c r="AG21" i="3"/>
  <c r="AF21" i="3"/>
  <c r="AE21" i="3"/>
  <c r="AG22" i="3"/>
  <c r="AF22" i="3"/>
  <c r="AE22" i="3"/>
  <c r="AG23" i="3"/>
  <c r="AF23" i="3"/>
  <c r="AE23" i="3"/>
  <c r="AG24" i="3"/>
  <c r="AF24" i="3"/>
  <c r="AE24" i="3"/>
  <c r="AG25" i="3"/>
  <c r="AF25" i="3"/>
  <c r="AE25" i="3"/>
  <c r="AG26" i="3"/>
  <c r="AF26" i="3"/>
  <c r="AE26" i="3"/>
  <c r="AG27" i="3"/>
  <c r="AF27" i="3"/>
  <c r="AE27" i="3"/>
  <c r="AG28" i="3"/>
  <c r="AF28" i="3"/>
  <c r="AE28" i="3"/>
  <c r="AG29" i="3"/>
  <c r="AF29" i="3"/>
  <c r="AE29" i="3"/>
  <c r="AG30" i="3"/>
  <c r="AF30" i="3"/>
  <c r="AE30" i="3"/>
  <c r="AG31" i="3"/>
  <c r="AF31" i="3"/>
  <c r="AE31" i="3"/>
  <c r="AG32" i="3"/>
  <c r="AF32" i="3"/>
  <c r="AE32" i="3"/>
  <c r="AG33" i="3"/>
  <c r="AF33" i="3"/>
  <c r="AE33" i="3"/>
  <c r="AG34" i="3"/>
  <c r="AF34" i="3"/>
  <c r="AE34" i="3"/>
  <c r="AG35" i="3"/>
  <c r="AF35" i="3"/>
  <c r="AE35" i="3"/>
  <c r="AG36" i="3"/>
  <c r="AF36" i="3"/>
  <c r="AE36" i="3"/>
  <c r="AG37" i="3"/>
  <c r="AF37" i="3"/>
  <c r="AE37" i="3"/>
  <c r="AG38" i="3"/>
  <c r="AF38" i="3"/>
  <c r="AE38" i="3"/>
  <c r="AG39" i="3"/>
  <c r="AF39" i="3"/>
  <c r="AE39" i="3"/>
  <c r="AG40" i="3"/>
  <c r="AF40" i="3"/>
  <c r="AE40" i="3"/>
  <c r="AG41" i="3"/>
  <c r="AF41" i="3"/>
  <c r="AE41" i="3"/>
  <c r="AG42" i="3"/>
  <c r="AF42" i="3"/>
  <c r="AE42" i="3"/>
  <c r="AG43" i="3"/>
  <c r="AF43" i="3"/>
  <c r="AE43" i="3"/>
  <c r="AG44" i="3"/>
  <c r="AF44" i="3"/>
  <c r="AE44" i="3"/>
  <c r="AG45" i="3"/>
  <c r="AF45" i="3"/>
  <c r="AE45" i="3"/>
  <c r="AG46" i="3"/>
  <c r="AF46" i="3"/>
  <c r="AE46" i="3"/>
  <c r="AG47" i="3"/>
  <c r="AF47" i="3"/>
  <c r="AE47" i="3"/>
  <c r="AG48" i="3"/>
  <c r="AF48" i="3"/>
  <c r="AE48" i="3"/>
  <c r="AG49" i="3"/>
  <c r="AF49" i="3"/>
  <c r="AE49" i="3"/>
  <c r="AG50" i="3"/>
  <c r="AF50" i="3"/>
  <c r="AE50" i="3"/>
  <c r="AG51" i="3"/>
  <c r="AF51" i="3"/>
  <c r="AE51" i="3"/>
  <c r="AG52" i="3"/>
  <c r="AF52" i="3"/>
  <c r="AE52" i="3"/>
  <c r="AG53" i="3"/>
  <c r="AF53" i="3"/>
  <c r="AE53" i="3"/>
  <c r="AG54" i="3"/>
  <c r="AF54" i="3"/>
  <c r="AE54" i="3"/>
  <c r="AG55" i="3"/>
  <c r="AF55" i="3"/>
  <c r="AE55" i="3"/>
  <c r="AG56" i="3"/>
  <c r="AF56" i="3"/>
  <c r="AE56" i="3"/>
  <c r="AG57" i="3"/>
  <c r="AF57" i="3"/>
  <c r="AE57" i="3"/>
  <c r="AG58" i="3"/>
  <c r="AF58" i="3"/>
  <c r="AE58" i="3"/>
  <c r="AG59" i="3"/>
  <c r="AF59" i="3"/>
  <c r="AE59" i="3"/>
  <c r="AG60" i="3"/>
  <c r="AF60" i="3"/>
  <c r="AE60" i="3"/>
  <c r="AG61" i="3"/>
  <c r="AF61" i="3"/>
  <c r="AE61" i="3"/>
  <c r="AG62" i="3"/>
  <c r="AF62" i="3"/>
  <c r="AE62" i="3"/>
  <c r="AG63" i="3"/>
  <c r="AF63" i="3"/>
  <c r="AE63" i="3"/>
  <c r="AG64" i="3"/>
  <c r="AF64" i="3"/>
  <c r="AE64" i="3"/>
  <c r="AG65" i="3"/>
  <c r="AF65" i="3"/>
  <c r="AE65" i="3"/>
  <c r="AG66" i="3"/>
  <c r="AF66" i="3"/>
  <c r="AE66" i="3"/>
  <c r="AG67" i="3"/>
  <c r="AF67" i="3"/>
  <c r="AE67" i="3"/>
  <c r="AG68" i="3"/>
  <c r="AF68" i="3"/>
  <c r="AE68" i="3"/>
  <c r="AG69" i="3"/>
  <c r="AF69" i="3"/>
  <c r="AE69" i="3"/>
  <c r="AG70" i="3"/>
  <c r="AF70" i="3"/>
  <c r="AE70" i="3"/>
  <c r="AG71" i="3"/>
  <c r="AF71" i="3"/>
  <c r="AE71" i="3"/>
  <c r="AG72" i="3"/>
  <c r="AF72" i="3"/>
  <c r="AE72" i="3"/>
  <c r="AG73" i="3"/>
  <c r="AF73" i="3"/>
  <c r="AE73" i="3"/>
  <c r="AG74" i="3"/>
  <c r="AF74" i="3"/>
  <c r="AE74" i="3"/>
  <c r="AG75" i="3"/>
  <c r="AF75" i="3"/>
  <c r="AE75" i="3"/>
  <c r="AG76" i="3"/>
  <c r="AF76" i="3"/>
  <c r="AE76" i="3"/>
  <c r="AG77" i="3"/>
  <c r="AF77" i="3"/>
  <c r="AE77" i="3"/>
  <c r="AG78" i="3"/>
  <c r="AF78" i="3"/>
  <c r="AE78" i="3"/>
  <c r="AG79" i="3"/>
  <c r="AF79" i="3"/>
  <c r="AE79" i="3"/>
  <c r="AG80" i="3"/>
  <c r="AF80" i="3"/>
  <c r="AE80" i="3"/>
  <c r="AG81" i="3"/>
  <c r="AF81" i="3"/>
  <c r="AE81" i="3"/>
  <c r="AG82" i="3"/>
  <c r="AF82" i="3"/>
  <c r="AE82" i="3"/>
  <c r="AG83" i="3"/>
  <c r="AF83" i="3"/>
  <c r="AE83" i="3"/>
  <c r="AG84" i="3"/>
  <c r="AF84" i="3"/>
  <c r="AE84" i="3"/>
  <c r="AG85" i="3"/>
  <c r="AF85" i="3"/>
  <c r="AE85" i="3"/>
  <c r="AG86" i="3"/>
  <c r="AF86" i="3"/>
  <c r="AE86" i="3"/>
  <c r="AG87" i="3"/>
  <c r="AF87" i="3"/>
  <c r="AE87" i="3"/>
  <c r="AG88" i="3"/>
  <c r="AF88" i="3"/>
  <c r="AE88" i="3"/>
  <c r="AG89" i="3"/>
  <c r="AF89" i="3"/>
  <c r="AE89" i="3"/>
  <c r="AG90" i="3"/>
  <c r="AF90" i="3"/>
  <c r="AE90" i="3"/>
  <c r="AG91" i="3"/>
  <c r="AF91" i="3"/>
  <c r="AE91" i="3"/>
  <c r="AG92" i="3"/>
  <c r="AF92" i="3"/>
  <c r="AE92" i="3"/>
  <c r="AG93" i="3"/>
  <c r="AF93" i="3"/>
  <c r="AE93" i="3"/>
  <c r="AG94" i="3"/>
  <c r="AF94" i="3"/>
  <c r="AE94" i="3"/>
  <c r="AG95" i="3"/>
  <c r="AF95" i="3"/>
  <c r="AE95" i="3"/>
  <c r="AG96" i="3"/>
  <c r="AF96" i="3"/>
  <c r="AE96" i="3"/>
  <c r="AG97" i="3"/>
  <c r="AF97" i="3"/>
  <c r="AE97" i="3"/>
  <c r="AG98" i="3"/>
  <c r="AF98" i="3"/>
  <c r="AE98" i="3"/>
  <c r="AG99" i="3"/>
  <c r="AF99" i="3"/>
  <c r="AE99" i="3"/>
  <c r="AG100" i="3"/>
  <c r="AF100" i="3"/>
  <c r="AE100" i="3"/>
  <c r="AG101" i="3"/>
  <c r="AF101" i="3"/>
  <c r="AE101" i="3"/>
  <c r="AG102" i="3"/>
  <c r="AF102" i="3"/>
  <c r="AE102" i="3"/>
  <c r="AG103" i="3"/>
  <c r="AF103" i="3"/>
  <c r="AE103" i="3"/>
  <c r="AG104" i="3"/>
  <c r="AF104" i="3"/>
  <c r="AE104" i="3"/>
  <c r="AG105" i="3"/>
  <c r="AF105" i="3"/>
  <c r="AE105" i="3"/>
  <c r="AG106" i="3"/>
  <c r="AF106" i="3"/>
  <c r="AE106" i="3"/>
  <c r="AG107" i="3"/>
  <c r="AF107" i="3"/>
  <c r="AE107" i="3"/>
  <c r="AG108" i="3"/>
  <c r="AF108" i="3"/>
  <c r="AE108" i="3"/>
  <c r="AG109" i="3"/>
  <c r="AF109" i="3"/>
  <c r="AE109" i="3"/>
  <c r="AG110" i="3"/>
  <c r="AF110" i="3"/>
  <c r="AE110" i="3"/>
  <c r="AG111" i="3"/>
  <c r="AF111" i="3"/>
  <c r="AE111" i="3"/>
  <c r="AG112" i="3"/>
  <c r="AF112" i="3"/>
  <c r="AE112" i="3"/>
  <c r="AG113" i="3"/>
  <c r="AF113" i="3"/>
  <c r="AE113" i="3"/>
  <c r="AG114" i="3"/>
  <c r="AF114" i="3"/>
  <c r="AE114" i="3"/>
  <c r="AG115" i="3"/>
  <c r="AF115" i="3"/>
  <c r="AE115" i="3"/>
  <c r="AG116" i="3"/>
  <c r="AF116" i="3"/>
  <c r="AE116" i="3"/>
  <c r="AG117" i="3"/>
  <c r="AF117" i="3"/>
  <c r="AE117" i="3"/>
  <c r="AG118" i="3"/>
  <c r="AF118" i="3"/>
  <c r="AE118" i="3"/>
  <c r="AG119" i="3"/>
  <c r="AF119" i="3"/>
  <c r="AE119" i="3"/>
  <c r="AG120" i="3"/>
  <c r="AF120" i="3"/>
  <c r="AE120" i="3"/>
  <c r="AG121" i="3"/>
  <c r="AF121" i="3"/>
  <c r="AE121" i="3"/>
  <c r="AG122" i="3"/>
  <c r="AF122" i="3"/>
  <c r="AE122" i="3"/>
  <c r="AG123" i="3"/>
  <c r="AF123" i="3"/>
  <c r="AE123" i="3"/>
  <c r="AG124" i="3"/>
  <c r="AF124" i="3"/>
  <c r="AE124" i="3"/>
  <c r="AG125" i="3"/>
  <c r="AF125" i="3"/>
  <c r="AE125" i="3"/>
  <c r="AG126" i="3"/>
  <c r="AF126" i="3"/>
  <c r="AE126" i="3"/>
  <c r="AG127" i="3"/>
  <c r="AF127" i="3"/>
  <c r="AE127" i="3"/>
  <c r="AG128" i="3"/>
  <c r="AF128" i="3"/>
  <c r="AE128" i="3"/>
  <c r="AG129" i="3"/>
  <c r="AF129" i="3"/>
  <c r="AE129" i="3"/>
  <c r="AG130" i="3"/>
  <c r="AF130" i="3"/>
  <c r="AE130" i="3"/>
  <c r="AG131" i="3"/>
  <c r="AF131" i="3"/>
  <c r="AE131" i="3"/>
  <c r="AG132" i="3"/>
  <c r="AF132" i="3"/>
  <c r="AE132" i="3"/>
  <c r="AG133" i="3"/>
  <c r="AF133" i="3"/>
  <c r="AE133" i="3"/>
  <c r="AG134" i="3"/>
  <c r="AF134" i="3"/>
  <c r="AE134" i="3"/>
  <c r="AG135" i="3"/>
  <c r="AF135" i="3"/>
  <c r="AE135" i="3"/>
  <c r="AG136" i="3"/>
  <c r="AF136" i="3"/>
  <c r="AE136" i="3"/>
  <c r="AG137" i="3"/>
  <c r="AF137" i="3"/>
  <c r="AE137" i="3"/>
  <c r="AG138" i="3"/>
  <c r="AF138" i="3"/>
  <c r="AE138" i="3"/>
  <c r="AG139" i="3"/>
  <c r="AF139" i="3"/>
  <c r="AE139" i="3"/>
  <c r="AG140" i="3"/>
  <c r="AF140" i="3"/>
  <c r="AE140" i="3"/>
  <c r="AG141" i="3"/>
  <c r="AF141" i="3"/>
  <c r="AE141" i="3"/>
  <c r="AG142" i="3"/>
  <c r="AF142" i="3"/>
  <c r="AE142" i="3"/>
  <c r="AG143" i="3"/>
  <c r="AF143" i="3"/>
  <c r="AE143" i="3"/>
  <c r="AG144" i="3"/>
  <c r="AF144" i="3"/>
  <c r="AE144" i="3"/>
  <c r="AG145" i="3"/>
  <c r="AF145" i="3"/>
  <c r="AE145" i="3"/>
  <c r="AG146" i="3"/>
  <c r="AF146" i="3"/>
  <c r="AE146" i="3"/>
  <c r="AG147" i="3"/>
  <c r="AF147" i="3"/>
  <c r="AE147" i="3"/>
  <c r="AG148" i="3"/>
  <c r="AF148" i="3"/>
  <c r="AE148" i="3"/>
  <c r="AG149" i="3"/>
  <c r="AF149" i="3"/>
  <c r="AE149" i="3"/>
  <c r="AG150" i="3"/>
  <c r="AF150" i="3"/>
  <c r="AE150" i="3"/>
  <c r="AG151" i="3"/>
  <c r="AF151" i="3"/>
  <c r="AE151" i="3"/>
  <c r="AG152" i="3"/>
  <c r="AF152" i="3"/>
  <c r="AE152" i="3"/>
  <c r="AG153" i="3"/>
  <c r="AF153" i="3"/>
  <c r="AE153" i="3"/>
  <c r="AG154" i="3"/>
  <c r="AF154" i="3"/>
  <c r="AE154" i="3"/>
  <c r="AG155" i="3"/>
  <c r="AF155" i="3"/>
  <c r="AE155" i="3"/>
  <c r="AG156" i="3"/>
  <c r="AF156" i="3"/>
  <c r="AE156" i="3"/>
  <c r="AG157" i="3"/>
  <c r="AF157" i="3"/>
  <c r="AE157" i="3"/>
  <c r="AG158" i="3"/>
  <c r="AF158" i="3"/>
  <c r="AE158" i="3"/>
  <c r="AG159" i="3"/>
  <c r="AF159" i="3"/>
  <c r="AE159" i="3"/>
  <c r="AG160" i="3"/>
  <c r="AF160" i="3"/>
  <c r="AE160" i="3"/>
  <c r="AG161" i="3"/>
  <c r="AF161" i="3"/>
  <c r="AE161" i="3"/>
  <c r="AG162" i="3"/>
  <c r="AF162" i="3"/>
  <c r="AE162" i="3"/>
  <c r="AG163" i="3"/>
  <c r="AF163" i="3"/>
  <c r="AE163" i="3"/>
  <c r="AG164" i="3"/>
  <c r="AF164" i="3"/>
  <c r="AE164" i="3"/>
  <c r="AG165" i="3"/>
  <c r="AF165" i="3"/>
  <c r="AE165" i="3"/>
  <c r="AG166" i="3"/>
  <c r="AF166" i="3"/>
  <c r="AE166" i="3"/>
  <c r="AG167" i="3"/>
  <c r="AF167" i="3"/>
  <c r="AE167" i="3"/>
  <c r="AG168" i="3"/>
  <c r="AF168" i="3"/>
  <c r="AE168" i="3"/>
  <c r="AG169" i="3"/>
  <c r="AF169" i="3"/>
  <c r="AE169" i="3"/>
  <c r="AG170" i="3"/>
  <c r="AF170" i="3"/>
  <c r="AE170" i="3"/>
  <c r="AG171" i="3"/>
  <c r="AF171" i="3"/>
  <c r="AE171" i="3"/>
  <c r="AG172" i="3"/>
  <c r="AF172" i="3"/>
  <c r="AE172" i="3"/>
  <c r="AG173" i="3"/>
  <c r="AF173" i="3"/>
  <c r="AE173" i="3"/>
  <c r="AG174" i="3"/>
  <c r="AF174" i="3"/>
  <c r="AE174" i="3"/>
  <c r="AG175" i="3"/>
  <c r="AF175" i="3"/>
  <c r="AE175" i="3"/>
  <c r="AG176" i="3"/>
  <c r="AF176" i="3"/>
  <c r="AE176" i="3"/>
  <c r="AG177" i="3"/>
  <c r="AF177" i="3"/>
  <c r="AE177" i="3"/>
  <c r="AG178" i="3"/>
  <c r="AF178" i="3"/>
  <c r="AE178" i="3"/>
  <c r="AG179" i="3"/>
  <c r="AF179" i="3"/>
  <c r="AE179" i="3"/>
  <c r="AG180" i="3"/>
  <c r="AF180" i="3"/>
  <c r="AE180" i="3"/>
  <c r="AG181" i="3"/>
  <c r="AF181" i="3"/>
  <c r="AE181" i="3"/>
  <c r="AG182" i="3"/>
  <c r="AF182" i="3"/>
  <c r="AE182" i="3"/>
  <c r="AG183" i="3"/>
  <c r="AF183" i="3"/>
  <c r="AE183" i="3"/>
  <c r="AG184" i="3"/>
  <c r="AF184" i="3"/>
  <c r="AE184" i="3"/>
  <c r="AG185" i="3"/>
  <c r="AF185" i="3"/>
  <c r="AE185" i="3"/>
  <c r="AG186" i="3"/>
  <c r="AF186" i="3"/>
  <c r="AE186" i="3"/>
  <c r="AG187" i="3"/>
  <c r="AF187" i="3"/>
  <c r="AE187" i="3"/>
  <c r="AG188" i="3"/>
  <c r="AF188" i="3"/>
  <c r="AE188" i="3"/>
  <c r="AG189" i="3"/>
  <c r="AF189" i="3"/>
  <c r="AE189" i="3"/>
  <c r="AG190" i="3"/>
  <c r="AF190" i="3"/>
  <c r="AE190" i="3"/>
  <c r="AG191" i="3"/>
  <c r="AF191" i="3"/>
  <c r="AE191" i="3"/>
  <c r="AG192" i="3"/>
  <c r="AF192" i="3"/>
  <c r="AE192" i="3"/>
  <c r="AG193" i="3"/>
  <c r="AF193" i="3"/>
  <c r="AE193" i="3"/>
  <c r="AG194" i="3"/>
  <c r="AF194" i="3"/>
  <c r="AE194" i="3"/>
  <c r="AG195" i="3"/>
  <c r="AF195" i="3"/>
  <c r="AE195" i="3"/>
  <c r="AG196" i="3"/>
  <c r="AF196" i="3"/>
  <c r="AE196" i="3"/>
  <c r="AG197" i="3"/>
  <c r="AF197" i="3"/>
  <c r="AE197" i="3"/>
  <c r="AG198" i="3"/>
  <c r="AF198" i="3"/>
  <c r="AE198" i="3"/>
  <c r="AG199" i="3"/>
  <c r="AF199" i="3"/>
  <c r="AE199" i="3"/>
  <c r="AG200" i="3"/>
  <c r="AF200" i="3"/>
  <c r="AE200" i="3"/>
  <c r="AG201" i="3"/>
  <c r="AF201" i="3"/>
  <c r="AE201" i="3"/>
  <c r="AG202" i="3"/>
  <c r="AF202" i="3"/>
  <c r="AE202" i="3"/>
  <c r="AG203" i="3"/>
  <c r="AF203" i="3"/>
  <c r="AE203" i="3"/>
  <c r="AG204" i="3"/>
  <c r="AF204" i="3"/>
  <c r="AE204" i="3"/>
  <c r="AG205" i="3"/>
  <c r="AF205" i="3"/>
  <c r="AE205" i="3"/>
  <c r="AG206" i="3"/>
  <c r="AF206" i="3"/>
  <c r="AE206" i="3"/>
  <c r="AG207" i="3"/>
  <c r="AF207" i="3"/>
  <c r="AE207" i="3"/>
  <c r="AG208" i="3"/>
  <c r="AF208" i="3"/>
  <c r="AE208" i="3"/>
  <c r="AG209" i="3"/>
  <c r="AF209" i="3"/>
  <c r="AE209" i="3"/>
  <c r="AG210" i="3"/>
  <c r="AF210" i="3"/>
  <c r="AE210" i="3"/>
  <c r="AG211" i="3"/>
  <c r="AF211" i="3"/>
  <c r="AE211" i="3"/>
  <c r="AJ174" i="3" l="1"/>
  <c r="X167" i="3"/>
  <c r="AJ133" i="3"/>
  <c r="Z92" i="3"/>
  <c r="AA43" i="3"/>
  <c r="AA19" i="3"/>
  <c r="Z19" i="3"/>
  <c r="AA206" i="3"/>
  <c r="AA200" i="3"/>
  <c r="AA101" i="3"/>
  <c r="W74" i="3"/>
  <c r="Z200" i="3"/>
  <c r="Z24" i="3"/>
  <c r="AK208" i="3"/>
  <c r="AJ182" i="3"/>
  <c r="W169" i="3"/>
  <c r="AA160" i="3"/>
  <c r="Y136" i="3"/>
  <c r="AA94" i="3"/>
  <c r="AA88" i="3"/>
  <c r="Z211" i="3"/>
  <c r="Y197" i="3"/>
  <c r="W166" i="3"/>
  <c r="Y113" i="3"/>
  <c r="AA97" i="3"/>
  <c r="Z91" i="3"/>
  <c r="AK20" i="3"/>
  <c r="Z18" i="3"/>
  <c r="Z208" i="3"/>
  <c r="Z168" i="3"/>
  <c r="Z115" i="3"/>
  <c r="AK109" i="3"/>
  <c r="AJ20" i="3"/>
  <c r="AA72" i="3"/>
  <c r="AA38" i="3"/>
  <c r="Z187" i="3"/>
  <c r="Z153" i="3"/>
  <c r="Z137" i="3"/>
  <c r="X193" i="3"/>
  <c r="AA50" i="3"/>
  <c r="Z201" i="3"/>
  <c r="Z195" i="3"/>
  <c r="W193" i="3"/>
  <c r="Z178" i="3"/>
  <c r="Z22" i="3"/>
  <c r="V20" i="3"/>
  <c r="AK136" i="3"/>
  <c r="AA108" i="3"/>
  <c r="AA92" i="3"/>
  <c r="AA86" i="3"/>
  <c r="AJ19" i="3"/>
  <c r="Z176" i="3"/>
  <c r="Z103" i="3"/>
  <c r="W174" i="3"/>
  <c r="X172" i="3"/>
  <c r="AJ203" i="3"/>
  <c r="AJ185" i="3"/>
  <c r="AK198" i="3"/>
  <c r="AK190" i="3"/>
  <c r="AA185" i="3"/>
  <c r="Y176" i="3"/>
  <c r="Y150" i="3"/>
  <c r="Y103" i="3"/>
  <c r="Z55" i="3"/>
  <c r="Y53" i="3"/>
  <c r="Y44" i="3"/>
  <c r="W21" i="3"/>
  <c r="Y206" i="3"/>
  <c r="AJ180" i="3"/>
  <c r="AA175" i="3"/>
  <c r="W9" i="3"/>
  <c r="Y188" i="3"/>
  <c r="X158" i="3"/>
  <c r="AK134" i="3"/>
  <c r="Y108" i="3"/>
  <c r="W44" i="3"/>
  <c r="X188" i="3"/>
  <c r="AK177" i="3"/>
  <c r="X108" i="3"/>
  <c r="Y19" i="3"/>
  <c r="X19" i="3"/>
  <c r="V203" i="3"/>
  <c r="AA139" i="3"/>
  <c r="X126" i="3"/>
  <c r="AA109" i="3"/>
  <c r="Y26" i="3"/>
  <c r="W19" i="3"/>
  <c r="W6" i="3"/>
  <c r="V175" i="3"/>
  <c r="Z109" i="3"/>
  <c r="Y93" i="3"/>
  <c r="Z207" i="3"/>
  <c r="W195" i="3"/>
  <c r="X115" i="3"/>
  <c r="W102" i="3"/>
  <c r="X66" i="3"/>
  <c r="W8" i="3"/>
  <c r="W205" i="3"/>
  <c r="Y200" i="3"/>
  <c r="Z197" i="3"/>
  <c r="Z184" i="3"/>
  <c r="X31" i="3"/>
  <c r="X200" i="3"/>
  <c r="X182" i="3"/>
  <c r="Y177" i="3"/>
  <c r="Y151" i="3"/>
  <c r="AA127" i="3"/>
  <c r="AA119" i="3"/>
  <c r="X107" i="3"/>
  <c r="X104" i="3"/>
  <c r="Y28" i="3"/>
  <c r="Y20" i="3"/>
  <c r="AA138" i="3"/>
  <c r="Y109" i="3"/>
  <c r="V144" i="3"/>
  <c r="Z144" i="3"/>
  <c r="W82" i="3"/>
  <c r="Z82" i="3"/>
  <c r="X78" i="3"/>
  <c r="AA78" i="3"/>
  <c r="AK69" i="3"/>
  <c r="AA69" i="3"/>
  <c r="AK60" i="3"/>
  <c r="AA60" i="3"/>
  <c r="W53" i="3"/>
  <c r="Z53" i="3"/>
  <c r="W46" i="3"/>
  <c r="Z46" i="3"/>
  <c r="V26" i="3"/>
  <c r="Z26" i="3"/>
  <c r="AK21" i="3"/>
  <c r="AA21" i="3"/>
  <c r="AK13" i="3"/>
  <c r="AA13" i="3"/>
  <c r="AJ211" i="3"/>
  <c r="AA198" i="3"/>
  <c r="Z194" i="3"/>
  <c r="W192" i="3"/>
  <c r="AK188" i="3"/>
  <c r="X180" i="3"/>
  <c r="AA180" i="3"/>
  <c r="Z169" i="3"/>
  <c r="Y161" i="3"/>
  <c r="AA161" i="3"/>
  <c r="Y156" i="3"/>
  <c r="AA156" i="3"/>
  <c r="Z142" i="3"/>
  <c r="AK132" i="3"/>
  <c r="AA132" i="3"/>
  <c r="V127" i="3"/>
  <c r="Z127" i="3"/>
  <c r="X124" i="3"/>
  <c r="AA124" i="3"/>
  <c r="AK122" i="3"/>
  <c r="AA122" i="3"/>
  <c r="X116" i="3"/>
  <c r="AA116" i="3"/>
  <c r="V111" i="3"/>
  <c r="Z111" i="3"/>
  <c r="AJ109" i="3"/>
  <c r="V102" i="3"/>
  <c r="V96" i="3"/>
  <c r="Z96" i="3"/>
  <c r="V94" i="3"/>
  <c r="Z94" i="3"/>
  <c r="AA89" i="3"/>
  <c r="V80" i="3"/>
  <c r="Z80" i="3"/>
  <c r="V78" i="3"/>
  <c r="Z78" i="3"/>
  <c r="V69" i="3"/>
  <c r="Z69" i="3"/>
  <c r="W60" i="3"/>
  <c r="Z60" i="3"/>
  <c r="AK58" i="3"/>
  <c r="AA58" i="3"/>
  <c r="AJ44" i="3"/>
  <c r="V41" i="3"/>
  <c r="Z41" i="3"/>
  <c r="AK36" i="3"/>
  <c r="AA36" i="3"/>
  <c r="Y34" i="3"/>
  <c r="AA34" i="3"/>
  <c r="AK29" i="3"/>
  <c r="AA29" i="3"/>
  <c r="Z21" i="3"/>
  <c r="AJ13" i="3"/>
  <c r="Z13" i="3"/>
  <c r="AK10" i="3"/>
  <c r="AA10" i="3"/>
  <c r="V163" i="3"/>
  <c r="Z163" i="3"/>
  <c r="Y211" i="3"/>
  <c r="AA211" i="3"/>
  <c r="AJ205" i="3"/>
  <c r="X201" i="3"/>
  <c r="AA201" i="3"/>
  <c r="Z198" i="3"/>
  <c r="X196" i="3"/>
  <c r="V192" i="3"/>
  <c r="W186" i="3"/>
  <c r="AJ184" i="3"/>
  <c r="Z180" i="3"/>
  <c r="Y175" i="3"/>
  <c r="AK173" i="3"/>
  <c r="AA173" i="3"/>
  <c r="AK167" i="3"/>
  <c r="V161" i="3"/>
  <c r="Z161" i="3"/>
  <c r="V156" i="3"/>
  <c r="Z156" i="3"/>
  <c r="AJ132" i="3"/>
  <c r="Z132" i="3"/>
  <c r="AJ124" i="3"/>
  <c r="Z124" i="3"/>
  <c r="W122" i="3"/>
  <c r="Z122" i="3"/>
  <c r="Z116" i="3"/>
  <c r="X106" i="3"/>
  <c r="AA106" i="3"/>
  <c r="V89" i="3"/>
  <c r="Z89" i="3"/>
  <c r="AK87" i="3"/>
  <c r="AA87" i="3"/>
  <c r="Y86" i="3"/>
  <c r="Z58" i="3"/>
  <c r="Y50" i="3"/>
  <c r="AK44" i="3"/>
  <c r="AA44" i="3"/>
  <c r="V36" i="3"/>
  <c r="Z36" i="3"/>
  <c r="V34" i="3"/>
  <c r="Z34" i="3"/>
  <c r="V29" i="3"/>
  <c r="Z29" i="3"/>
  <c r="W25" i="3"/>
  <c r="W18" i="3"/>
  <c r="AJ10" i="3"/>
  <c r="Z10" i="3"/>
  <c r="AK7" i="3"/>
  <c r="AA7" i="3"/>
  <c r="W207" i="3"/>
  <c r="X205" i="3"/>
  <c r="AA205" i="3"/>
  <c r="X203" i="3"/>
  <c r="W196" i="3"/>
  <c r="AJ188" i="3"/>
  <c r="Z188" i="3"/>
  <c r="V186" i="3"/>
  <c r="X184" i="3"/>
  <c r="AA184" i="3"/>
  <c r="Y182" i="3"/>
  <c r="AK178" i="3"/>
  <c r="AA178" i="3"/>
  <c r="X175" i="3"/>
  <c r="AJ173" i="3"/>
  <c r="Z173" i="3"/>
  <c r="Y165" i="3"/>
  <c r="Y140" i="3"/>
  <c r="AA140" i="3"/>
  <c r="AK135" i="3"/>
  <c r="AA135" i="3"/>
  <c r="V119" i="3"/>
  <c r="Z119" i="3"/>
  <c r="AK114" i="3"/>
  <c r="AA114" i="3"/>
  <c r="W106" i="3"/>
  <c r="Z106" i="3"/>
  <c r="AJ104" i="3"/>
  <c r="Z104" i="3"/>
  <c r="AK99" i="3"/>
  <c r="AA99" i="3"/>
  <c r="X86" i="3"/>
  <c r="Y76" i="3"/>
  <c r="AA76" i="3"/>
  <c r="AK74" i="3"/>
  <c r="AA74" i="3"/>
  <c r="AK67" i="3"/>
  <c r="AA67" i="3"/>
  <c r="AK56" i="3"/>
  <c r="AA56" i="3"/>
  <c r="AJ51" i="3"/>
  <c r="Z51" i="3"/>
  <c r="X50" i="3"/>
  <c r="AJ24" i="3"/>
  <c r="V18" i="3"/>
  <c r="AJ7" i="3"/>
  <c r="Z7" i="3"/>
  <c r="AJ146" i="3"/>
  <c r="Z146" i="3"/>
  <c r="X210" i="3"/>
  <c r="AJ195" i="3"/>
  <c r="Y193" i="3"/>
  <c r="X191" i="3"/>
  <c r="AA191" i="3"/>
  <c r="AK185" i="3"/>
  <c r="AJ167" i="3"/>
  <c r="Z167" i="3"/>
  <c r="AK159" i="3"/>
  <c r="AA159" i="3"/>
  <c r="AJ154" i="3"/>
  <c r="Z154" i="3"/>
  <c r="X152" i="3"/>
  <c r="AA152" i="3"/>
  <c r="AK149" i="3"/>
  <c r="AA149" i="3"/>
  <c r="V140" i="3"/>
  <c r="Z140" i="3"/>
  <c r="V135" i="3"/>
  <c r="Z135" i="3"/>
  <c r="Y130" i="3"/>
  <c r="AA130" i="3"/>
  <c r="V114" i="3"/>
  <c r="Z114" i="3"/>
  <c r="V101" i="3"/>
  <c r="Z101" i="3"/>
  <c r="V99" i="3"/>
  <c r="Z99" i="3"/>
  <c r="AJ76" i="3"/>
  <c r="Z76" i="3"/>
  <c r="AJ67" i="3"/>
  <c r="Z67" i="3"/>
  <c r="AJ56" i="3"/>
  <c r="Z56" i="3"/>
  <c r="AK49" i="3"/>
  <c r="AA49" i="3"/>
  <c r="AK47" i="3"/>
  <c r="AA47" i="3"/>
  <c r="AK39" i="3"/>
  <c r="AA39" i="3"/>
  <c r="AK32" i="3"/>
  <c r="AA32" i="3"/>
  <c r="AK27" i="3"/>
  <c r="AA27" i="3"/>
  <c r="AK24" i="3"/>
  <c r="AA24" i="3"/>
  <c r="AK22" i="3"/>
  <c r="AA22" i="3"/>
  <c r="AK17" i="3"/>
  <c r="AA17" i="3"/>
  <c r="AK206" i="3"/>
  <c r="AK195" i="3"/>
  <c r="AA195" i="3"/>
  <c r="AJ191" i="3"/>
  <c r="Z191" i="3"/>
  <c r="W159" i="3"/>
  <c r="Z159" i="3"/>
  <c r="V152" i="3"/>
  <c r="Z152" i="3"/>
  <c r="V149" i="3"/>
  <c r="Z149" i="3"/>
  <c r="AJ138" i="3"/>
  <c r="Z138" i="3"/>
  <c r="V130" i="3"/>
  <c r="Z130" i="3"/>
  <c r="AA128" i="3"/>
  <c r="AK90" i="3"/>
  <c r="AA90" i="3"/>
  <c r="AK85" i="3"/>
  <c r="AA85" i="3"/>
  <c r="AK83" i="3"/>
  <c r="AA83" i="3"/>
  <c r="AK65" i="3"/>
  <c r="AA65" i="3"/>
  <c r="W49" i="3"/>
  <c r="Z49" i="3"/>
  <c r="AJ47" i="3"/>
  <c r="Z47" i="3"/>
  <c r="AK42" i="3"/>
  <c r="AA42" i="3"/>
  <c r="V39" i="3"/>
  <c r="Z39" i="3"/>
  <c r="V32" i="3"/>
  <c r="Z32" i="3"/>
  <c r="V27" i="3"/>
  <c r="Z27" i="3"/>
  <c r="AJ17" i="3"/>
  <c r="Z17" i="3"/>
  <c r="AK14" i="3"/>
  <c r="AA14" i="3"/>
  <c r="X209" i="3"/>
  <c r="AA209" i="3"/>
  <c r="Y204" i="3"/>
  <c r="W197" i="3"/>
  <c r="W187" i="3"/>
  <c r="Y183" i="3"/>
  <c r="W176" i="3"/>
  <c r="X166" i="3"/>
  <c r="AK133" i="3"/>
  <c r="AA133" i="3"/>
  <c r="W128" i="3"/>
  <c r="Z128" i="3"/>
  <c r="AK120" i="3"/>
  <c r="AA120" i="3"/>
  <c r="Z90" i="3"/>
  <c r="V85" i="3"/>
  <c r="Z85" i="3"/>
  <c r="Z83" i="3"/>
  <c r="AJ65" i="3"/>
  <c r="Z65" i="3"/>
  <c r="Y63" i="3"/>
  <c r="AA63" i="3"/>
  <c r="V42" i="3"/>
  <c r="Z42" i="3"/>
  <c r="AK37" i="3"/>
  <c r="AA37" i="3"/>
  <c r="AJ14" i="3"/>
  <c r="Z14" i="3"/>
  <c r="AK11" i="3"/>
  <c r="AA11" i="3"/>
  <c r="Z209" i="3"/>
  <c r="AJ206" i="3"/>
  <c r="Z206" i="3"/>
  <c r="Y202" i="3"/>
  <c r="AA202" i="3"/>
  <c r="V197" i="3"/>
  <c r="V187" i="3"/>
  <c r="W185" i="3"/>
  <c r="Z185" i="3"/>
  <c r="V176" i="3"/>
  <c r="X174" i="3"/>
  <c r="AA174" i="3"/>
  <c r="X170" i="3"/>
  <c r="AA170" i="3"/>
  <c r="Y164" i="3"/>
  <c r="AA164" i="3"/>
  <c r="AK162" i="3"/>
  <c r="AA162" i="3"/>
  <c r="X157" i="3"/>
  <c r="AA157" i="3"/>
  <c r="W151" i="3"/>
  <c r="AA147" i="3"/>
  <c r="X145" i="3"/>
  <c r="AA145" i="3"/>
  <c r="AK143" i="3"/>
  <c r="AA143" i="3"/>
  <c r="V133" i="3"/>
  <c r="Z133" i="3"/>
  <c r="AA125" i="3"/>
  <c r="V120" i="3"/>
  <c r="Z120" i="3"/>
  <c r="V97" i="3"/>
  <c r="Z97" i="3"/>
  <c r="AA81" i="3"/>
  <c r="V72" i="3"/>
  <c r="Z72" i="3"/>
  <c r="X70" i="3"/>
  <c r="AA70" i="3"/>
  <c r="W63" i="3"/>
  <c r="Z63" i="3"/>
  <c r="AA54" i="3"/>
  <c r="AK45" i="3"/>
  <c r="AA45" i="3"/>
  <c r="V37" i="3"/>
  <c r="Z37" i="3"/>
  <c r="X20" i="3"/>
  <c r="V19" i="3"/>
  <c r="AJ11" i="3"/>
  <c r="Z11" i="3"/>
  <c r="AK8" i="3"/>
  <c r="AA8" i="3"/>
  <c r="AK41" i="3"/>
  <c r="AA41" i="3"/>
  <c r="Z202" i="3"/>
  <c r="X199" i="3"/>
  <c r="AA199" i="3"/>
  <c r="Y194" i="3"/>
  <c r="X181" i="3"/>
  <c r="AA181" i="3"/>
  <c r="AK175" i="3"/>
  <c r="Z174" i="3"/>
  <c r="Z170" i="3"/>
  <c r="V164" i="3"/>
  <c r="Z164" i="3"/>
  <c r="AJ162" i="3"/>
  <c r="Z162" i="3"/>
  <c r="V157" i="3"/>
  <c r="Z157" i="3"/>
  <c r="AK150" i="3"/>
  <c r="AA150" i="3"/>
  <c r="V147" i="3"/>
  <c r="Z147" i="3"/>
  <c r="Z145" i="3"/>
  <c r="V143" i="3"/>
  <c r="Z143" i="3"/>
  <c r="AA136" i="3"/>
  <c r="Y127" i="3"/>
  <c r="AJ125" i="3"/>
  <c r="Z125" i="3"/>
  <c r="X117" i="3"/>
  <c r="AA117" i="3"/>
  <c r="X112" i="3"/>
  <c r="AA112" i="3"/>
  <c r="AK110" i="3"/>
  <c r="AA110" i="3"/>
  <c r="AA107" i="3"/>
  <c r="AK102" i="3"/>
  <c r="AA102" i="3"/>
  <c r="AK95" i="3"/>
  <c r="AA95" i="3"/>
  <c r="AK93" i="3"/>
  <c r="AA93" i="3"/>
  <c r="V81" i="3"/>
  <c r="Z81" i="3"/>
  <c r="AA79" i="3"/>
  <c r="W78" i="3"/>
  <c r="V70" i="3"/>
  <c r="Z70" i="3"/>
  <c r="Y69" i="3"/>
  <c r="AK61" i="3"/>
  <c r="AA61" i="3"/>
  <c r="AA59" i="3"/>
  <c r="W54" i="3"/>
  <c r="Z54" i="3"/>
  <c r="AJ45" i="3"/>
  <c r="Z45" i="3"/>
  <c r="X41" i="3"/>
  <c r="AA30" i="3"/>
  <c r="Y21" i="3"/>
  <c r="AJ18" i="3"/>
  <c r="W16" i="3"/>
  <c r="Y13" i="3"/>
  <c r="AJ8" i="3"/>
  <c r="Z8" i="3"/>
  <c r="X5" i="3"/>
  <c r="AA5" i="3"/>
  <c r="V190" i="3"/>
  <c r="Z190" i="3"/>
  <c r="X169" i="3"/>
  <c r="AA169" i="3"/>
  <c r="AK142" i="3"/>
  <c r="AA142" i="3"/>
  <c r="AJ207" i="3"/>
  <c r="V199" i="3"/>
  <c r="Z199" i="3"/>
  <c r="Y198" i="3"/>
  <c r="Y192" i="3"/>
  <c r="AA192" i="3"/>
  <c r="X189" i="3"/>
  <c r="AA189" i="3"/>
  <c r="AK186" i="3"/>
  <c r="AA186" i="3"/>
  <c r="W181" i="3"/>
  <c r="Z181" i="3"/>
  <c r="W180" i="3"/>
  <c r="W177" i="3"/>
  <c r="W172" i="3"/>
  <c r="V169" i="3"/>
  <c r="X161" i="3"/>
  <c r="X156" i="3"/>
  <c r="Z150" i="3"/>
  <c r="X142" i="3"/>
  <c r="V136" i="3"/>
  <c r="Z136" i="3"/>
  <c r="Y132" i="3"/>
  <c r="X127" i="3"/>
  <c r="X123" i="3"/>
  <c r="AA123" i="3"/>
  <c r="Y122" i="3"/>
  <c r="V117" i="3"/>
  <c r="Z117" i="3"/>
  <c r="AK115" i="3"/>
  <c r="AA115" i="3"/>
  <c r="W112" i="3"/>
  <c r="Z112" i="3"/>
  <c r="V110" i="3"/>
  <c r="Z110" i="3"/>
  <c r="Z107" i="3"/>
  <c r="Z102" i="3"/>
  <c r="Z95" i="3"/>
  <c r="V93" i="3"/>
  <c r="Z93" i="3"/>
  <c r="W89" i="3"/>
  <c r="Z79" i="3"/>
  <c r="AK77" i="3"/>
  <c r="AA77" i="3"/>
  <c r="X69" i="3"/>
  <c r="W61" i="3"/>
  <c r="Z61" i="3"/>
  <c r="AJ59" i="3"/>
  <c r="Z59" i="3"/>
  <c r="X58" i="3"/>
  <c r="AK52" i="3"/>
  <c r="AA52" i="3"/>
  <c r="W41" i="3"/>
  <c r="AA35" i="3"/>
  <c r="X34" i="3"/>
  <c r="V30" i="3"/>
  <c r="Z30" i="3"/>
  <c r="AK28" i="3"/>
  <c r="AA28" i="3"/>
  <c r="X21" i="3"/>
  <c r="AK18" i="3"/>
  <c r="AA18" i="3"/>
  <c r="W13" i="3"/>
  <c r="Y10" i="3"/>
  <c r="V5" i="3"/>
  <c r="Z5" i="3"/>
  <c r="AK207" i="3"/>
  <c r="AA207" i="3"/>
  <c r="Y196" i="3"/>
  <c r="AA196" i="3"/>
  <c r="Z192" i="3"/>
  <c r="V189" i="3"/>
  <c r="Z189" i="3"/>
  <c r="Z186" i="3"/>
  <c r="V177" i="3"/>
  <c r="V172" i="3"/>
  <c r="X168" i="3"/>
  <c r="AA168" i="3"/>
  <c r="AK105" i="3"/>
  <c r="AA105" i="3"/>
  <c r="V77" i="3"/>
  <c r="Z77" i="3"/>
  <c r="AJ52" i="3"/>
  <c r="Z52" i="3"/>
  <c r="AK40" i="3"/>
  <c r="AA40" i="3"/>
  <c r="V35" i="3"/>
  <c r="Z35" i="3"/>
  <c r="V28" i="3"/>
  <c r="Z28" i="3"/>
  <c r="AK25" i="3"/>
  <c r="AA25" i="3"/>
  <c r="AK15" i="3"/>
  <c r="AA15" i="3"/>
  <c r="AJ16" i="3"/>
  <c r="Z16" i="3"/>
  <c r="Y205" i="3"/>
  <c r="AA203" i="3"/>
  <c r="AK200" i="3"/>
  <c r="V196" i="3"/>
  <c r="Z196" i="3"/>
  <c r="AK193" i="3"/>
  <c r="AA182" i="3"/>
  <c r="AK179" i="3"/>
  <c r="AA179" i="3"/>
  <c r="Y178" i="3"/>
  <c r="W175" i="3"/>
  <c r="Z175" i="3"/>
  <c r="Y167" i="3"/>
  <c r="X165" i="3"/>
  <c r="AA165" i="3"/>
  <c r="AA155" i="3"/>
  <c r="Y154" i="3"/>
  <c r="X141" i="3"/>
  <c r="AA141" i="3"/>
  <c r="AK139" i="3"/>
  <c r="W135" i="3"/>
  <c r="AK131" i="3"/>
  <c r="AA131" i="3"/>
  <c r="W119" i="3"/>
  <c r="Y114" i="3"/>
  <c r="V105" i="3"/>
  <c r="Z105" i="3"/>
  <c r="W104" i="3"/>
  <c r="Y100" i="3"/>
  <c r="AA100" i="3"/>
  <c r="Y99" i="3"/>
  <c r="Y92" i="3"/>
  <c r="AJ88" i="3"/>
  <c r="Z88" i="3"/>
  <c r="V86" i="3"/>
  <c r="Z86" i="3"/>
  <c r="AA75" i="3"/>
  <c r="X74" i="3"/>
  <c r="AA68" i="3"/>
  <c r="AK66" i="3"/>
  <c r="AA66" i="3"/>
  <c r="AK57" i="3"/>
  <c r="AA57" i="3"/>
  <c r="Y56" i="3"/>
  <c r="W50" i="3"/>
  <c r="Z50" i="3"/>
  <c r="V40" i="3"/>
  <c r="Z40" i="3"/>
  <c r="V25" i="3"/>
  <c r="Z25" i="3"/>
  <c r="AJ15" i="3"/>
  <c r="Z15" i="3"/>
  <c r="AK12" i="3"/>
  <c r="AA12" i="3"/>
  <c r="V10" i="3"/>
  <c r="W7" i="3"/>
  <c r="Y210" i="3"/>
  <c r="AA210" i="3"/>
  <c r="Z203" i="3"/>
  <c r="AJ200" i="3"/>
  <c r="AJ197" i="3"/>
  <c r="V191" i="3"/>
  <c r="AJ187" i="3"/>
  <c r="W184" i="3"/>
  <c r="Z182" i="3"/>
  <c r="Z179" i="3"/>
  <c r="AJ176" i="3"/>
  <c r="X171" i="3"/>
  <c r="AA171" i="3"/>
  <c r="V165" i="3"/>
  <c r="Z165" i="3"/>
  <c r="AK158" i="3"/>
  <c r="AA158" i="3"/>
  <c r="V155" i="3"/>
  <c r="Z155" i="3"/>
  <c r="AK153" i="3"/>
  <c r="AA153" i="3"/>
  <c r="Y149" i="3"/>
  <c r="V141" i="3"/>
  <c r="Z141" i="3"/>
  <c r="AK137" i="3"/>
  <c r="AA137" i="3"/>
  <c r="Z131" i="3"/>
  <c r="X129" i="3"/>
  <c r="AA129" i="3"/>
  <c r="AK121" i="3"/>
  <c r="AA121" i="3"/>
  <c r="AJ100" i="3"/>
  <c r="Z100" i="3"/>
  <c r="Z75" i="3"/>
  <c r="AJ68" i="3"/>
  <c r="Z68" i="3"/>
  <c r="Z66" i="3"/>
  <c r="W57" i="3"/>
  <c r="Z57" i="3"/>
  <c r="AK48" i="3"/>
  <c r="AA48" i="3"/>
  <c r="AK33" i="3"/>
  <c r="AA33" i="3"/>
  <c r="AK31" i="3"/>
  <c r="AA31" i="3"/>
  <c r="Y27" i="3"/>
  <c r="AK23" i="3"/>
  <c r="AA23" i="3"/>
  <c r="Y22" i="3"/>
  <c r="Y17" i="3"/>
  <c r="AJ12" i="3"/>
  <c r="Z12" i="3"/>
  <c r="AK9" i="3"/>
  <c r="AA9" i="3"/>
  <c r="V7" i="3"/>
  <c r="AK194" i="3"/>
  <c r="AA194" i="3"/>
  <c r="V148" i="3"/>
  <c r="Z148" i="3"/>
  <c r="X111" i="3"/>
  <c r="AA111" i="3"/>
  <c r="V205" i="3"/>
  <c r="X197" i="3"/>
  <c r="AA197" i="3"/>
  <c r="Y195" i="3"/>
  <c r="AK187" i="3"/>
  <c r="AA187" i="3"/>
  <c r="V184" i="3"/>
  <c r="X176" i="3"/>
  <c r="AA176" i="3"/>
  <c r="V160" i="3"/>
  <c r="Z160" i="3"/>
  <c r="W158" i="3"/>
  <c r="Z158" i="3"/>
  <c r="AK151" i="3"/>
  <c r="AA151" i="3"/>
  <c r="W149" i="3"/>
  <c r="V139" i="3"/>
  <c r="Z139" i="3"/>
  <c r="V129" i="3"/>
  <c r="Z129" i="3"/>
  <c r="Y128" i="3"/>
  <c r="Y126" i="3"/>
  <c r="AA126" i="3"/>
  <c r="V121" i="3"/>
  <c r="Z121" i="3"/>
  <c r="Y118" i="3"/>
  <c r="AA118" i="3"/>
  <c r="AK113" i="3"/>
  <c r="AA113" i="3"/>
  <c r="AK103" i="3"/>
  <c r="AA103" i="3"/>
  <c r="W99" i="3"/>
  <c r="Y91" i="3"/>
  <c r="AA91" i="3"/>
  <c r="Y90" i="3"/>
  <c r="Y83" i="3"/>
  <c r="W65" i="3"/>
  <c r="AK55" i="3"/>
  <c r="AA55" i="3"/>
  <c r="AJ48" i="3"/>
  <c r="Z48" i="3"/>
  <c r="W47" i="3"/>
  <c r="Y42" i="3"/>
  <c r="V38" i="3"/>
  <c r="Z38" i="3"/>
  <c r="V33" i="3"/>
  <c r="Z33" i="3"/>
  <c r="V31" i="3"/>
  <c r="Z31" i="3"/>
  <c r="X27" i="3"/>
  <c r="X22" i="3"/>
  <c r="W17" i="3"/>
  <c r="Y14" i="3"/>
  <c r="AJ9" i="3"/>
  <c r="Z9" i="3"/>
  <c r="AK6" i="3"/>
  <c r="AA6" i="3"/>
  <c r="AK204" i="3"/>
  <c r="AA204" i="3"/>
  <c r="AJ190" i="3"/>
  <c r="AK183" i="3"/>
  <c r="AA183" i="3"/>
  <c r="AJ177" i="3"/>
  <c r="AJ172" i="3"/>
  <c r="Y166" i="3"/>
  <c r="AA166" i="3"/>
  <c r="V151" i="3"/>
  <c r="Z151" i="3"/>
  <c r="AJ148" i="3"/>
  <c r="W134" i="3"/>
  <c r="Z134" i="3"/>
  <c r="Y133" i="3"/>
  <c r="X128" i="3"/>
  <c r="V126" i="3"/>
  <c r="Z126" i="3"/>
  <c r="Y120" i="3"/>
  <c r="V118" i="3"/>
  <c r="Z118" i="3"/>
  <c r="V113" i="3"/>
  <c r="Z113" i="3"/>
  <c r="AJ108" i="3"/>
  <c r="Z108" i="3"/>
  <c r="AK98" i="3"/>
  <c r="AA98" i="3"/>
  <c r="Y97" i="3"/>
  <c r="X90" i="3"/>
  <c r="X83" i="3"/>
  <c r="Y73" i="3"/>
  <c r="AA73" i="3"/>
  <c r="AK64" i="3"/>
  <c r="AA64" i="3"/>
  <c r="AJ46" i="3"/>
  <c r="X42" i="3"/>
  <c r="Y37" i="3"/>
  <c r="W27" i="3"/>
  <c r="W22" i="3"/>
  <c r="V17" i="3"/>
  <c r="W14" i="3"/>
  <c r="Y11" i="3"/>
  <c r="AJ6" i="3"/>
  <c r="Z6" i="3"/>
  <c r="AA208" i="3"/>
  <c r="X206" i="3"/>
  <c r="AJ204" i="3"/>
  <c r="Z204" i="3"/>
  <c r="W202" i="3"/>
  <c r="V195" i="3"/>
  <c r="AA190" i="3"/>
  <c r="X185" i="3"/>
  <c r="AJ183" i="3"/>
  <c r="Z183" i="3"/>
  <c r="AA177" i="3"/>
  <c r="Y174" i="3"/>
  <c r="AA172" i="3"/>
  <c r="AJ166" i="3"/>
  <c r="Z166" i="3"/>
  <c r="X163" i="3"/>
  <c r="AA163" i="3"/>
  <c r="Y162" i="3"/>
  <c r="Y157" i="3"/>
  <c r="Y148" i="3"/>
  <c r="AA148" i="3"/>
  <c r="Y146" i="3"/>
  <c r="AA146" i="3"/>
  <c r="AK144" i="3"/>
  <c r="AA144" i="3"/>
  <c r="W143" i="3"/>
  <c r="X133" i="3"/>
  <c r="AK127" i="3"/>
  <c r="Y125" i="3"/>
  <c r="X120" i="3"/>
  <c r="Z98" i="3"/>
  <c r="AJ96" i="3"/>
  <c r="W90" i="3"/>
  <c r="AK82" i="3"/>
  <c r="AA82" i="3"/>
  <c r="Y81" i="3"/>
  <c r="V73" i="3"/>
  <c r="Z73" i="3"/>
  <c r="AA71" i="3"/>
  <c r="AJ69" i="3"/>
  <c r="AJ64" i="3"/>
  <c r="Z64" i="3"/>
  <c r="AJ62" i="3"/>
  <c r="Z62" i="3"/>
  <c r="AK53" i="3"/>
  <c r="AA53" i="3"/>
  <c r="AA46" i="3"/>
  <c r="X45" i="3"/>
  <c r="AJ41" i="3"/>
  <c r="W37" i="3"/>
  <c r="AK26" i="3"/>
  <c r="AA26" i="3"/>
  <c r="AJ21" i="3"/>
  <c r="Z20" i="3"/>
  <c r="AK16" i="3"/>
  <c r="AA16" i="3"/>
  <c r="V14" i="3"/>
  <c r="W11" i="3"/>
  <c r="Y8" i="3"/>
  <c r="Y203" i="3"/>
  <c r="X202" i="3"/>
  <c r="W201" i="3"/>
  <c r="AK199" i="3"/>
  <c r="X192" i="3"/>
  <c r="W191" i="3"/>
  <c r="AK189" i="3"/>
  <c r="V181" i="3"/>
  <c r="AJ179" i="3"/>
  <c r="W171" i="3"/>
  <c r="V170" i="3"/>
  <c r="AK168" i="3"/>
  <c r="AK152" i="3"/>
  <c r="W148" i="3"/>
  <c r="AJ144" i="3"/>
  <c r="AJ140" i="3"/>
  <c r="X130" i="3"/>
  <c r="AK123" i="3"/>
  <c r="Y119" i="3"/>
  <c r="X118" i="3"/>
  <c r="W117" i="3"/>
  <c r="AK111" i="3"/>
  <c r="AJ110" i="3"/>
  <c r="Y107" i="3"/>
  <c r="AJ105" i="3"/>
  <c r="X102" i="3"/>
  <c r="X95" i="3"/>
  <c r="W85" i="3"/>
  <c r="Y74" i="3"/>
  <c r="AJ70" i="3"/>
  <c r="X64" i="3"/>
  <c r="Y58" i="3"/>
  <c r="X52" i="3"/>
  <c r="Y47" i="3"/>
  <c r="W36" i="3"/>
  <c r="W33" i="3"/>
  <c r="X25" i="3"/>
  <c r="AJ23" i="3"/>
  <c r="AJ189" i="3"/>
  <c r="AK180" i="3"/>
  <c r="AK169" i="3"/>
  <c r="AJ168" i="3"/>
  <c r="AJ152" i="3"/>
  <c r="AJ147" i="3"/>
  <c r="AK129" i="3"/>
  <c r="AK116" i="3"/>
  <c r="AJ111" i="3"/>
  <c r="AJ94" i="3"/>
  <c r="AJ63" i="3"/>
  <c r="AJ60" i="3"/>
  <c r="AJ35" i="3"/>
  <c r="AJ32" i="3"/>
  <c r="V204" i="3"/>
  <c r="AK202" i="3"/>
  <c r="AJ201" i="3"/>
  <c r="X195" i="3"/>
  <c r="W194" i="3"/>
  <c r="V193" i="3"/>
  <c r="V183" i="3"/>
  <c r="AJ181" i="3"/>
  <c r="V173" i="3"/>
  <c r="AJ171" i="3"/>
  <c r="W164" i="3"/>
  <c r="AJ155" i="3"/>
  <c r="X149" i="3"/>
  <c r="AK145" i="3"/>
  <c r="AJ141" i="3"/>
  <c r="X131" i="3"/>
  <c r="AK124" i="3"/>
  <c r="Y121" i="3"/>
  <c r="W120" i="3"/>
  <c r="AJ118" i="3"/>
  <c r="AK112" i="3"/>
  <c r="AJ85" i="3"/>
  <c r="W77" i="3"/>
  <c r="X65" i="3"/>
  <c r="AJ49" i="3"/>
  <c r="X37" i="3"/>
  <c r="AJ29" i="3"/>
  <c r="W26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AK130" i="3"/>
  <c r="AJ210" i="3"/>
  <c r="Y207" i="3"/>
  <c r="W206" i="3"/>
  <c r="AJ193" i="3"/>
  <c r="Y187" i="3"/>
  <c r="X186" i="3"/>
  <c r="AK156" i="3"/>
  <c r="AJ86" i="3"/>
  <c r="AJ5" i="3"/>
  <c r="AJ194" i="3"/>
  <c r="AJ156" i="3"/>
  <c r="AJ77" i="3"/>
  <c r="AJ40" i="3"/>
  <c r="AJ26" i="3"/>
  <c r="Y199" i="3"/>
  <c r="W198" i="3"/>
  <c r="Y189" i="3"/>
  <c r="W188" i="3"/>
  <c r="Y179" i="3"/>
  <c r="Y168" i="3"/>
  <c r="W167" i="3"/>
  <c r="Y144" i="3"/>
  <c r="X140" i="3"/>
  <c r="Y123" i="3"/>
  <c r="Y110" i="3"/>
  <c r="W97" i="3"/>
  <c r="W81" i="3"/>
  <c r="Y70" i="3"/>
  <c r="W35" i="3"/>
  <c r="Y23" i="3"/>
  <c r="V208" i="3"/>
  <c r="V198" i="3"/>
  <c r="V188" i="3"/>
  <c r="Y180" i="3"/>
  <c r="X179" i="3"/>
  <c r="W178" i="3"/>
  <c r="V167" i="3"/>
  <c r="X162" i="3"/>
  <c r="AJ157" i="3"/>
  <c r="X144" i="3"/>
  <c r="Y134" i="3"/>
  <c r="Y129" i="3"/>
  <c r="AJ127" i="3"/>
  <c r="X110" i="3"/>
  <c r="Y105" i="3"/>
  <c r="W94" i="3"/>
  <c r="AJ80" i="3"/>
  <c r="Y60" i="3"/>
  <c r="W42" i="3"/>
  <c r="AJ34" i="3"/>
  <c r="Y32" i="3"/>
  <c r="AJ27" i="3"/>
  <c r="X23" i="3"/>
  <c r="V22" i="3"/>
  <c r="Y209" i="3"/>
  <c r="W199" i="3"/>
  <c r="W189" i="3"/>
  <c r="W179" i="3"/>
  <c r="V178" i="3"/>
  <c r="Y169" i="3"/>
  <c r="W168" i="3"/>
  <c r="X159" i="3"/>
  <c r="Y152" i="3"/>
  <c r="W144" i="3"/>
  <c r="X134" i="3"/>
  <c r="Y111" i="3"/>
  <c r="X105" i="3"/>
  <c r="AJ93" i="3"/>
  <c r="W70" i="3"/>
  <c r="X60" i="3"/>
  <c r="X57" i="3"/>
  <c r="X39" i="3"/>
  <c r="X32" i="3"/>
  <c r="Y24" i="3"/>
  <c r="W23" i="3"/>
  <c r="Y181" i="3"/>
  <c r="V179" i="3"/>
  <c r="Y170" i="3"/>
  <c r="V168" i="3"/>
  <c r="AJ161" i="3"/>
  <c r="W129" i="3"/>
  <c r="Y116" i="3"/>
  <c r="Y106" i="3"/>
  <c r="W105" i="3"/>
  <c r="W101" i="3"/>
  <c r="Y98" i="3"/>
  <c r="Y82" i="3"/>
  <c r="AJ78" i="3"/>
  <c r="W73" i="3"/>
  <c r="X49" i="3"/>
  <c r="W39" i="3"/>
  <c r="W32" i="3"/>
  <c r="W29" i="3"/>
  <c r="X24" i="3"/>
  <c r="V23" i="3"/>
  <c r="Y201" i="3"/>
  <c r="W200" i="3"/>
  <c r="Y191" i="3"/>
  <c r="W190" i="3"/>
  <c r="Y171" i="3"/>
  <c r="Y145" i="3"/>
  <c r="Y141" i="3"/>
  <c r="Y124" i="3"/>
  <c r="Y117" i="3"/>
  <c r="Y112" i="3"/>
  <c r="W111" i="3"/>
  <c r="X98" i="3"/>
  <c r="Y85" i="3"/>
  <c r="X82" i="3"/>
  <c r="Y67" i="3"/>
  <c r="AJ38" i="3"/>
  <c r="AJ31" i="3"/>
  <c r="AJ28" i="3"/>
  <c r="W24" i="3"/>
  <c r="AJ22" i="3"/>
  <c r="W208" i="3"/>
  <c r="AJ208" i="3"/>
  <c r="V200" i="3"/>
  <c r="AJ198" i="3"/>
  <c r="AJ178" i="3"/>
  <c r="W170" i="3"/>
  <c r="W141" i="3"/>
  <c r="Y102" i="3"/>
  <c r="AJ97" i="3"/>
  <c r="Y95" i="3"/>
  <c r="X85" i="3"/>
  <c r="AJ81" i="3"/>
  <c r="X67" i="3"/>
  <c r="Y64" i="3"/>
  <c r="AJ42" i="3"/>
  <c r="X36" i="3"/>
  <c r="X33" i="3"/>
  <c r="Y25" i="3"/>
  <c r="V24" i="3"/>
  <c r="V142" i="3"/>
  <c r="AJ142" i="3"/>
  <c r="V137" i="3"/>
  <c r="AJ137" i="3"/>
  <c r="W137" i="3"/>
  <c r="V123" i="3"/>
  <c r="AJ123" i="3"/>
  <c r="W123" i="3"/>
  <c r="V107" i="3"/>
  <c r="AJ107" i="3"/>
  <c r="W107" i="3"/>
  <c r="V75" i="3"/>
  <c r="W75" i="3"/>
  <c r="AJ75" i="3"/>
  <c r="V159" i="3"/>
  <c r="AJ159" i="3"/>
  <c r="AK154" i="3"/>
  <c r="X154" i="3"/>
  <c r="AK148" i="3"/>
  <c r="X147" i="3"/>
  <c r="Y147" i="3"/>
  <c r="W139" i="3"/>
  <c r="AK91" i="3"/>
  <c r="X91" i="3"/>
  <c r="AK84" i="3"/>
  <c r="X84" i="3"/>
  <c r="Y84" i="3"/>
  <c r="V154" i="3"/>
  <c r="W154" i="3"/>
  <c r="V131" i="3"/>
  <c r="W131" i="3"/>
  <c r="AJ131" i="3"/>
  <c r="V115" i="3"/>
  <c r="W115" i="3"/>
  <c r="AJ115" i="3"/>
  <c r="V98" i="3"/>
  <c r="AJ98" i="3"/>
  <c r="W98" i="3"/>
  <c r="V91" i="3"/>
  <c r="W91" i="3"/>
  <c r="V84" i="3"/>
  <c r="W84" i="3"/>
  <c r="AJ84" i="3"/>
  <c r="AK35" i="3"/>
  <c r="X35" i="3"/>
  <c r="Y35" i="3"/>
  <c r="AK138" i="3"/>
  <c r="X138" i="3"/>
  <c r="V124" i="3"/>
  <c r="W124" i="3"/>
  <c r="V108" i="3"/>
  <c r="W108" i="3"/>
  <c r="V138" i="3"/>
  <c r="W138" i="3"/>
  <c r="V116" i="3"/>
  <c r="W116" i="3"/>
  <c r="V109" i="3"/>
  <c r="W109" i="3"/>
  <c r="V88" i="3"/>
  <c r="AK79" i="3"/>
  <c r="X79" i="3"/>
  <c r="Y79" i="3"/>
  <c r="Y163" i="3"/>
  <c r="X155" i="3"/>
  <c r="Y155" i="3"/>
  <c r="Y135" i="3"/>
  <c r="V132" i="3"/>
  <c r="W132" i="3"/>
  <c r="V125" i="3"/>
  <c r="W125" i="3"/>
  <c r="W210" i="3"/>
  <c r="V209" i="3"/>
  <c r="X164" i="3"/>
  <c r="AJ139" i="3"/>
  <c r="X135" i="3"/>
  <c r="AJ103" i="3"/>
  <c r="V103" i="3"/>
  <c r="W103" i="3"/>
  <c r="W163" i="3"/>
  <c r="W211" i="3"/>
  <c r="V210" i="3"/>
  <c r="Y153" i="3"/>
  <c r="W152" i="3"/>
  <c r="X139" i="3"/>
  <c r="Y139" i="3"/>
  <c r="V92" i="3"/>
  <c r="W92" i="3"/>
  <c r="AJ92" i="3"/>
  <c r="AK43" i="3"/>
  <c r="X43" i="3"/>
  <c r="Y43" i="3"/>
  <c r="AK71" i="3"/>
  <c r="X71" i="3"/>
  <c r="Y71" i="3"/>
  <c r="AK160" i="3"/>
  <c r="W209" i="3"/>
  <c r="V211" i="3"/>
  <c r="AK163" i="3"/>
  <c r="X153" i="3"/>
  <c r="V150" i="3"/>
  <c r="AJ150" i="3"/>
  <c r="AJ209" i="3"/>
  <c r="AJ163" i="3"/>
  <c r="V162" i="3"/>
  <c r="W162" i="3"/>
  <c r="Y159" i="3"/>
  <c r="AK140" i="3"/>
  <c r="W136" i="3"/>
  <c r="AK89" i="3"/>
  <c r="X89" i="3"/>
  <c r="Y89" i="3"/>
  <c r="V145" i="3"/>
  <c r="W145" i="3"/>
  <c r="AJ145" i="3"/>
  <c r="V134" i="3"/>
  <c r="AJ134" i="3"/>
  <c r="AK100" i="3"/>
  <c r="X100" i="3"/>
  <c r="V83" i="3"/>
  <c r="AJ83" i="3"/>
  <c r="W83" i="3"/>
  <c r="W147" i="3"/>
  <c r="Y143" i="3"/>
  <c r="W142" i="3"/>
  <c r="W130" i="3"/>
  <c r="V128" i="3"/>
  <c r="AJ128" i="3"/>
  <c r="W114" i="3"/>
  <c r="V112" i="3"/>
  <c r="AJ112" i="3"/>
  <c r="V100" i="3"/>
  <c r="W100" i="3"/>
  <c r="X143" i="3"/>
  <c r="W88" i="3"/>
  <c r="Y160" i="3"/>
  <c r="X148" i="3"/>
  <c r="X146" i="3"/>
  <c r="AK146" i="3"/>
  <c r="Y138" i="3"/>
  <c r="V122" i="3"/>
  <c r="AJ122" i="3"/>
  <c r="V106" i="3"/>
  <c r="AJ106" i="3"/>
  <c r="V153" i="3"/>
  <c r="AJ153" i="3"/>
  <c r="W153" i="3"/>
  <c r="AJ114" i="3"/>
  <c r="X160" i="3"/>
  <c r="V158" i="3"/>
  <c r="AJ158" i="3"/>
  <c r="V146" i="3"/>
  <c r="W146" i="3"/>
  <c r="AJ130" i="3"/>
  <c r="W160" i="3"/>
  <c r="W155" i="3"/>
  <c r="AK147" i="3"/>
  <c r="AK94" i="3"/>
  <c r="X94" i="3"/>
  <c r="Y94" i="3"/>
  <c r="AK75" i="3"/>
  <c r="X75" i="3"/>
  <c r="Y75" i="3"/>
  <c r="AK97" i="3"/>
  <c r="X97" i="3"/>
  <c r="AK88" i="3"/>
  <c r="X88" i="3"/>
  <c r="Y88" i="3"/>
  <c r="V79" i="3"/>
  <c r="AJ79" i="3"/>
  <c r="W79" i="3"/>
  <c r="V74" i="3"/>
  <c r="AJ74" i="3"/>
  <c r="AK70" i="3"/>
  <c r="AK54" i="3"/>
  <c r="X54" i="3"/>
  <c r="Y54" i="3"/>
  <c r="V43" i="3"/>
  <c r="W43" i="3"/>
  <c r="AK62" i="3"/>
  <c r="X62" i="3"/>
  <c r="Y62" i="3"/>
  <c r="V58" i="3"/>
  <c r="AJ58" i="3"/>
  <c r="AK51" i="3"/>
  <c r="X51" i="3"/>
  <c r="V66" i="3"/>
  <c r="AJ66" i="3"/>
  <c r="V51" i="3"/>
  <c r="W51" i="3"/>
  <c r="V48" i="3"/>
  <c r="W48" i="3"/>
  <c r="AK80" i="3"/>
  <c r="X80" i="3"/>
  <c r="Y80" i="3"/>
  <c r="V71" i="3"/>
  <c r="AJ71" i="3"/>
  <c r="W71" i="3"/>
  <c r="AJ120" i="3"/>
  <c r="AK104" i="3"/>
  <c r="AJ99" i="3"/>
  <c r="Y87" i="3"/>
  <c r="Y78" i="3"/>
  <c r="AK63" i="3"/>
  <c r="Y61" i="3"/>
  <c r="V55" i="3"/>
  <c r="AJ55" i="3"/>
  <c r="W96" i="3"/>
  <c r="X87" i="3"/>
  <c r="AK76" i="3"/>
  <c r="X76" i="3"/>
  <c r="V67" i="3"/>
  <c r="W67" i="3"/>
  <c r="X61" i="3"/>
  <c r="AK59" i="3"/>
  <c r="X59" i="3"/>
  <c r="V45" i="3"/>
  <c r="V76" i="3"/>
  <c r="W76" i="3"/>
  <c r="AJ72" i="3"/>
  <c r="V59" i="3"/>
  <c r="W59" i="3"/>
  <c r="W156" i="3"/>
  <c r="W140" i="3"/>
  <c r="W126" i="3"/>
  <c r="W110" i="3"/>
  <c r="V95" i="3"/>
  <c r="AJ95" i="3"/>
  <c r="W95" i="3"/>
  <c r="V90" i="3"/>
  <c r="AJ90" i="3"/>
  <c r="AK86" i="3"/>
  <c r="AK81" i="3"/>
  <c r="X81" i="3"/>
  <c r="AK72" i="3"/>
  <c r="X72" i="3"/>
  <c r="Y72" i="3"/>
  <c r="AK68" i="3"/>
  <c r="X68" i="3"/>
  <c r="Y68" i="3"/>
  <c r="V64" i="3"/>
  <c r="W64" i="3"/>
  <c r="V56" i="3"/>
  <c r="W56" i="3"/>
  <c r="Y51" i="3"/>
  <c r="AK46" i="3"/>
  <c r="X46" i="3"/>
  <c r="Y46" i="3"/>
  <c r="AK34" i="3"/>
  <c r="AK30" i="3"/>
  <c r="X30" i="3"/>
  <c r="Y30" i="3"/>
  <c r="V68" i="3"/>
  <c r="W68" i="3"/>
  <c r="W58" i="3"/>
  <c r="V53" i="3"/>
  <c r="AJ53" i="3"/>
  <c r="AK50" i="3"/>
  <c r="Y48" i="3"/>
  <c r="AK96" i="3"/>
  <c r="X96" i="3"/>
  <c r="Y96" i="3"/>
  <c r="V87" i="3"/>
  <c r="AJ87" i="3"/>
  <c r="W87" i="3"/>
  <c r="V82" i="3"/>
  <c r="AJ82" i="3"/>
  <c r="AK78" i="3"/>
  <c r="AK73" i="3"/>
  <c r="X73" i="3"/>
  <c r="W66" i="3"/>
  <c r="V50" i="3"/>
  <c r="AJ50" i="3"/>
  <c r="X48" i="3"/>
  <c r="Y40" i="3"/>
  <c r="AK38" i="3"/>
  <c r="X38" i="3"/>
  <c r="Y38" i="3"/>
  <c r="AK101" i="3"/>
  <c r="Y101" i="3"/>
  <c r="X101" i="3"/>
  <c r="V61" i="3"/>
  <c r="X40" i="3"/>
  <c r="AJ143" i="3"/>
  <c r="AJ129" i="3"/>
  <c r="AJ113" i="3"/>
  <c r="Y104" i="3"/>
  <c r="AK92" i="3"/>
  <c r="X92" i="3"/>
  <c r="W80" i="3"/>
  <c r="X63" i="3"/>
  <c r="W55" i="3"/>
  <c r="Y45" i="3"/>
  <c r="AJ43" i="3"/>
  <c r="V60" i="3"/>
  <c r="Y52" i="3"/>
  <c r="V44" i="3"/>
  <c r="Y36" i="3"/>
  <c r="V62" i="3"/>
  <c r="V46" i="3"/>
  <c r="Y65" i="3"/>
  <c r="V57" i="3"/>
  <c r="Y49" i="3"/>
  <c r="Y33" i="3"/>
  <c r="V52" i="3"/>
  <c r="V63" i="3"/>
  <c r="Y55" i="3"/>
  <c r="V47" i="3"/>
  <c r="Y39" i="3"/>
  <c r="Y29" i="3"/>
  <c r="X29" i="3"/>
  <c r="V54" i="3"/>
  <c r="V65" i="3"/>
  <c r="Y57" i="3"/>
  <c r="V49" i="3"/>
  <c r="Y41" i="3"/>
  <c r="AK5" i="3"/>
  <c r="Y5" i="3"/>
  <c r="W5" i="3"/>
  <c r="AI4" i="3" l="1"/>
  <c r="AH4" i="3"/>
  <c r="AD4" i="3"/>
  <c r="AC4" i="3"/>
  <c r="AB4" i="3"/>
  <c r="AE4" i="3"/>
  <c r="AF4" i="3"/>
  <c r="AG4" i="3"/>
  <c r="AI3" i="3"/>
  <c r="AH3" i="3"/>
  <c r="AD3" i="3"/>
  <c r="AC3" i="3"/>
  <c r="AB3" i="3"/>
  <c r="U3" i="3"/>
  <c r="AE3" i="3" s="1"/>
  <c r="T3" i="3"/>
  <c r="AF3" i="3" s="1"/>
  <c r="S3" i="3"/>
  <c r="AG3" i="3" s="1"/>
  <c r="A3" i="3"/>
  <c r="AK3" i="3" l="1"/>
  <c r="AA3" i="3"/>
  <c r="Z4" i="3"/>
  <c r="Z3" i="3"/>
  <c r="AK4" i="3"/>
  <c r="AA4" i="3"/>
  <c r="V3" i="3"/>
  <c r="W3" i="3"/>
  <c r="AJ4" i="3"/>
  <c r="W4" i="3"/>
  <c r="V4" i="3"/>
  <c r="AJ3" i="3"/>
  <c r="X3" i="3"/>
  <c r="X4" i="3"/>
  <c r="Y3" i="3"/>
  <c r="Y4" i="3"/>
</calcChain>
</file>

<file path=xl/sharedStrings.xml><?xml version="1.0" encoding="utf-8"?>
<sst xmlns="http://schemas.openxmlformats.org/spreadsheetml/2006/main" count="4792" uniqueCount="818">
  <si>
    <t>ID</t>
  </si>
  <si>
    <t>Type</t>
  </si>
  <si>
    <t>Shape</t>
  </si>
  <si>
    <t>Name</t>
  </si>
  <si>
    <t>Area</t>
  </si>
  <si>
    <t>Asy</t>
  </si>
  <si>
    <t>Asz</t>
  </si>
  <si>
    <t>Ixx</t>
  </si>
  <si>
    <t>Iyy</t>
  </si>
  <si>
    <t>Izz</t>
  </si>
  <si>
    <t>Cyp</t>
  </si>
  <si>
    <t>Cym</t>
  </si>
  <si>
    <t>Czp</t>
  </si>
  <si>
    <t>Czm</t>
  </si>
  <si>
    <t>Qyb</t>
  </si>
  <si>
    <t>Qzb</t>
  </si>
  <si>
    <t>Peri</t>
  </si>
  <si>
    <t>Per</t>
  </si>
  <si>
    <r>
      <t>S</t>
    </r>
    <r>
      <rPr>
        <b/>
        <sz val="12"/>
        <color rgb="FF000000"/>
        <rFont val="Times New Roman"/>
        <family val="2"/>
      </rPr>
      <t>2L</t>
    </r>
  </si>
  <si>
    <r>
      <t>S</t>
    </r>
    <r>
      <rPr>
        <b/>
        <sz val="12"/>
        <color rgb="FF000000"/>
        <rFont val="Times New Roman"/>
        <family val="2"/>
      </rPr>
      <t>2R</t>
    </r>
  </si>
  <si>
    <r>
      <t>S</t>
    </r>
    <r>
      <rPr>
        <b/>
        <sz val="12"/>
        <color rgb="FF000000"/>
        <rFont val="Times New Roman"/>
        <family val="2"/>
      </rPr>
      <t>3T</t>
    </r>
  </si>
  <si>
    <r>
      <t>S</t>
    </r>
    <r>
      <rPr>
        <b/>
        <sz val="12"/>
        <color rgb="FF000000"/>
        <rFont val="Times New Roman"/>
        <family val="2"/>
      </rPr>
      <t>3B</t>
    </r>
  </si>
  <si>
    <r>
      <t>R</t>
    </r>
    <r>
      <rPr>
        <b/>
        <sz val="12"/>
        <color rgb="FF000000"/>
        <rFont val="Times New Roman"/>
        <family val="2"/>
      </rPr>
      <t>22</t>
    </r>
  </si>
  <si>
    <r>
      <t>R</t>
    </r>
    <r>
      <rPr>
        <b/>
        <sz val="12"/>
        <color rgb="FF000000"/>
        <rFont val="Times New Roman"/>
        <family val="2"/>
      </rPr>
      <t>33</t>
    </r>
  </si>
  <si>
    <r>
      <t>t</t>
    </r>
    <r>
      <rPr>
        <b/>
        <sz val="12"/>
        <color rgb="FF000000"/>
        <rFont val="Times New Roman"/>
        <family val="2"/>
      </rPr>
      <t>3</t>
    </r>
  </si>
  <si>
    <r>
      <t>t</t>
    </r>
    <r>
      <rPr>
        <b/>
        <sz val="12"/>
        <color rgb="FF000000"/>
        <rFont val="Times New Roman"/>
        <family val="2"/>
      </rPr>
      <t>2</t>
    </r>
  </si>
  <si>
    <t>TorsConst</t>
  </si>
  <si>
    <r>
      <t>AS</t>
    </r>
    <r>
      <rPr>
        <b/>
        <sz val="12"/>
        <color rgb="FF000000"/>
        <rFont val="Times New Roman"/>
        <family val="2"/>
      </rPr>
      <t>2</t>
    </r>
  </si>
  <si>
    <r>
      <t>AS</t>
    </r>
    <r>
      <rPr>
        <b/>
        <sz val="12"/>
        <color rgb="FF000000"/>
        <rFont val="Times New Roman"/>
        <family val="2"/>
      </rPr>
      <t>3</t>
    </r>
  </si>
  <si>
    <r>
      <t>I</t>
    </r>
    <r>
      <rPr>
        <b/>
        <sz val="12"/>
        <color rgb="FF000000"/>
        <rFont val="Times New Roman"/>
        <family val="2"/>
      </rPr>
      <t>22</t>
    </r>
  </si>
  <si>
    <r>
      <t>I</t>
    </r>
    <r>
      <rPr>
        <b/>
        <sz val="12"/>
        <color rgb="FF000000"/>
        <rFont val="Times New Roman"/>
        <family val="2"/>
      </rPr>
      <t>33</t>
    </r>
  </si>
  <si>
    <r>
      <t>Z</t>
    </r>
    <r>
      <rPr>
        <b/>
        <sz val="12"/>
        <color rgb="FF000000"/>
        <rFont val="Times New Roman"/>
        <family val="2"/>
      </rPr>
      <t>22</t>
    </r>
  </si>
  <si>
    <r>
      <t>Z</t>
    </r>
    <r>
      <rPr>
        <b/>
        <sz val="12"/>
        <color rgb="FF000000"/>
        <rFont val="Times New Roman"/>
        <family val="2"/>
      </rPr>
      <t>33</t>
    </r>
  </si>
  <si>
    <t>[-]</t>
  </si>
  <si>
    <t>[mm2]</t>
  </si>
  <si>
    <t>[mm4]</t>
  </si>
  <si>
    <t>[mm]</t>
  </si>
  <si>
    <r>
      <t>m</t>
    </r>
    <r>
      <rPr>
        <b/>
        <sz val="12"/>
        <color rgb="FF000000"/>
        <rFont val="Times New Roman"/>
        <family val="2"/>
      </rPr>
      <t>3</t>
    </r>
  </si>
  <si>
    <t>m</t>
  </si>
  <si>
    <r>
      <t>m</t>
    </r>
    <r>
      <rPr>
        <b/>
        <sz val="12"/>
        <color rgb="FF000000"/>
        <rFont val="Times New Roman"/>
        <family val="2"/>
      </rPr>
      <t>2</t>
    </r>
  </si>
  <si>
    <r>
      <t>m</t>
    </r>
    <r>
      <rPr>
        <b/>
        <sz val="12"/>
        <color rgb="FF000000"/>
        <rFont val="Times New Roman"/>
        <family val="2"/>
      </rPr>
      <t>4</t>
    </r>
  </si>
  <si>
    <t>Steel Girder B</t>
  </si>
  <si>
    <t>STLB</t>
  </si>
  <si>
    <t>H/H/H</t>
  </si>
  <si>
    <t>B/B/B1</t>
  </si>
  <si>
    <t>/tw/B2</t>
  </si>
  <si>
    <t>/tf/t</t>
  </si>
  <si>
    <t>//R</t>
  </si>
  <si>
    <t>Tee</t>
  </si>
  <si>
    <t>Flat</t>
  </si>
  <si>
    <r>
      <rPr>
        <b/>
        <sz val="12"/>
        <color rgb="FF000000"/>
        <rFont val="Microsoft JhengHei"/>
        <family val="2"/>
      </rPr>
      <t>編號</t>
    </r>
  </si>
  <si>
    <t>Ref_top</t>
  </si>
  <si>
    <t>Ref_bot</t>
  </si>
  <si>
    <t>B1</t>
  </si>
  <si>
    <t>B2</t>
  </si>
  <si>
    <t>B3</t>
  </si>
  <si>
    <t>B4</t>
  </si>
  <si>
    <t>B5</t>
  </si>
  <si>
    <t>B6</t>
  </si>
  <si>
    <t>H</t>
  </si>
  <si>
    <t>t1</t>
  </si>
  <si>
    <t>t2</t>
  </si>
  <si>
    <t>tw1</t>
  </si>
  <si>
    <t>tw2</t>
  </si>
  <si>
    <t>Top-Flange (Left-type)</t>
  </si>
  <si>
    <t>Top-Flange (Center-type)</t>
  </si>
  <si>
    <t>Top-Flange (Right-type)</t>
  </si>
  <si>
    <t>Top-Flange (Right-spacing)</t>
  </si>
  <si>
    <t>Bottom-Flange (Left-type)</t>
  </si>
  <si>
    <t>Bottom-Flange (Left-spacing)</t>
  </si>
  <si>
    <t>Bottom-Flange (Center-type)</t>
  </si>
  <si>
    <t>Bottom-Flange (Right-type)</t>
  </si>
  <si>
    <t>Bottom-Flange (Right-spacing)</t>
  </si>
  <si>
    <t>T_rib</t>
  </si>
  <si>
    <t>T_rib</t>
    <phoneticPr fontId="9" type="noConversion"/>
  </si>
  <si>
    <t>F_rib</t>
  </si>
  <si>
    <t>F_rib</t>
    <phoneticPr fontId="9" type="noConversion"/>
  </si>
  <si>
    <t>GA101</t>
  </si>
  <si>
    <t>200,300,300,300,300,300,300,300,300</t>
  </si>
  <si>
    <t>200,300,300,300,300,300,300,300,300</t>
    <phoneticPr fontId="9" type="noConversion"/>
  </si>
  <si>
    <t>466.666666666667,466.666666666667,466.666666666667,466.666666666667,466.666666666667</t>
    <phoneticPr fontId="9" type="noConversion"/>
  </si>
  <si>
    <t>GA102</t>
  </si>
  <si>
    <t>GA103</t>
  </si>
  <si>
    <t>GA104</t>
  </si>
  <si>
    <t>GA105</t>
  </si>
  <si>
    <t>GA106</t>
  </si>
  <si>
    <t>GA107</t>
  </si>
  <si>
    <t>GA108</t>
  </si>
  <si>
    <t>GA109</t>
  </si>
  <si>
    <t>GA110</t>
  </si>
  <si>
    <t>GA111</t>
  </si>
  <si>
    <t>GA112</t>
  </si>
  <si>
    <t>GA113</t>
  </si>
  <si>
    <t>GA114</t>
  </si>
  <si>
    <t>GA115</t>
  </si>
  <si>
    <t>GA116</t>
  </si>
  <si>
    <t>GA117</t>
  </si>
  <si>
    <t>GA118</t>
  </si>
  <si>
    <t>GA119</t>
  </si>
  <si>
    <t>GA120</t>
  </si>
  <si>
    <t>GA121</t>
  </si>
  <si>
    <t>GA122</t>
  </si>
  <si>
    <t>GA123</t>
  </si>
  <si>
    <t>GA124</t>
  </si>
  <si>
    <t>GA125</t>
  </si>
  <si>
    <t>GA126</t>
  </si>
  <si>
    <t>GA127</t>
  </si>
  <si>
    <t>GA128</t>
  </si>
  <si>
    <t>GA129</t>
  </si>
  <si>
    <t>GA130</t>
  </si>
  <si>
    <t>GA131</t>
  </si>
  <si>
    <t>GA132</t>
  </si>
  <si>
    <t>GA133</t>
  </si>
  <si>
    <t>GA134</t>
  </si>
  <si>
    <t>GA135</t>
  </si>
  <si>
    <t>GA136</t>
  </si>
  <si>
    <t>GA137</t>
  </si>
  <si>
    <t>GA138</t>
  </si>
  <si>
    <t>GA139</t>
  </si>
  <si>
    <t>GA140</t>
  </si>
  <si>
    <t>GA141</t>
  </si>
  <si>
    <t>GA142</t>
  </si>
  <si>
    <t>GA143</t>
  </si>
  <si>
    <t>GA144</t>
  </si>
  <si>
    <t>GA145</t>
  </si>
  <si>
    <t>GA146</t>
  </si>
  <si>
    <t>GA147</t>
  </si>
  <si>
    <t>GA148</t>
  </si>
  <si>
    <t>GA149</t>
  </si>
  <si>
    <t>GA150</t>
  </si>
  <si>
    <t>GA151</t>
  </si>
  <si>
    <t>GA152</t>
  </si>
  <si>
    <t>GA153</t>
  </si>
  <si>
    <t>GA154</t>
  </si>
  <si>
    <t>GA155</t>
  </si>
  <si>
    <t>GA156</t>
  </si>
  <si>
    <t>GA157</t>
  </si>
  <si>
    <t>GA201</t>
  </si>
  <si>
    <t>GA202</t>
  </si>
  <si>
    <t>GA203</t>
  </si>
  <si>
    <t>GA204</t>
  </si>
  <si>
    <t>GA205</t>
  </si>
  <si>
    <t>GA206</t>
  </si>
  <si>
    <t>GA207</t>
  </si>
  <si>
    <t>GA208</t>
  </si>
  <si>
    <t>GA209</t>
  </si>
  <si>
    <t>GA210</t>
  </si>
  <si>
    <t>GA211</t>
  </si>
  <si>
    <t>GA212</t>
  </si>
  <si>
    <t>GA213</t>
  </si>
  <si>
    <t>GA214</t>
  </si>
  <si>
    <t>GA215</t>
  </si>
  <si>
    <t>GA216</t>
  </si>
  <si>
    <t>GA217</t>
  </si>
  <si>
    <t>GA218</t>
  </si>
  <si>
    <t>GA219</t>
  </si>
  <si>
    <t>GA220</t>
  </si>
  <si>
    <t>GA221</t>
  </si>
  <si>
    <t>GA222</t>
  </si>
  <si>
    <t>GA223</t>
  </si>
  <si>
    <t>GA224</t>
  </si>
  <si>
    <t>GA225</t>
  </si>
  <si>
    <t>GA226</t>
  </si>
  <si>
    <t>GA227</t>
  </si>
  <si>
    <t>GA228</t>
  </si>
  <si>
    <t>GA229</t>
  </si>
  <si>
    <t>GA230</t>
  </si>
  <si>
    <t>GA231</t>
  </si>
  <si>
    <t>GA232</t>
  </si>
  <si>
    <t>GA233</t>
  </si>
  <si>
    <t>GA234</t>
  </si>
  <si>
    <t>GA235</t>
  </si>
  <si>
    <t>GA236</t>
  </si>
  <si>
    <t>GA237</t>
  </si>
  <si>
    <t>GA238</t>
  </si>
  <si>
    <t>GA239</t>
  </si>
  <si>
    <t>GA240</t>
  </si>
  <si>
    <t>GA241</t>
  </si>
  <si>
    <t>GA242</t>
  </si>
  <si>
    <t>GA243</t>
  </si>
  <si>
    <t>GA244</t>
  </si>
  <si>
    <t>GA245</t>
  </si>
  <si>
    <t>GA246</t>
  </si>
  <si>
    <t>GA247</t>
  </si>
  <si>
    <t>GA248</t>
  </si>
  <si>
    <t>GA249</t>
  </si>
  <si>
    <t>GA250</t>
  </si>
  <si>
    <t>GA251</t>
  </si>
  <si>
    <t>GA252</t>
  </si>
  <si>
    <t>GA253</t>
  </si>
  <si>
    <t>GA254</t>
  </si>
  <si>
    <t>GA255</t>
  </si>
  <si>
    <t>GA256</t>
  </si>
  <si>
    <t>GA257</t>
  </si>
  <si>
    <t>GA258</t>
  </si>
  <si>
    <t>GA259</t>
  </si>
  <si>
    <t>GA260</t>
  </si>
  <si>
    <t>GA261</t>
  </si>
  <si>
    <t>GA262</t>
  </si>
  <si>
    <t>GA263</t>
  </si>
  <si>
    <t>GA264</t>
  </si>
  <si>
    <t>GA265</t>
  </si>
  <si>
    <t>GA266</t>
  </si>
  <si>
    <t>GA267</t>
  </si>
  <si>
    <t>GA268</t>
  </si>
  <si>
    <t>GA269</t>
  </si>
  <si>
    <t>GA270</t>
  </si>
  <si>
    <t>GA271</t>
  </si>
  <si>
    <t>GA272</t>
  </si>
  <si>
    <t>GA273</t>
  </si>
  <si>
    <t>GA274</t>
  </si>
  <si>
    <t>GA301</t>
  </si>
  <si>
    <t>GA302</t>
  </si>
  <si>
    <t>GA303</t>
  </si>
  <si>
    <t>GA304</t>
  </si>
  <si>
    <t>GA305</t>
  </si>
  <si>
    <t>GA306</t>
  </si>
  <si>
    <t>GA307</t>
  </si>
  <si>
    <t>GA308</t>
  </si>
  <si>
    <t>GA309</t>
  </si>
  <si>
    <t>GA310</t>
  </si>
  <si>
    <t>GA311</t>
  </si>
  <si>
    <t>GA312</t>
  </si>
  <si>
    <t>GA313</t>
  </si>
  <si>
    <t>GA314</t>
  </si>
  <si>
    <t>GA315</t>
  </si>
  <si>
    <t>GA316</t>
  </si>
  <si>
    <t>GA317</t>
  </si>
  <si>
    <t>GA318</t>
  </si>
  <si>
    <t>GA319</t>
  </si>
  <si>
    <t>GA320</t>
  </si>
  <si>
    <t>GA321</t>
  </si>
  <si>
    <t>GA322</t>
  </si>
  <si>
    <t>GA323</t>
  </si>
  <si>
    <t>GA324</t>
  </si>
  <si>
    <t>GA325</t>
  </si>
  <si>
    <t>GA326</t>
  </si>
  <si>
    <t>GA327</t>
  </si>
  <si>
    <t>GA328</t>
  </si>
  <si>
    <t>GA329</t>
  </si>
  <si>
    <t>GA330</t>
  </si>
  <si>
    <t>GA331</t>
  </si>
  <si>
    <t>GA332</t>
  </si>
  <si>
    <t>GA333</t>
  </si>
  <si>
    <t>GA334</t>
  </si>
  <si>
    <t>GA335</t>
  </si>
  <si>
    <t>GA336</t>
  </si>
  <si>
    <t>GA337</t>
  </si>
  <si>
    <t>GA338</t>
  </si>
  <si>
    <t>GA339</t>
  </si>
  <si>
    <t>GA340</t>
  </si>
  <si>
    <t>GA341</t>
  </si>
  <si>
    <t>GA342</t>
  </si>
  <si>
    <t>GA343</t>
  </si>
  <si>
    <t>GA344</t>
  </si>
  <si>
    <t>GA345</t>
  </si>
  <si>
    <t>GA346</t>
  </si>
  <si>
    <t>GA347</t>
  </si>
  <si>
    <t>GA348</t>
  </si>
  <si>
    <t>GA349</t>
  </si>
  <si>
    <t>GA401</t>
  </si>
  <si>
    <t>GA402</t>
  </si>
  <si>
    <t>GA403</t>
  </si>
  <si>
    <t>GA404</t>
  </si>
  <si>
    <t>GA405</t>
  </si>
  <si>
    <t>GA406</t>
  </si>
  <si>
    <t>GA407</t>
  </si>
  <si>
    <t>GA408</t>
  </si>
  <si>
    <t>GA409</t>
  </si>
  <si>
    <t>GA410</t>
  </si>
  <si>
    <t>GA411</t>
  </si>
  <si>
    <t>GA412</t>
  </si>
  <si>
    <t>GA413</t>
  </si>
  <si>
    <t>GA414</t>
  </si>
  <si>
    <t>GA415</t>
  </si>
  <si>
    <t>GA416</t>
  </si>
  <si>
    <t>GA417</t>
  </si>
  <si>
    <t>GA418</t>
  </si>
  <si>
    <t>GA419</t>
  </si>
  <si>
    <t>GA420</t>
  </si>
  <si>
    <t>GA421</t>
  </si>
  <si>
    <t>GA422</t>
  </si>
  <si>
    <t>GA423</t>
  </si>
  <si>
    <t>GA424</t>
  </si>
  <si>
    <t>GA425</t>
  </si>
  <si>
    <t>GA426</t>
  </si>
  <si>
    <t>GA427</t>
  </si>
  <si>
    <t>GA428</t>
  </si>
  <si>
    <t>GA429</t>
  </si>
  <si>
    <t>200,254.5,250,280,280,280,280,280,280,300</t>
    <phoneticPr fontId="9" type="noConversion"/>
  </si>
  <si>
    <t>200,300,300,300,280</t>
    <phoneticPr fontId="9" type="noConversion"/>
  </si>
  <si>
    <t>200,232,250,280,280,280,280,280,280,300</t>
    <phoneticPr fontId="9" type="noConversion"/>
  </si>
  <si>
    <t>200,217,230,280,280,280,280,280,280,300</t>
    <phoneticPr fontId="9" type="noConversion"/>
  </si>
  <si>
    <t>200,209,215,280,280,280,280,280,280,300</t>
    <phoneticPr fontId="9" type="noConversion"/>
  </si>
  <si>
    <t>200,202,200,280,280,280,280,280,280,300</t>
    <phoneticPr fontId="9" type="noConversion"/>
  </si>
  <si>
    <t>200,402,280,280,280,280,280,280,300</t>
    <phoneticPr fontId="9" type="noConversion"/>
  </si>
  <si>
    <t>200,377,280,280,280,280,280,280,300</t>
    <phoneticPr fontId="9" type="noConversion"/>
  </si>
  <si>
    <t>200,352,280,280,280,280,280,280,300</t>
    <phoneticPr fontId="9" type="noConversion"/>
  </si>
  <si>
    <t>200,327,280,280,280,280,280,280,300</t>
    <phoneticPr fontId="9" type="noConversion"/>
  </si>
  <si>
    <t>200,301,280,280,280,280,280,280,300</t>
    <phoneticPr fontId="9" type="noConversion"/>
  </si>
  <si>
    <t>200,277,280,280,280,280,280,280,300</t>
    <phoneticPr fontId="9" type="noConversion"/>
  </si>
  <si>
    <t>200,252,280,280,280,280,280,280,300</t>
    <phoneticPr fontId="9" type="noConversion"/>
  </si>
  <si>
    <t>200,227,280,280,280,280,280,280,300</t>
    <phoneticPr fontId="9" type="noConversion"/>
  </si>
  <si>
    <t>200,201,280,280,280,280,280,280,300</t>
    <phoneticPr fontId="9" type="noConversion"/>
  </si>
  <si>
    <t>200,197,260,280,280,280,280,280,300</t>
    <phoneticPr fontId="9" type="noConversion"/>
  </si>
  <si>
    <t>200,192,240,280,280,280,280,280,300</t>
    <phoneticPr fontId="9" type="noConversion"/>
  </si>
  <si>
    <t>200,187,220,280,280,280,280,280,300</t>
    <phoneticPr fontId="9" type="noConversion"/>
  </si>
  <si>
    <t>200,182,200,280,280,280,280,280,300</t>
    <phoneticPr fontId="9" type="noConversion"/>
  </si>
  <si>
    <t>200,382,280,280,280,280,280,300</t>
    <phoneticPr fontId="9" type="noConversion"/>
  </si>
  <si>
    <t>200,357,280,280,280,280,280,300</t>
    <phoneticPr fontId="9" type="noConversion"/>
  </si>
  <si>
    <t>200,332,280,280,280,280,280,300</t>
    <phoneticPr fontId="9" type="noConversion"/>
  </si>
  <si>
    <t>200,307,280,280,280,280,280,300</t>
    <phoneticPr fontId="9" type="noConversion"/>
  </si>
  <si>
    <t>200,282,280,280,280,280,280,300</t>
    <phoneticPr fontId="9" type="noConversion"/>
  </si>
  <si>
    <t>200,257,280,280,280,280,280,300</t>
    <phoneticPr fontId="9" type="noConversion"/>
  </si>
  <si>
    <t>200,232,280,280,280,280,280,300</t>
    <phoneticPr fontId="9" type="noConversion"/>
  </si>
  <si>
    <t>200,207,280,280,280,280,280,300</t>
    <phoneticPr fontId="9" type="noConversion"/>
  </si>
  <si>
    <t>200,182,280,280,280,280,280,300</t>
    <phoneticPr fontId="9" type="noConversion"/>
  </si>
  <si>
    <t>382,280,280,280,280,280,300</t>
    <phoneticPr fontId="9" type="noConversion"/>
  </si>
  <si>
    <t>356,280,280,280,280,280,300</t>
    <phoneticPr fontId="9" type="noConversion"/>
  </si>
  <si>
    <t>330,280,280,280,280,280,300</t>
    <phoneticPr fontId="9" type="noConversion"/>
  </si>
  <si>
    <t>304,280,280,280,280,280,300</t>
    <phoneticPr fontId="9" type="noConversion"/>
  </si>
  <si>
    <t>278,280,280,280,280,280,300</t>
    <phoneticPr fontId="9" type="noConversion"/>
  </si>
  <si>
    <t>260,273,280,280,280,280,300</t>
    <phoneticPr fontId="9" type="noConversion"/>
  </si>
  <si>
    <t>242,265,280,280,280,280,300</t>
    <phoneticPr fontId="9" type="noConversion"/>
  </si>
  <si>
    <t>223,258,280,280,280,280,300</t>
    <phoneticPr fontId="9" type="noConversion"/>
  </si>
  <si>
    <t>205,250,280,280,280,280,300</t>
    <phoneticPr fontId="9" type="noConversion"/>
  </si>
  <si>
    <t>191,237,280,280,280,280,300</t>
    <phoneticPr fontId="9" type="noConversion"/>
  </si>
  <si>
    <t>178,225,280,280,280,280,300</t>
    <phoneticPr fontId="9" type="noConversion"/>
  </si>
  <si>
    <t>164,213,280,280,280,280,300</t>
    <phoneticPr fontId="9" type="noConversion"/>
  </si>
  <si>
    <t>151,200,280,280,280,280,300</t>
    <phoneticPr fontId="9" type="noConversion"/>
  </si>
  <si>
    <t>351,280,280,280,280,300</t>
    <phoneticPr fontId="9" type="noConversion"/>
  </si>
  <si>
    <t>325,280,280,280,280,300</t>
    <phoneticPr fontId="9" type="noConversion"/>
  </si>
  <si>
    <t>299,280,280,280,280,300</t>
    <phoneticPr fontId="9" type="noConversion"/>
  </si>
  <si>
    <t>273,280,280,280,280,300</t>
    <phoneticPr fontId="9" type="noConversion"/>
  </si>
  <si>
    <t>280,280,280,280,280,300</t>
    <phoneticPr fontId="9" type="noConversion"/>
  </si>
  <si>
    <t>280,280,280,280,280,300</t>
  </si>
  <si>
    <t>200,300,300,300,280</t>
  </si>
  <si>
    <t>JA1</t>
    <phoneticPr fontId="9" type="noConversion"/>
  </si>
  <si>
    <t>JA2</t>
  </si>
  <si>
    <t>JA3</t>
  </si>
  <si>
    <t>JA4</t>
  </si>
  <si>
    <t>JA5</t>
  </si>
  <si>
    <t>JA7</t>
  </si>
  <si>
    <t>JA8</t>
  </si>
  <si>
    <t>JA9</t>
  </si>
  <si>
    <t>JA10</t>
  </si>
  <si>
    <t>JA11</t>
  </si>
  <si>
    <t>JA12</t>
  </si>
  <si>
    <t>JA13</t>
  </si>
  <si>
    <t>JA14</t>
  </si>
  <si>
    <t>JA15</t>
  </si>
  <si>
    <t>JA16</t>
  </si>
  <si>
    <t>JA17</t>
  </si>
  <si>
    <t>JA19</t>
  </si>
  <si>
    <t>JA20</t>
  </si>
  <si>
    <t>JA21</t>
  </si>
  <si>
    <t>JA22</t>
  </si>
  <si>
    <t>JA23</t>
  </si>
  <si>
    <t>JA24</t>
  </si>
  <si>
    <t>JA25</t>
  </si>
  <si>
    <t>JA27</t>
  </si>
  <si>
    <t>JA28</t>
  </si>
  <si>
    <t>JA29</t>
  </si>
  <si>
    <t>JA30</t>
  </si>
  <si>
    <t>JA31</t>
  </si>
  <si>
    <t>JA32</t>
  </si>
  <si>
    <t>JA33</t>
  </si>
  <si>
    <t>JA34</t>
  </si>
  <si>
    <t>JA35</t>
  </si>
  <si>
    <t>JA36</t>
  </si>
  <si>
    <t>JA37</t>
  </si>
  <si>
    <t>JA39</t>
  </si>
  <si>
    <t>JA40</t>
  </si>
  <si>
    <t>JA41</t>
  </si>
  <si>
    <t>JA42</t>
  </si>
  <si>
    <t>JA43</t>
  </si>
  <si>
    <t>JA44</t>
  </si>
  <si>
    <t>JA45</t>
  </si>
  <si>
    <t>JA46</t>
  </si>
  <si>
    <t>JA47</t>
  </si>
  <si>
    <t>JA48</t>
  </si>
  <si>
    <t>JA49</t>
  </si>
  <si>
    <t>JA50</t>
  </si>
  <si>
    <t>JA51</t>
  </si>
  <si>
    <t>JA52</t>
  </si>
  <si>
    <t>JA53</t>
  </si>
  <si>
    <t>JA54</t>
  </si>
  <si>
    <t>JA55</t>
  </si>
  <si>
    <t>JA56</t>
  </si>
  <si>
    <t>JA57</t>
  </si>
  <si>
    <t>JA58</t>
  </si>
  <si>
    <t>JA59</t>
  </si>
  <si>
    <t>JA60</t>
  </si>
  <si>
    <t>JA61</t>
  </si>
  <si>
    <t>JA62</t>
  </si>
  <si>
    <t>JA63</t>
  </si>
  <si>
    <t>JA64</t>
  </si>
  <si>
    <t>JA65</t>
  </si>
  <si>
    <t>JA66</t>
  </si>
  <si>
    <t>JA67</t>
  </si>
  <si>
    <t>JA68</t>
  </si>
  <si>
    <t>JA69</t>
  </si>
  <si>
    <t>JA70</t>
  </si>
  <si>
    <t>JA71</t>
  </si>
  <si>
    <t>JA72</t>
  </si>
  <si>
    <t>JA73</t>
  </si>
  <si>
    <t>JA74</t>
  </si>
  <si>
    <t>JA75</t>
  </si>
  <si>
    <t>JA76</t>
  </si>
  <si>
    <t>JA77</t>
  </si>
  <si>
    <t>JA78</t>
  </si>
  <si>
    <t>JA79</t>
  </si>
  <si>
    <t>JA80</t>
  </si>
  <si>
    <t>JA81</t>
  </si>
  <si>
    <t>JA82</t>
  </si>
  <si>
    <t>JA83</t>
  </si>
  <si>
    <t>JA84</t>
  </si>
  <si>
    <t>JA85</t>
  </si>
  <si>
    <t>JA86</t>
  </si>
  <si>
    <t>JA87</t>
  </si>
  <si>
    <t>JA88</t>
  </si>
  <si>
    <t>JA89</t>
  </si>
  <si>
    <t>JA90</t>
  </si>
  <si>
    <t>JA91</t>
  </si>
  <si>
    <t>JA92</t>
  </si>
  <si>
    <t>JA93</t>
  </si>
  <si>
    <t>JA94</t>
  </si>
  <si>
    <t>JA95</t>
  </si>
  <si>
    <t>JA96</t>
  </si>
  <si>
    <t>JA97</t>
  </si>
  <si>
    <t>JA98</t>
  </si>
  <si>
    <t>JA99</t>
  </si>
  <si>
    <t>JA100</t>
  </si>
  <si>
    <t>JA101</t>
  </si>
  <si>
    <t>JA102</t>
  </si>
  <si>
    <t>JA103</t>
  </si>
  <si>
    <t>JA104</t>
  </si>
  <si>
    <t>JA105</t>
  </si>
  <si>
    <t>JA106</t>
  </si>
  <si>
    <t>JA107</t>
  </si>
  <si>
    <t>JA108</t>
  </si>
  <si>
    <t>JA109</t>
  </si>
  <si>
    <t>JA110</t>
  </si>
  <si>
    <t>JA111</t>
  </si>
  <si>
    <t>JA112</t>
  </si>
  <si>
    <t>JA113</t>
  </si>
  <si>
    <t>JA114</t>
  </si>
  <si>
    <t>JA115</t>
  </si>
  <si>
    <t>JA116</t>
  </si>
  <si>
    <t>JA117</t>
  </si>
  <si>
    <t>JA118</t>
  </si>
  <si>
    <t>JA119</t>
  </si>
  <si>
    <t>JA120</t>
  </si>
  <si>
    <t>JA121</t>
  </si>
  <si>
    <t>JA122</t>
  </si>
  <si>
    <t>JA123</t>
  </si>
  <si>
    <t>JA124</t>
  </si>
  <si>
    <t>JA125</t>
  </si>
  <si>
    <t>JA126</t>
  </si>
  <si>
    <t>JA127</t>
  </si>
  <si>
    <t>JA128</t>
  </si>
  <si>
    <t>JA129</t>
  </si>
  <si>
    <t>JA130</t>
  </si>
  <si>
    <t>JA131</t>
  </si>
  <si>
    <t>JA132</t>
  </si>
  <si>
    <t>JA133</t>
  </si>
  <si>
    <t>JA134</t>
  </si>
  <si>
    <t>JA135</t>
  </si>
  <si>
    <t>JA136</t>
  </si>
  <si>
    <t>JA137</t>
  </si>
  <si>
    <t>JA138</t>
  </si>
  <si>
    <t>JA139</t>
  </si>
  <si>
    <t>JA140</t>
  </si>
  <si>
    <t>JA141</t>
  </si>
  <si>
    <t>JA142</t>
  </si>
  <si>
    <t>JA143</t>
  </si>
  <si>
    <t>JA144</t>
  </si>
  <si>
    <t>JA145</t>
  </si>
  <si>
    <t>JA146</t>
  </si>
  <si>
    <t>JA147</t>
  </si>
  <si>
    <t>JA148</t>
  </si>
  <si>
    <t>JA149</t>
  </si>
  <si>
    <t>JA150</t>
  </si>
  <si>
    <t>JA151</t>
  </si>
  <si>
    <t>JA152</t>
  </si>
  <si>
    <t>JA153</t>
  </si>
  <si>
    <t>JA154</t>
  </si>
  <si>
    <t>JA155</t>
  </si>
  <si>
    <t>JA156</t>
  </si>
  <si>
    <t>JA157</t>
  </si>
  <si>
    <t>JA158</t>
  </si>
  <si>
    <t>JA159</t>
  </si>
  <si>
    <t>JA160</t>
  </si>
  <si>
    <t>JA161</t>
  </si>
  <si>
    <t>JA162</t>
  </si>
  <si>
    <t>JA163</t>
  </si>
  <si>
    <t>JA164</t>
  </si>
  <si>
    <t>JA165</t>
  </si>
  <si>
    <t>JA166</t>
  </si>
  <si>
    <t>JA167</t>
  </si>
  <si>
    <t>JA168</t>
  </si>
  <si>
    <t>JA169</t>
  </si>
  <si>
    <t>JA170</t>
  </si>
  <si>
    <t>JA171</t>
  </si>
  <si>
    <t>JA172</t>
  </si>
  <si>
    <t>JA173</t>
  </si>
  <si>
    <t>JA174</t>
  </si>
  <si>
    <t>JA175</t>
  </si>
  <si>
    <t>JA176</t>
  </si>
  <si>
    <t>JA177</t>
  </si>
  <si>
    <t>JA178</t>
  </si>
  <si>
    <t>JA179</t>
  </si>
  <si>
    <t>JA180</t>
  </si>
  <si>
    <t>JA181</t>
  </si>
  <si>
    <t>JA182</t>
  </si>
  <si>
    <t>JA183</t>
  </si>
  <si>
    <t>JA184</t>
  </si>
  <si>
    <t>JA185</t>
  </si>
  <si>
    <t>JA186</t>
  </si>
  <si>
    <t>JA187</t>
  </si>
  <si>
    <t>JA188</t>
  </si>
  <si>
    <t>JA189</t>
  </si>
  <si>
    <t>JA190</t>
  </si>
  <si>
    <t>JA191</t>
  </si>
  <si>
    <t>JA192</t>
  </si>
  <si>
    <t>JA193</t>
  </si>
  <si>
    <t>JA194</t>
  </si>
  <si>
    <t>JA195</t>
  </si>
  <si>
    <t>JA196</t>
  </si>
  <si>
    <t>JA197</t>
  </si>
  <si>
    <t>JA198</t>
  </si>
  <si>
    <t>JA199</t>
  </si>
  <si>
    <t>JA200</t>
  </si>
  <si>
    <t>JA201</t>
  </si>
  <si>
    <t>JA202</t>
  </si>
  <si>
    <t>JA203</t>
  </si>
  <si>
    <t>JA204</t>
  </si>
  <si>
    <t>JA205</t>
  </si>
  <si>
    <t>JA5_2</t>
    <phoneticPr fontId="9" type="noConversion"/>
  </si>
  <si>
    <t>JA6</t>
    <phoneticPr fontId="9" type="noConversion"/>
  </si>
  <si>
    <t>JA17_2</t>
    <phoneticPr fontId="9" type="noConversion"/>
  </si>
  <si>
    <t>JA18</t>
    <phoneticPr fontId="9" type="noConversion"/>
  </si>
  <si>
    <t>JA25_2</t>
    <phoneticPr fontId="9" type="noConversion"/>
  </si>
  <si>
    <t>JA26</t>
    <phoneticPr fontId="9" type="noConversion"/>
  </si>
  <si>
    <t>JA37_2</t>
    <phoneticPr fontId="9" type="noConversion"/>
  </si>
  <si>
    <t>JA38</t>
    <phoneticPr fontId="9" type="noConversion"/>
  </si>
  <si>
    <t>JB1</t>
    <phoneticPr fontId="9" type="noConversion"/>
  </si>
  <si>
    <t>JB2</t>
  </si>
  <si>
    <t>JB3</t>
  </si>
  <si>
    <t>JB4</t>
  </si>
  <si>
    <t>JB5</t>
  </si>
  <si>
    <t>JB5_2</t>
    <phoneticPr fontId="9" type="noConversion"/>
  </si>
  <si>
    <t>JB6</t>
    <phoneticPr fontId="9" type="noConversion"/>
  </si>
  <si>
    <t>JB7</t>
  </si>
  <si>
    <t>JB8</t>
  </si>
  <si>
    <t>JB9</t>
  </si>
  <si>
    <t>JB10</t>
  </si>
  <si>
    <t>JB11</t>
  </si>
  <si>
    <t>JB12</t>
  </si>
  <si>
    <t>JB13</t>
  </si>
  <si>
    <t>JB14</t>
  </si>
  <si>
    <t>JB15</t>
  </si>
  <si>
    <t>JB16</t>
  </si>
  <si>
    <t>JB17</t>
  </si>
  <si>
    <t>JB17_2</t>
    <phoneticPr fontId="9" type="noConversion"/>
  </si>
  <si>
    <t>JB18</t>
    <phoneticPr fontId="9" type="noConversion"/>
  </si>
  <si>
    <t>JB19</t>
  </si>
  <si>
    <t>JB20</t>
  </si>
  <si>
    <t>JB21</t>
  </si>
  <si>
    <t>JB22</t>
  </si>
  <si>
    <t>JB23</t>
  </si>
  <si>
    <t>JB24</t>
  </si>
  <si>
    <t>JB25</t>
  </si>
  <si>
    <t>JB25_2</t>
    <phoneticPr fontId="9" type="noConversion"/>
  </si>
  <si>
    <t>JB26</t>
    <phoneticPr fontId="9" type="noConversion"/>
  </si>
  <si>
    <t>JB27</t>
  </si>
  <si>
    <t>JB28</t>
  </si>
  <si>
    <t>JB29</t>
  </si>
  <si>
    <t>JB30</t>
  </si>
  <si>
    <t>JB31</t>
  </si>
  <si>
    <t>JB32</t>
  </si>
  <si>
    <t>JB33</t>
  </si>
  <si>
    <t>JB34</t>
  </si>
  <si>
    <t>JB35</t>
  </si>
  <si>
    <t>JB36</t>
  </si>
  <si>
    <t>JB37</t>
  </si>
  <si>
    <t>JB37_2</t>
    <phoneticPr fontId="9" type="noConversion"/>
  </si>
  <si>
    <t>JB38</t>
    <phoneticPr fontId="9" type="noConversion"/>
  </si>
  <si>
    <t>JB39</t>
  </si>
  <si>
    <t>JB40</t>
  </si>
  <si>
    <t>JB41</t>
  </si>
  <si>
    <t>JB42</t>
  </si>
  <si>
    <t>JB43</t>
  </si>
  <si>
    <t>JB44</t>
  </si>
  <si>
    <t>JB45</t>
  </si>
  <si>
    <t>JB46</t>
  </si>
  <si>
    <t>JB47</t>
  </si>
  <si>
    <t>JB48</t>
  </si>
  <si>
    <t>JB49</t>
  </si>
  <si>
    <t>JB50</t>
  </si>
  <si>
    <t>JB51</t>
  </si>
  <si>
    <t>JB52</t>
  </si>
  <si>
    <t>JB53</t>
  </si>
  <si>
    <t>JB54</t>
  </si>
  <si>
    <t>JB55</t>
  </si>
  <si>
    <t>JB56</t>
  </si>
  <si>
    <t>JB57</t>
  </si>
  <si>
    <t>JB58</t>
  </si>
  <si>
    <t>JB59</t>
  </si>
  <si>
    <t>JB60</t>
  </si>
  <si>
    <t>JB61</t>
  </si>
  <si>
    <t>JB62</t>
  </si>
  <si>
    <t>JB63</t>
  </si>
  <si>
    <t>JB64</t>
  </si>
  <si>
    <t>JB65</t>
  </si>
  <si>
    <t>JB66</t>
  </si>
  <si>
    <t>JB67</t>
  </si>
  <si>
    <t>JB68</t>
  </si>
  <si>
    <t>JB69</t>
  </si>
  <si>
    <t>JB70</t>
  </si>
  <si>
    <t>JB71</t>
  </si>
  <si>
    <t>JB72</t>
  </si>
  <si>
    <t>JB73</t>
  </si>
  <si>
    <t>JB74</t>
  </si>
  <si>
    <t>JB75</t>
  </si>
  <si>
    <t>JB76</t>
  </si>
  <si>
    <t>JB77</t>
  </si>
  <si>
    <t>JB78</t>
  </si>
  <si>
    <t>JB79</t>
  </si>
  <si>
    <t>JB80</t>
  </si>
  <si>
    <t>JB81</t>
  </si>
  <si>
    <t>JB82</t>
  </si>
  <si>
    <t>JB83</t>
  </si>
  <si>
    <t>JB84</t>
  </si>
  <si>
    <t>JB85</t>
  </si>
  <si>
    <t>JB86</t>
  </si>
  <si>
    <t>JB87</t>
  </si>
  <si>
    <t>JB88</t>
  </si>
  <si>
    <t>JB89</t>
  </si>
  <si>
    <t>JB90</t>
  </si>
  <si>
    <t>JB91</t>
  </si>
  <si>
    <t>JB92</t>
  </si>
  <si>
    <t>JB93</t>
  </si>
  <si>
    <t>JB94</t>
  </si>
  <si>
    <t>JB95</t>
  </si>
  <si>
    <t>JB96</t>
  </si>
  <si>
    <t>JB97</t>
  </si>
  <si>
    <t>JB98</t>
  </si>
  <si>
    <t>JB99</t>
  </si>
  <si>
    <t>JB100</t>
  </si>
  <si>
    <t>JB101</t>
  </si>
  <si>
    <t>JB102</t>
  </si>
  <si>
    <t>JB103</t>
  </si>
  <si>
    <t>JB104</t>
  </si>
  <si>
    <t>JB105</t>
  </si>
  <si>
    <t>JB106</t>
  </si>
  <si>
    <t>JB107</t>
  </si>
  <si>
    <t>JB108</t>
  </si>
  <si>
    <t>JB109</t>
  </si>
  <si>
    <t>JB110</t>
  </si>
  <si>
    <t>JB111</t>
  </si>
  <si>
    <t>JB112</t>
  </si>
  <si>
    <t>JB113</t>
  </si>
  <si>
    <t>JB114</t>
  </si>
  <si>
    <t>JB115</t>
  </si>
  <si>
    <t>JB116</t>
  </si>
  <si>
    <t>JB117</t>
  </si>
  <si>
    <t>JB118</t>
  </si>
  <si>
    <t>JB119</t>
  </si>
  <si>
    <t>JB120</t>
  </si>
  <si>
    <t>JB121</t>
  </si>
  <si>
    <t>JB122</t>
  </si>
  <si>
    <t>JB123</t>
  </si>
  <si>
    <t>JB124</t>
  </si>
  <si>
    <t>JB125</t>
  </si>
  <si>
    <t>JB126</t>
  </si>
  <si>
    <t>JB127</t>
  </si>
  <si>
    <t>JB128</t>
  </si>
  <si>
    <t>JB129</t>
  </si>
  <si>
    <t>JB130</t>
  </si>
  <si>
    <t>JB131</t>
  </si>
  <si>
    <t>JB132</t>
  </si>
  <si>
    <t>JB133</t>
  </si>
  <si>
    <t>JB134</t>
  </si>
  <si>
    <t>JB135</t>
  </si>
  <si>
    <t>JB136</t>
  </si>
  <si>
    <t>JB137</t>
  </si>
  <si>
    <t>JB138</t>
  </si>
  <si>
    <t>JB139</t>
  </si>
  <si>
    <t>JB140</t>
  </si>
  <si>
    <t>JB141</t>
  </si>
  <si>
    <t>JB142</t>
  </si>
  <si>
    <t>JB143</t>
  </si>
  <si>
    <t>JB144</t>
  </si>
  <si>
    <t>JB145</t>
  </si>
  <si>
    <t>JB146</t>
  </si>
  <si>
    <t>JB147</t>
  </si>
  <si>
    <t>JB148</t>
  </si>
  <si>
    <t>JB149</t>
  </si>
  <si>
    <t>JB150</t>
  </si>
  <si>
    <t>JB151</t>
  </si>
  <si>
    <t>JB152</t>
  </si>
  <si>
    <t>JB153</t>
  </si>
  <si>
    <t>JB154</t>
  </si>
  <si>
    <t>JB155</t>
  </si>
  <si>
    <t>JB156</t>
  </si>
  <si>
    <t>JB157</t>
  </si>
  <si>
    <t>JB158</t>
  </si>
  <si>
    <t>JB159</t>
  </si>
  <si>
    <t>JB160</t>
  </si>
  <si>
    <t>JB161</t>
  </si>
  <si>
    <t>JB162</t>
  </si>
  <si>
    <t>JB163</t>
  </si>
  <si>
    <t>JB164</t>
  </si>
  <si>
    <t>JB165</t>
  </si>
  <si>
    <t>JB166</t>
  </si>
  <si>
    <t>JB167</t>
  </si>
  <si>
    <t>JB168</t>
  </si>
  <si>
    <t>JB169</t>
  </si>
  <si>
    <t>JB170</t>
  </si>
  <si>
    <t>JB171</t>
  </si>
  <si>
    <t>JB172</t>
  </si>
  <si>
    <t>JB173</t>
  </si>
  <si>
    <t>JB174</t>
  </si>
  <si>
    <t>JB175</t>
  </si>
  <si>
    <t>JB176</t>
  </si>
  <si>
    <t>JB177</t>
  </si>
  <si>
    <t>JB178</t>
  </si>
  <si>
    <t>JB179</t>
  </si>
  <si>
    <t>JB180</t>
  </si>
  <si>
    <t>JB181</t>
  </si>
  <si>
    <t>JB182</t>
  </si>
  <si>
    <t>JB183</t>
  </si>
  <si>
    <t>JB184</t>
  </si>
  <si>
    <t>JB185</t>
  </si>
  <si>
    <t>JB186</t>
  </si>
  <si>
    <t>JB187</t>
  </si>
  <si>
    <t>JB188</t>
  </si>
  <si>
    <t>JB189</t>
  </si>
  <si>
    <t>JB190</t>
  </si>
  <si>
    <t>JB191</t>
  </si>
  <si>
    <t>JB192</t>
  </si>
  <si>
    <t>JB193</t>
  </si>
  <si>
    <t>JB194</t>
  </si>
  <si>
    <t>JB195</t>
  </si>
  <si>
    <t>JB196</t>
  </si>
  <si>
    <t>JB197</t>
  </si>
  <si>
    <t>JB198</t>
  </si>
  <si>
    <t>JB199</t>
  </si>
  <si>
    <t>JB200</t>
  </si>
  <si>
    <t>JB201</t>
  </si>
  <si>
    <t>JB202</t>
  </si>
  <si>
    <t>JB203</t>
  </si>
  <si>
    <t>JB204</t>
  </si>
  <si>
    <t>JB205</t>
  </si>
  <si>
    <t>370,280,300,300,300</t>
  </si>
  <si>
    <t>200,300,280,280,280,280,280,280,250,254.5</t>
    <phoneticPr fontId="9" type="noConversion"/>
  </si>
  <si>
    <t>200,300,280,280,280,280,280,280,250,232</t>
    <phoneticPr fontId="9" type="noConversion"/>
  </si>
  <si>
    <t>200,300,280,280,280,280,280,280,230,217</t>
    <phoneticPr fontId="9" type="noConversion"/>
  </si>
  <si>
    <t>200,300,280,280,280,280,280,280,215,208</t>
    <phoneticPr fontId="9" type="noConversion"/>
  </si>
  <si>
    <t>200,300,280,280,280,280,280,280,200,201</t>
    <phoneticPr fontId="9" type="noConversion"/>
  </si>
  <si>
    <t>200,300,280,280,280,280,280,280,401</t>
    <phoneticPr fontId="9" type="noConversion"/>
  </si>
  <si>
    <t>200,300,280,280,280,280,280,280,376</t>
    <phoneticPr fontId="9" type="noConversion"/>
  </si>
  <si>
    <t>200,300,280,280,280,280,280,280,351</t>
    <phoneticPr fontId="9" type="noConversion"/>
  </si>
  <si>
    <t>200,300,280,280,280,280,280,280,326</t>
    <phoneticPr fontId="9" type="noConversion"/>
  </si>
  <si>
    <t>200,300,280,280,280,280,280,280,301</t>
    <phoneticPr fontId="9" type="noConversion"/>
  </si>
  <si>
    <t>200,300,280,280,280,280,280,280,276</t>
    <phoneticPr fontId="9" type="noConversion"/>
  </si>
  <si>
    <t>200,300,280,280,280,280,280,280,251</t>
    <phoneticPr fontId="9" type="noConversion"/>
  </si>
  <si>
    <t>200,300,280,280,280,280,280,280,226</t>
    <phoneticPr fontId="9" type="noConversion"/>
  </si>
  <si>
    <t>200,300,280,280,280,280,280,280,201</t>
    <phoneticPr fontId="9" type="noConversion"/>
  </si>
  <si>
    <t>200,300,280,280,280,280,280,260,196</t>
    <phoneticPr fontId="9" type="noConversion"/>
  </si>
  <si>
    <t>200,300,280,280,280,280,280,240,191</t>
    <phoneticPr fontId="9" type="noConversion"/>
  </si>
  <si>
    <t>200,300,280,280,280,280,280,220,186</t>
    <phoneticPr fontId="9" type="noConversion"/>
  </si>
  <si>
    <t>200,300,280,280,280,280,280,200,181</t>
    <phoneticPr fontId="9" type="noConversion"/>
  </si>
  <si>
    <t>200,300,280,280,280,280,280,381</t>
    <phoneticPr fontId="9" type="noConversion"/>
  </si>
  <si>
    <t>200,300,280,280,280,280,280,356</t>
    <phoneticPr fontId="9" type="noConversion"/>
  </si>
  <si>
    <t>200,300,280,280,280,280,280,331</t>
    <phoneticPr fontId="9" type="noConversion"/>
  </si>
  <si>
    <t>200,300,280,280,280,280,280,306</t>
    <phoneticPr fontId="9" type="noConversion"/>
  </si>
  <si>
    <t>200,300,280,280,280,280,280,281</t>
    <phoneticPr fontId="9" type="noConversion"/>
  </si>
  <si>
    <t>200,300,280,280,280,280,280,256</t>
    <phoneticPr fontId="9" type="noConversion"/>
  </si>
  <si>
    <t>200,300,280,280,280,280,280,231</t>
    <phoneticPr fontId="9" type="noConversion"/>
  </si>
  <si>
    <t>200,300,280,280,280,280,280,206</t>
    <phoneticPr fontId="9" type="noConversion"/>
  </si>
  <si>
    <t>200,300,280,280,280,280,280,181</t>
    <phoneticPr fontId="9" type="noConversion"/>
  </si>
  <si>
    <t>200,300,280,280,280,280,280</t>
    <phoneticPr fontId="9" type="noConversion"/>
  </si>
  <si>
    <t>200,300,280,280,280,280,280</t>
  </si>
  <si>
    <t>200,300,280,280,280,280,273</t>
    <phoneticPr fontId="9" type="noConversion"/>
  </si>
  <si>
    <t>200,300,280,280,280,280,265</t>
    <phoneticPr fontId="9" type="noConversion"/>
  </si>
  <si>
    <t>200,300,280,280,280,280,258</t>
    <phoneticPr fontId="9" type="noConversion"/>
  </si>
  <si>
    <t>200,300,280,280,280,280,250</t>
    <phoneticPr fontId="9" type="noConversion"/>
  </si>
  <si>
    <t>200,300,280,280,280,280,237</t>
    <phoneticPr fontId="9" type="noConversion"/>
  </si>
  <si>
    <t>200,300,280,280,280,280,225</t>
    <phoneticPr fontId="9" type="noConversion"/>
  </si>
  <si>
    <t>200,300,280,280,280,280,212</t>
    <phoneticPr fontId="9" type="noConversion"/>
  </si>
  <si>
    <t>200,300,280,280,280,280,200</t>
    <phoneticPr fontId="9" type="noConversion"/>
  </si>
  <si>
    <t>200,300,280,280,280,280</t>
    <phoneticPr fontId="9" type="noConversion"/>
  </si>
  <si>
    <t>200,300,280,280,280,280</t>
  </si>
  <si>
    <t>LEI</t>
    <phoneticPr fontId="9" type="noConversion"/>
  </si>
  <si>
    <t>LEO</t>
    <phoneticPr fontId="9" type="noConversion"/>
  </si>
  <si>
    <t>IE</t>
    <phoneticPr fontId="9" type="noConversion"/>
  </si>
  <si>
    <t>[-]</t>
    <phoneticPr fontId="9" type="noConversion"/>
  </si>
  <si>
    <t>[mm]</t>
    <phoneticPr fontId="9" type="noConversion"/>
  </si>
  <si>
    <t>d0</t>
    <phoneticPr fontId="9" type="noConversion"/>
  </si>
  <si>
    <t>Fy</t>
    <phoneticPr fontId="9" type="noConversion"/>
  </si>
  <si>
    <t>[kgf/cm2]</t>
    <phoneticPr fontId="9" type="noConversion"/>
  </si>
  <si>
    <t>k</t>
    <phoneticPr fontId="9" type="noConversion"/>
  </si>
  <si>
    <t>D/tw</t>
    <phoneticPr fontId="9" type="noConversion"/>
  </si>
  <si>
    <t>k/Fy</t>
    <phoneticPr fontId="9" type="noConversion"/>
  </si>
  <si>
    <t>C_code</t>
    <phoneticPr fontId="9" type="noConversion"/>
  </si>
  <si>
    <t>C_ref</t>
    <phoneticPr fontId="9" type="noConversion"/>
  </si>
  <si>
    <t>Fv_code</t>
    <phoneticPr fontId="9" type="noConversion"/>
  </si>
  <si>
    <t>Fv_ref</t>
    <phoneticPr fontId="9" type="noConversion"/>
  </si>
  <si>
    <t>KxLx</t>
    <phoneticPr fontId="9" type="noConversion"/>
  </si>
  <si>
    <t>E</t>
    <phoneticPr fontId="9" type="noConversion"/>
  </si>
  <si>
    <t>KyLy</t>
    <phoneticPr fontId="9" type="noConversion"/>
  </si>
  <si>
    <t>SP</t>
    <phoneticPr fontId="9" type="noConversion"/>
  </si>
  <si>
    <t>Top-Flange (Left-spacing)</t>
    <phoneticPr fontId="9" type="noConversion"/>
  </si>
  <si>
    <t>Top-Flange (Center-spacing)</t>
    <phoneticPr fontId="9" type="noConversion"/>
  </si>
  <si>
    <t>Bottom-Flange (Center-spacing)</t>
    <phoneticPr fontId="9" type="noConversion"/>
  </si>
  <si>
    <t>D0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</si>
</sst>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0000000"/>
    <numFmt numFmtId="177" formatCode="0.0_);[Red]\(0.0\)"/>
    <numFmt numFmtId="178" formatCode="0.000_);[Red]\(0.000\)"/>
    <numFmt numFmtId="179" formatCode="0_);[Red]\(0\)"/>
  </numFmts>
  <fonts count="19">
    <font>
      <sz val="11"/>
      <color theme="1"/>
      <name val="新細明體"/>
      <family val="2"/>
      <scheme val="minor"/>
    </font>
    <font>
      <sz val="12"/>
      <color rgb="FF000000"/>
      <name val="Consolas"/>
      <family val="2"/>
    </font>
    <font>
      <b/>
      <sz val="12"/>
      <color rgb="FF000000"/>
      <name val="Times New Roman"/>
      <family val="2"/>
    </font>
    <font>
      <b/>
      <sz val="8"/>
      <color rgb="FF000000"/>
      <name val="Times New Roman"/>
      <family val="2"/>
    </font>
    <font>
      <sz val="12"/>
      <color rgb="FF0000FF"/>
      <name val="Consolas"/>
      <family val="2"/>
    </font>
    <font>
      <sz val="12"/>
      <color rgb="FFFF0000"/>
      <name val="Consolas"/>
      <family val="2"/>
    </font>
    <font>
      <sz val="12"/>
      <color rgb="FFFF0000"/>
      <name val="Times New Roman"/>
      <family val="2"/>
    </font>
    <font>
      <b/>
      <sz val="12"/>
      <color rgb="FF000000"/>
      <name val="Consolas"/>
      <family val="2"/>
    </font>
    <font>
      <b/>
      <sz val="12"/>
      <color rgb="FF000000"/>
      <name val="Microsoft JhengHei"/>
      <family val="2"/>
    </font>
    <font>
      <sz val="9"/>
      <name val="新細明體"/>
      <family val="3"/>
      <charset val="136"/>
      <scheme val="minor"/>
    </font>
    <font>
      <sz val="12"/>
      <name val="Consolas"/>
      <family val="2"/>
    </font>
    <font>
      <sz val="12"/>
      <color rgb="FF000000"/>
      <name val="Consolas"/>
      <family val="3"/>
    </font>
    <font>
      <sz val="12"/>
      <color theme="1"/>
      <name val="Consolas"/>
      <family val="3"/>
    </font>
    <font>
      <sz val="11"/>
      <color rgb="FF000000"/>
      <name val="新細明體"/>
      <family val="1"/>
      <charset val="136"/>
    </font>
    <font>
      <sz val="12"/>
      <color rgb="FF0000FF"/>
      <name val="Consolas"/>
      <family val="3"/>
    </font>
    <font>
      <sz val="11"/>
      <color theme="1"/>
      <name val="新細明體"/>
      <family val="2"/>
      <scheme val="minor"/>
    </font>
    <font>
      <sz val="12"/>
      <name val="Times New Roman"/>
      <family val="1"/>
    </font>
    <font>
      <sz val="10"/>
      <color theme="1"/>
      <name val="新細明體"/>
      <family val="2"/>
      <charset val="136"/>
      <scheme val="minor"/>
    </font>
    <font>
      <sz val="12"/>
      <color rgb="FF00B050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D9F2D0"/>
      </patternFill>
    </fill>
    <fill>
      <patternFill patternType="solid">
        <fgColor rgb="FFCAEEFB"/>
      </patternFill>
    </fill>
    <fill>
      <patternFill patternType="solid">
        <fgColor rgb="FFFBE3D6"/>
      </patternFill>
    </fill>
    <fill>
      <patternFill patternType="solid">
        <fgColor rgb="FFFFFF00"/>
      </patternFill>
    </fill>
    <fill>
      <patternFill patternType="solid">
        <fgColor rgb="FFF2CFEE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6" fillId="0" borderId="2"/>
    <xf numFmtId="0" fontId="17" fillId="0" borderId="2">
      <alignment vertical="center"/>
    </xf>
    <xf numFmtId="0" fontId="15" fillId="0" borderId="2"/>
  </cellStyleXfs>
  <cellXfs count="6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4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176" fontId="4" fillId="0" borderId="2" xfId="0" applyNumberFormat="1" applyFont="1" applyBorder="1" applyAlignment="1">
      <alignment horizontal="center"/>
    </xf>
    <xf numFmtId="176" fontId="1" fillId="0" borderId="2" xfId="0" applyNumberFormat="1" applyFont="1" applyBorder="1" applyAlignment="1">
      <alignment horizontal="center"/>
    </xf>
    <xf numFmtId="4" fontId="5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6" borderId="1" xfId="0" applyFont="1" applyFill="1" applyBorder="1" applyAlignment="1">
      <alignment horizontal="center"/>
    </xf>
    <xf numFmtId="3" fontId="2" fillId="6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3" fontId="0" fillId="0" borderId="0" xfId="0" applyNumberFormat="1" applyAlignment="1">
      <alignment horizontal="right"/>
    </xf>
    <xf numFmtId="49" fontId="0" fillId="0" borderId="0" xfId="0" applyNumberFormat="1"/>
    <xf numFmtId="3" fontId="7" fillId="0" borderId="3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10" fillId="0" borderId="3" xfId="0" applyNumberFormat="1" applyFont="1" applyBorder="1" applyAlignment="1">
      <alignment horizontal="center"/>
    </xf>
    <xf numFmtId="49" fontId="7" fillId="0" borderId="3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77" fontId="10" fillId="7" borderId="3" xfId="0" applyNumberFormat="1" applyFont="1" applyFill="1" applyBorder="1" applyAlignment="1">
      <alignment horizontal="center"/>
    </xf>
    <xf numFmtId="177" fontId="5" fillId="7" borderId="3" xfId="0" applyNumberFormat="1" applyFont="1" applyFill="1" applyBorder="1" applyAlignment="1">
      <alignment horizontal="center"/>
    </xf>
    <xf numFmtId="49" fontId="5" fillId="7" borderId="3" xfId="0" applyNumberFormat="1" applyFont="1" applyFill="1" applyBorder="1" applyAlignment="1">
      <alignment horizontal="center"/>
    </xf>
    <xf numFmtId="177" fontId="10" fillId="8" borderId="3" xfId="0" applyNumberFormat="1" applyFont="1" applyFill="1" applyBorder="1" applyAlignment="1">
      <alignment horizontal="center"/>
    </xf>
    <xf numFmtId="177" fontId="5" fillId="8" borderId="3" xfId="0" applyNumberFormat="1" applyFont="1" applyFill="1" applyBorder="1" applyAlignment="1">
      <alignment horizontal="center"/>
    </xf>
    <xf numFmtId="49" fontId="5" fillId="8" borderId="3" xfId="0" applyNumberFormat="1" applyFont="1" applyFill="1" applyBorder="1" applyAlignment="1">
      <alignment horizontal="center"/>
    </xf>
    <xf numFmtId="3" fontId="4" fillId="7" borderId="3" xfId="0" applyNumberFormat="1" applyFont="1" applyFill="1" applyBorder="1" applyAlignment="1">
      <alignment horizontal="center"/>
    </xf>
    <xf numFmtId="3" fontId="4" fillId="8" borderId="3" xfId="0" applyNumberFormat="1" applyFont="1" applyFill="1" applyBorder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0" fillId="8" borderId="0" xfId="0" applyFill="1"/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4" fontId="11" fillId="0" borderId="2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center"/>
    </xf>
    <xf numFmtId="3" fontId="7" fillId="0" borderId="3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177" fontId="4" fillId="7" borderId="3" xfId="0" applyNumberFormat="1" applyFont="1" applyFill="1" applyBorder="1" applyAlignment="1">
      <alignment horizontal="center"/>
    </xf>
    <xf numFmtId="177" fontId="14" fillId="8" borderId="3" xfId="0" applyNumberFormat="1" applyFont="1" applyFill="1" applyBorder="1" applyAlignment="1">
      <alignment horizontal="center"/>
    </xf>
    <xf numFmtId="177" fontId="14" fillId="0" borderId="3" xfId="0" applyNumberFormat="1" applyFont="1" applyBorder="1" applyAlignment="1">
      <alignment horizontal="center"/>
    </xf>
    <xf numFmtId="3" fontId="18" fillId="7" borderId="3" xfId="0" applyNumberFormat="1" applyFont="1" applyFill="1" applyBorder="1" applyAlignment="1">
      <alignment horizontal="center"/>
    </xf>
    <xf numFmtId="3" fontId="18" fillId="8" borderId="3" xfId="0" applyNumberFormat="1" applyFont="1" applyFill="1" applyBorder="1" applyAlignment="1">
      <alignment horizontal="center"/>
    </xf>
    <xf numFmtId="3" fontId="18" fillId="0" borderId="3" xfId="0" applyNumberFormat="1" applyFont="1" applyBorder="1" applyAlignment="1">
      <alignment horizontal="center"/>
    </xf>
    <xf numFmtId="177" fontId="5" fillId="0" borderId="4" xfId="0" applyNumberFormat="1" applyFont="1" applyBorder="1" applyAlignment="1">
      <alignment horizontal="center"/>
    </xf>
    <xf numFmtId="178" fontId="5" fillId="0" borderId="4" xfId="0" applyNumberFormat="1" applyFont="1" applyBorder="1" applyAlignment="1">
      <alignment horizontal="center"/>
    </xf>
    <xf numFmtId="179" fontId="10" fillId="7" borderId="3" xfId="0" applyNumberFormat="1" applyFont="1" applyFill="1" applyBorder="1" applyAlignment="1">
      <alignment horizontal="center"/>
    </xf>
    <xf numFmtId="179" fontId="10" fillId="8" borderId="3" xfId="0" applyNumberFormat="1" applyFont="1" applyFill="1" applyBorder="1" applyAlignment="1">
      <alignment horizontal="center"/>
    </xf>
    <xf numFmtId="179" fontId="10" fillId="0" borderId="3" xfId="0" applyNumberFormat="1" applyFont="1" applyBorder="1" applyAlignment="1">
      <alignment horizontal="center"/>
    </xf>
    <xf numFmtId="179" fontId="5" fillId="7" borderId="3" xfId="0" applyNumberFormat="1" applyFont="1" applyFill="1" applyBorder="1" applyAlignment="1">
      <alignment horizontal="center"/>
    </xf>
    <xf numFmtId="179" fontId="5" fillId="8" borderId="3" xfId="0" applyNumberFormat="1" applyFont="1" applyFill="1" applyBorder="1" applyAlignment="1">
      <alignment horizontal="center"/>
    </xf>
    <xf numFmtId="179" fontId="5" fillId="0" borderId="3" xfId="0" applyNumberFormat="1" applyFont="1" applyBorder="1" applyAlignment="1">
      <alignment horizontal="center"/>
    </xf>
  </cellXfs>
  <cellStyles count="4">
    <cellStyle name="一般" xfId="0" builtinId="0"/>
    <cellStyle name="一般 2" xfId="2" xr:uid="{A98A81D7-AF2E-4BC5-B912-AD8E45565B90}"/>
    <cellStyle name="一般 3" xfId="3" xr:uid="{D4531F0E-8C92-4D76-BAE9-A03ADA87F921}"/>
    <cellStyle name="一般 4" xfId="1" xr:uid="{84A9757B-EA39-45D8-BED7-161D26AF681F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FV檢討!$A$1:$A$420</c:f>
              <c:strCache>
                <c:ptCount val="211"/>
                <c:pt idx="0">
                  <c:v>編號</c:v>
                </c:pt>
                <c:pt idx="1">
                  <c:v>[-]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</c:strCache>
            </c:strRef>
          </c:xVal>
          <c:yVal>
            <c:numRef>
              <c:f>FV檢討!$X$1:$X$420</c:f>
              <c:numCache>
                <c:formatCode>General</c:formatCode>
                <c:ptCount val="420"/>
                <c:pt idx="2" formatCode="0.0_);[Red]\(0.0\)">
                  <c:v>2.295711447439162</c:v>
                </c:pt>
                <c:pt idx="3" formatCode="0.0_);[Red]\(0.0\)">
                  <c:v>2.0607217210977606</c:v>
                </c:pt>
                <c:pt idx="4" formatCode="0.0_);[Red]\(0.0\)">
                  <c:v>1.8929174280779999</c:v>
                </c:pt>
                <c:pt idx="5" formatCode="0.0_);[Red]\(0.0\)">
                  <c:v>1.0365684360930043</c:v>
                </c:pt>
                <c:pt idx="6" formatCode="0.0_);[Red]\(0.0\)">
                  <c:v>0.57696541251268818</c:v>
                </c:pt>
                <c:pt idx="7" formatCode="0.0_);[Red]\(0.0\)">
                  <c:v>0.57696541251268818</c:v>
                </c:pt>
                <c:pt idx="8" formatCode="0.0_);[Red]\(0.0\)">
                  <c:v>0.57696541251268818</c:v>
                </c:pt>
                <c:pt idx="9" formatCode="0.0_);[Red]\(0.0\)">
                  <c:v>0.57696541251268818</c:v>
                </c:pt>
                <c:pt idx="10" formatCode="0.0_);[Red]\(0.0\)">
                  <c:v>0.57696541251268818</c:v>
                </c:pt>
                <c:pt idx="11" formatCode="0.0_);[Red]\(0.0\)">
                  <c:v>0.57696541251268818</c:v>
                </c:pt>
                <c:pt idx="12" formatCode="0.0_);[Red]\(0.0\)">
                  <c:v>0.57696541251268818</c:v>
                </c:pt>
                <c:pt idx="13" formatCode="0.0_);[Red]\(0.0\)">
                  <c:v>0.57696541251268818</c:v>
                </c:pt>
                <c:pt idx="14" formatCode="0.0_);[Red]\(0.0\)">
                  <c:v>0.57696541251268818</c:v>
                </c:pt>
                <c:pt idx="15" formatCode="0.0_);[Red]\(0.0\)">
                  <c:v>0.57696541251268818</c:v>
                </c:pt>
                <c:pt idx="16" formatCode="0.0_);[Red]\(0.0\)">
                  <c:v>0.57696541251268818</c:v>
                </c:pt>
                <c:pt idx="17" formatCode="0.0_);[Red]\(0.0\)">
                  <c:v>0.57696541251268818</c:v>
                </c:pt>
                <c:pt idx="18" formatCode="0.0_);[Red]\(0.0\)">
                  <c:v>0.5767557115943196</c:v>
                </c:pt>
                <c:pt idx="19" formatCode="0.0_);[Red]\(0.0\)">
                  <c:v>0.57472191376498682</c:v>
                </c:pt>
                <c:pt idx="20" formatCode="0.0_);[Red]\(0.0\)">
                  <c:v>0.5740965512499917</c:v>
                </c:pt>
                <c:pt idx="21" formatCode="0.0_);[Red]\(0.0\)">
                  <c:v>0.56699442353090457</c:v>
                </c:pt>
                <c:pt idx="22" formatCode="0.0_);[Red]\(0.0\)">
                  <c:v>0.55554762996878571</c:v>
                </c:pt>
                <c:pt idx="23" formatCode="0.0_);[Red]\(0.0\)">
                  <c:v>0.54000523974114212</c:v>
                </c:pt>
                <c:pt idx="24" formatCode="0.0_);[Red]\(0.0\)">
                  <c:v>0.52134162823015984</c:v>
                </c:pt>
                <c:pt idx="25" formatCode="0.0_);[Red]\(0.0\)">
                  <c:v>0.49794996574411171</c:v>
                </c:pt>
                <c:pt idx="26" formatCode="0.0_);[Red]\(0.0\)">
                  <c:v>0.47118467383509582</c:v>
                </c:pt>
                <c:pt idx="27" formatCode="0.0_);[Red]\(0.0\)">
                  <c:v>0.44232179942469929</c:v>
                </c:pt>
                <c:pt idx="28" formatCode="0.0_);[Red]\(0.0\)">
                  <c:v>0.41476592627194958</c:v>
                </c:pt>
                <c:pt idx="29" formatCode="0.0_);[Red]\(0.0\)">
                  <c:v>0.41204427791740161</c:v>
                </c:pt>
                <c:pt idx="30" formatCode="0.0_);[Red]\(0.0\)">
                  <c:v>0.37592601303139606</c:v>
                </c:pt>
                <c:pt idx="31" formatCode="0.0_);[Red]\(0.0\)">
                  <c:v>0.33947169843175956</c:v>
                </c:pt>
                <c:pt idx="32" formatCode="0.0_);[Red]\(0.0\)">
                  <c:v>0.3022096835792718</c:v>
                </c:pt>
                <c:pt idx="33" formatCode="0.0_);[Red]\(0.0\)">
                  <c:v>0.26603921984419077</c:v>
                </c:pt>
                <c:pt idx="34" formatCode="0.0_);[Red]\(0.0\)">
                  <c:v>0.22229289101890751</c:v>
                </c:pt>
                <c:pt idx="35" formatCode="0.0_);[Red]\(0.0\)">
                  <c:v>0.18148361481540592</c:v>
                </c:pt>
                <c:pt idx="36" formatCode="0.0_);[Red]\(0.0\)">
                  <c:v>0.13977530248325964</c:v>
                </c:pt>
                <c:pt idx="37" formatCode="0.0_);[Red]\(0.0\)">
                  <c:v>0.10319867852058007</c:v>
                </c:pt>
                <c:pt idx="38" formatCode="0.0_);[Red]\(0.0\)">
                  <c:v>5.7667022278387124E-2</c:v>
                </c:pt>
                <c:pt idx="39" formatCode="0.0_);[Red]\(0.0\)">
                  <c:v>1.6817479265888662E-2</c:v>
                </c:pt>
                <c:pt idx="40" formatCode="0.0_);[Red]\(0.0\)">
                  <c:v>-2.3457337535843222E-2</c:v>
                </c:pt>
                <c:pt idx="41" formatCode="0.0_);[Red]\(0.0\)">
                  <c:v>-5.7228760828296567E-2</c:v>
                </c:pt>
                <c:pt idx="42" formatCode="0.0_);[Red]\(0.0\)">
                  <c:v>-5.6549724766223768E-2</c:v>
                </c:pt>
                <c:pt idx="43" formatCode="0.0_);[Red]\(0.0\)">
                  <c:v>-0.10042132290916891</c:v>
                </c:pt>
                <c:pt idx="44" formatCode="0.0_);[Red]\(0.0\)">
                  <c:v>-0.13741125922024422</c:v>
                </c:pt>
                <c:pt idx="45" formatCode="0.0_);[Red]\(0.0\)">
                  <c:v>-0.17355436838324168</c:v>
                </c:pt>
                <c:pt idx="46" formatCode="0.0_);[Red]\(0.0\)">
                  <c:v>0</c:v>
                </c:pt>
                <c:pt idx="47" formatCode="0.0_);[Red]\(0.0\)">
                  <c:v>0</c:v>
                </c:pt>
                <c:pt idx="48" formatCode="0.0_);[Red]\(0.0\)">
                  <c:v>0</c:v>
                </c:pt>
                <c:pt idx="49" formatCode="0.0_);[Red]\(0.0\)">
                  <c:v>0</c:v>
                </c:pt>
                <c:pt idx="50" formatCode="0.0_);[Red]\(0.0\)">
                  <c:v>0</c:v>
                </c:pt>
                <c:pt idx="51" formatCode="0.0_);[Red]\(0.0\)">
                  <c:v>0</c:v>
                </c:pt>
                <c:pt idx="52" formatCode="0.0_);[Red]\(0.0\)">
                  <c:v>0</c:v>
                </c:pt>
                <c:pt idx="53" formatCode="0.0_);[Red]\(0.0\)">
                  <c:v>0</c:v>
                </c:pt>
                <c:pt idx="54" formatCode="0.0_);[Red]\(0.0\)">
                  <c:v>0</c:v>
                </c:pt>
                <c:pt idx="55" formatCode="0.0_);[Red]\(0.0\)">
                  <c:v>0</c:v>
                </c:pt>
                <c:pt idx="56" formatCode="0.0_);[Red]\(0.0\)">
                  <c:v>0</c:v>
                </c:pt>
                <c:pt idx="57" formatCode="0.0_);[Red]\(0.0\)">
                  <c:v>0</c:v>
                </c:pt>
                <c:pt idx="58" formatCode="0.0_);[Red]\(0.0\)">
                  <c:v>0</c:v>
                </c:pt>
                <c:pt idx="59" formatCode="0.0_);[Red]\(0.0\)">
                  <c:v>0</c:v>
                </c:pt>
                <c:pt idx="60" formatCode="0.0_);[Red]\(0.0\)">
                  <c:v>0</c:v>
                </c:pt>
                <c:pt idx="61" formatCode="0.0_);[Red]\(0.0\)">
                  <c:v>0</c:v>
                </c:pt>
                <c:pt idx="62" formatCode="0.0_);[Red]\(0.0\)">
                  <c:v>0</c:v>
                </c:pt>
                <c:pt idx="63" formatCode="0.0_);[Red]\(0.0\)">
                  <c:v>0</c:v>
                </c:pt>
                <c:pt idx="64" formatCode="0.0_);[Red]\(0.0\)">
                  <c:v>0</c:v>
                </c:pt>
                <c:pt idx="65" formatCode="0.0_);[Red]\(0.0\)">
                  <c:v>0</c:v>
                </c:pt>
                <c:pt idx="66" formatCode="0.0_);[Red]\(0.0\)">
                  <c:v>0</c:v>
                </c:pt>
                <c:pt idx="67" formatCode="0.0_);[Red]\(0.0\)">
                  <c:v>0</c:v>
                </c:pt>
                <c:pt idx="68" formatCode="0.0_);[Red]\(0.0\)">
                  <c:v>0</c:v>
                </c:pt>
                <c:pt idx="69" formatCode="0.0_);[Red]\(0.0\)">
                  <c:v>0</c:v>
                </c:pt>
                <c:pt idx="70" formatCode="0.0_);[Red]\(0.0\)">
                  <c:v>-0.28408109403693171</c:v>
                </c:pt>
                <c:pt idx="71" formatCode="0.0_);[Red]\(0.0\)">
                  <c:v>-0.28841831136894652</c:v>
                </c:pt>
                <c:pt idx="72" formatCode="0.0_);[Red]\(0.0\)">
                  <c:v>-0.29283164196268224</c:v>
                </c:pt>
                <c:pt idx="73" formatCode="0.0_);[Red]\(0.0\)">
                  <c:v>-0.29724675536906714</c:v>
                </c:pt>
                <c:pt idx="74" formatCode="0.0_);[Red]\(0.0\)">
                  <c:v>-0.30169497309975246</c:v>
                </c:pt>
                <c:pt idx="75" formatCode="0.0_);[Red]\(0.0\)">
                  <c:v>-0.30615043660826224</c:v>
                </c:pt>
                <c:pt idx="76" formatCode="0.0_);[Red]\(0.0\)">
                  <c:v>-0.31057816784310954</c:v>
                </c:pt>
                <c:pt idx="77" formatCode="0.0_);[Red]\(0.0\)">
                  <c:v>-0.31490934655912783</c:v>
                </c:pt>
                <c:pt idx="78" formatCode="0.0_);[Red]\(0.0\)">
                  <c:v>-0.31924330750988528</c:v>
                </c:pt>
                <c:pt idx="79" formatCode="0.0_);[Red]\(0.0\)">
                  <c:v>-0.32347272828612694</c:v>
                </c:pt>
                <c:pt idx="80" formatCode="0.0_);[Red]\(0.0\)">
                  <c:v>-0.32756161156448099</c:v>
                </c:pt>
                <c:pt idx="81" formatCode="0.0_);[Red]\(0.0\)">
                  <c:v>-0.33155854534548534</c:v>
                </c:pt>
                <c:pt idx="82" formatCode="0.0_);[Red]\(0.0\)">
                  <c:v>-0.33540967440862701</c:v>
                </c:pt>
                <c:pt idx="83" formatCode="0.0_);[Red]\(0.0\)">
                  <c:v>-0.3390673904750322</c:v>
                </c:pt>
                <c:pt idx="84" formatCode="0.0_);[Red]\(0.0\)">
                  <c:v>-0.34250565157278301</c:v>
                </c:pt>
                <c:pt idx="85" formatCode="0.0_);[Red]\(0.0\)">
                  <c:v>-0.34569898912589103</c:v>
                </c:pt>
                <c:pt idx="86" formatCode="0.0_);[Red]\(0.0\)">
                  <c:v>-0.34862288506373179</c:v>
                </c:pt>
                <c:pt idx="87" formatCode="0.0_);[Red]\(0.0\)">
                  <c:v>-0.3513179154587604</c:v>
                </c:pt>
                <c:pt idx="88" formatCode="0.0_);[Red]\(0.0\)">
                  <c:v>-0.35366415505862164</c:v>
                </c:pt>
                <c:pt idx="89" formatCode="0.0_);[Red]\(0.0\)">
                  <c:v>0</c:v>
                </c:pt>
                <c:pt idx="90" formatCode="0.0_);[Red]\(0.0\)">
                  <c:v>0</c:v>
                </c:pt>
                <c:pt idx="91" formatCode="0.0_);[Red]\(0.0\)">
                  <c:v>0</c:v>
                </c:pt>
                <c:pt idx="92" formatCode="0.0_);[Red]\(0.0\)">
                  <c:v>0</c:v>
                </c:pt>
                <c:pt idx="93" formatCode="0.0_);[Red]\(0.0\)">
                  <c:v>0</c:v>
                </c:pt>
                <c:pt idx="94" formatCode="0.0_);[Red]\(0.0\)">
                  <c:v>0</c:v>
                </c:pt>
                <c:pt idx="95" formatCode="0.0_);[Red]\(0.0\)">
                  <c:v>0</c:v>
                </c:pt>
                <c:pt idx="96" formatCode="0.0_);[Red]\(0.0\)">
                  <c:v>0</c:v>
                </c:pt>
                <c:pt idx="97" formatCode="0.0_);[Red]\(0.0\)">
                  <c:v>0</c:v>
                </c:pt>
                <c:pt idx="98" formatCode="0.0_);[Red]\(0.0\)">
                  <c:v>0</c:v>
                </c:pt>
                <c:pt idx="99" formatCode="0.0_);[Red]\(0.0\)">
                  <c:v>0</c:v>
                </c:pt>
                <c:pt idx="100" formatCode="0.0_);[Red]\(0.0\)">
                  <c:v>0</c:v>
                </c:pt>
                <c:pt idx="101" formatCode="0.0_);[Red]\(0.0\)">
                  <c:v>0</c:v>
                </c:pt>
                <c:pt idx="102" formatCode="0.0_);[Red]\(0.0\)">
                  <c:v>0</c:v>
                </c:pt>
                <c:pt idx="103" formatCode="0.0_);[Red]\(0.0\)">
                  <c:v>0</c:v>
                </c:pt>
                <c:pt idx="104" formatCode="0.0_);[Red]\(0.0\)">
                  <c:v>0</c:v>
                </c:pt>
                <c:pt idx="105" formatCode="0.0_);[Red]\(0.0\)">
                  <c:v>0</c:v>
                </c:pt>
                <c:pt idx="106" formatCode="0.0_);[Red]\(0.0\)">
                  <c:v>1.4908778847832229</c:v>
                </c:pt>
                <c:pt idx="107" formatCode="0.0_);[Red]\(0.0\)">
                  <c:v>1.5175303132630531</c:v>
                </c:pt>
                <c:pt idx="108" formatCode="0.0_);[Red]\(0.0\)">
                  <c:v>1.5452009251429393</c:v>
                </c:pt>
                <c:pt idx="109" formatCode="0.0_);[Red]\(0.0\)">
                  <c:v>1.5738399971080137</c:v>
                </c:pt>
                <c:pt idx="110" formatCode="0.0_);[Red]\(0.0\)">
                  <c:v>1.6021877136298157</c:v>
                </c:pt>
                <c:pt idx="111" formatCode="0.0_);[Red]\(0.0\)">
                  <c:v>1.6305698856348856</c:v>
                </c:pt>
                <c:pt idx="112" formatCode="0.0_);[Red]\(0.0\)">
                  <c:v>1.6601188444724155</c:v>
                </c:pt>
                <c:pt idx="113" formatCode="0.0_);[Red]\(0.0\)">
                  <c:v>1.6878732688119027</c:v>
                </c:pt>
                <c:pt idx="114" formatCode="0.0_);[Red]\(0.0\)">
                  <c:v>1.7159087859299322</c:v>
                </c:pt>
                <c:pt idx="115" formatCode="0.0_);[Red]\(0.0\)">
                  <c:v>1.7433648541550286</c:v>
                </c:pt>
                <c:pt idx="116" formatCode="0.0_);[Red]\(0.0\)">
                  <c:v>1.7703017796353935</c:v>
                </c:pt>
                <c:pt idx="117" formatCode="0.0_);[Red]\(0.0\)">
                  <c:v>0</c:v>
                </c:pt>
                <c:pt idx="118" formatCode="0.0_);[Red]\(0.0\)">
                  <c:v>0</c:v>
                </c:pt>
                <c:pt idx="119" formatCode="0.0_);[Red]\(0.0\)">
                  <c:v>0</c:v>
                </c:pt>
                <c:pt idx="120" formatCode="0.0_);[Red]\(0.0\)">
                  <c:v>0</c:v>
                </c:pt>
                <c:pt idx="121" formatCode="0.0_);[Red]\(0.0\)">
                  <c:v>0</c:v>
                </c:pt>
                <c:pt idx="122" formatCode="0.0_);[Red]\(0.0\)">
                  <c:v>0</c:v>
                </c:pt>
                <c:pt idx="123" formatCode="0.0_);[Red]\(0.0\)">
                  <c:v>0</c:v>
                </c:pt>
                <c:pt idx="124" formatCode="0.0_);[Red]\(0.0\)">
                  <c:v>0</c:v>
                </c:pt>
                <c:pt idx="125" formatCode="0.0_);[Red]\(0.0\)">
                  <c:v>0</c:v>
                </c:pt>
                <c:pt idx="126" formatCode="0.0_);[Red]\(0.0\)">
                  <c:v>0</c:v>
                </c:pt>
                <c:pt idx="127" formatCode="0.0_);[Red]\(0.0\)">
                  <c:v>0</c:v>
                </c:pt>
                <c:pt idx="128" formatCode="0.0_);[Red]\(0.0\)">
                  <c:v>0</c:v>
                </c:pt>
                <c:pt idx="129" formatCode="0.0_);[Red]\(0.0\)">
                  <c:v>0</c:v>
                </c:pt>
                <c:pt idx="130" formatCode="0.0_);[Red]\(0.0\)">
                  <c:v>0</c:v>
                </c:pt>
                <c:pt idx="131" formatCode="0.0_);[Red]\(0.0\)">
                  <c:v>0</c:v>
                </c:pt>
                <c:pt idx="132" formatCode="0.0_);[Red]\(0.0\)">
                  <c:v>0</c:v>
                </c:pt>
                <c:pt idx="133" formatCode="0.0_);[Red]\(0.0\)">
                  <c:v>0</c:v>
                </c:pt>
                <c:pt idx="134" formatCode="0.0_);[Red]\(0.0\)">
                  <c:v>0</c:v>
                </c:pt>
                <c:pt idx="135" formatCode="0.0_);[Red]\(0.0\)">
                  <c:v>0</c:v>
                </c:pt>
                <c:pt idx="136" formatCode="0.0_);[Red]\(0.0\)">
                  <c:v>0</c:v>
                </c:pt>
                <c:pt idx="137" formatCode="0.0_);[Red]\(0.0\)">
                  <c:v>0</c:v>
                </c:pt>
                <c:pt idx="138" formatCode="0.0_);[Red]\(0.0\)">
                  <c:v>0</c:v>
                </c:pt>
                <c:pt idx="139" formatCode="0.0_);[Red]\(0.0\)">
                  <c:v>0</c:v>
                </c:pt>
                <c:pt idx="140" formatCode="0.0_);[Red]\(0.0\)">
                  <c:v>-0.33355816333021204</c:v>
                </c:pt>
                <c:pt idx="141" formatCode="0.0_);[Red]\(0.0\)">
                  <c:v>-0.30329562251862086</c:v>
                </c:pt>
                <c:pt idx="142" formatCode="0.0_);[Red]\(0.0\)">
                  <c:v>-0.27196776246050541</c:v>
                </c:pt>
                <c:pt idx="143" formatCode="0.0_);[Red]\(0.0\)">
                  <c:v>-0.23957548095383174</c:v>
                </c:pt>
                <c:pt idx="144" formatCode="0.0_);[Red]\(0.0\)">
                  <c:v>-0.20543428338275646</c:v>
                </c:pt>
                <c:pt idx="145" formatCode="0.0_);[Red]\(0.0\)">
                  <c:v>-0.16994239638280345</c:v>
                </c:pt>
                <c:pt idx="146" formatCode="0.0_);[Red]\(0.0\)">
                  <c:v>-0.13320147955658579</c:v>
                </c:pt>
                <c:pt idx="147" formatCode="0.0_);[Red]\(0.0\)">
                  <c:v>-9.4814389333139709E-2</c:v>
                </c:pt>
                <c:pt idx="148" formatCode="0.0_);[Red]\(0.0\)">
                  <c:v>-0.23311860833670253</c:v>
                </c:pt>
                <c:pt idx="149" formatCode="0.0_);[Red]\(0.0\)">
                  <c:v>-0.23668705776624144</c:v>
                </c:pt>
                <c:pt idx="150" formatCode="0.0_);[Red]\(0.0\)">
                  <c:v>-0.24023705579495039</c:v>
                </c:pt>
                <c:pt idx="151" formatCode="0.0_);[Red]\(0.0\)">
                  <c:v>-0.24371327351812355</c:v>
                </c:pt>
                <c:pt idx="152" formatCode="0.0_);[Red]\(0.0\)">
                  <c:v>-0.24719532540348646</c:v>
                </c:pt>
                <c:pt idx="153" formatCode="0.0_);[Red]\(0.0\)">
                  <c:v>-0.25059686450295082</c:v>
                </c:pt>
                <c:pt idx="154" formatCode="0.0_);[Red]\(0.0\)">
                  <c:v>-0.25388864688213147</c:v>
                </c:pt>
                <c:pt idx="155" formatCode="0.0_);[Red]\(0.0\)">
                  <c:v>-0.25710951782264851</c:v>
                </c:pt>
                <c:pt idx="156" formatCode="0.0_);[Red]\(0.0\)">
                  <c:v>-0.26021580965974511</c:v>
                </c:pt>
                <c:pt idx="157" formatCode="0.0_);[Red]\(0.0\)">
                  <c:v>-0.26316874906912341</c:v>
                </c:pt>
                <c:pt idx="158" formatCode="0.0_);[Red]\(0.0\)">
                  <c:v>-0.26594687840514991</c:v>
                </c:pt>
                <c:pt idx="159" formatCode="0.0_);[Red]\(0.0\)">
                  <c:v>-0.26852915932110194</c:v>
                </c:pt>
                <c:pt idx="160" formatCode="0.0_);[Red]\(0.0\)">
                  <c:v>-0.27089529136954094</c:v>
                </c:pt>
                <c:pt idx="161" formatCode="0.0_);[Red]\(0.0\)">
                  <c:v>-0.2730776861188029</c:v>
                </c:pt>
                <c:pt idx="162" formatCode="0.0_);[Red]\(0.0\)">
                  <c:v>-0.27497878444814217</c:v>
                </c:pt>
                <c:pt idx="163" formatCode="0.0_);[Red]\(0.0\)">
                  <c:v>-0.27664148266969957</c:v>
                </c:pt>
                <c:pt idx="164" formatCode="0.0_);[Red]\(0.0\)">
                  <c:v>-0.27804529361213409</c:v>
                </c:pt>
                <c:pt idx="165" formatCode="0.0_);[Red]\(0.0\)">
                  <c:v>-0.27915495427178177</c:v>
                </c:pt>
                <c:pt idx="166" formatCode="0.0_);[Red]\(0.0\)">
                  <c:v>-0.27996034672312725</c:v>
                </c:pt>
                <c:pt idx="167" formatCode="0.0_);[Red]\(0.0\)">
                  <c:v>-0.28045400238182638</c:v>
                </c:pt>
                <c:pt idx="168" formatCode="0.0_);[Red]\(0.0\)">
                  <c:v>-0.28068645367909167</c:v>
                </c:pt>
                <c:pt idx="169" formatCode="0.0_);[Red]\(0.0\)">
                  <c:v>-0.28073542712674981</c:v>
                </c:pt>
                <c:pt idx="170" formatCode="0.0_);[Red]\(0.0\)">
                  <c:v>-0.28073542712674981</c:v>
                </c:pt>
                <c:pt idx="171" formatCode="0.0_);[Red]\(0.0\)">
                  <c:v>-0.28073542712674981</c:v>
                </c:pt>
                <c:pt idx="172" formatCode="0.0_);[Red]\(0.0\)">
                  <c:v>-0.28073542712674981</c:v>
                </c:pt>
                <c:pt idx="173" formatCode="0.0_);[Red]\(0.0\)">
                  <c:v>-0.28073542712674981</c:v>
                </c:pt>
                <c:pt idx="174" formatCode="0.0_);[Red]\(0.0\)">
                  <c:v>-0.28073542712674981</c:v>
                </c:pt>
                <c:pt idx="175" formatCode="0.0_);[Red]\(0.0\)">
                  <c:v>-0.28073542712674981</c:v>
                </c:pt>
                <c:pt idx="176" formatCode="0.0_);[Red]\(0.0\)">
                  <c:v>-0.28073542712674981</c:v>
                </c:pt>
                <c:pt idx="177" formatCode="0.0_);[Red]\(0.0\)">
                  <c:v>-0.28073542712674981</c:v>
                </c:pt>
                <c:pt idx="178" formatCode="0.0_);[Red]\(0.0\)">
                  <c:v>-0.28073542712674981</c:v>
                </c:pt>
                <c:pt idx="179" formatCode="0.0_);[Red]\(0.0\)">
                  <c:v>-0.28073542712674981</c:v>
                </c:pt>
                <c:pt idx="180" formatCode="0.0_);[Red]\(0.0\)">
                  <c:v>-0.28073542712674981</c:v>
                </c:pt>
                <c:pt idx="181" formatCode="0.0_);[Red]\(0.0\)">
                  <c:v>-0.28073542712674981</c:v>
                </c:pt>
                <c:pt idx="182" formatCode="0.0_);[Red]\(0.0\)">
                  <c:v>-0.28073542712674981</c:v>
                </c:pt>
                <c:pt idx="183" formatCode="0.0_);[Red]\(0.0\)">
                  <c:v>-0.28073542712674981</c:v>
                </c:pt>
                <c:pt idx="184" formatCode="0.0_);[Red]\(0.0\)">
                  <c:v>-0.28073542712674981</c:v>
                </c:pt>
                <c:pt idx="185" formatCode="0.0_);[Red]\(0.0\)">
                  <c:v>-0.28073542712674981</c:v>
                </c:pt>
                <c:pt idx="186" formatCode="0.0_);[Red]\(0.0\)">
                  <c:v>-0.28073542712674981</c:v>
                </c:pt>
                <c:pt idx="187" formatCode="0.0_);[Red]\(0.0\)">
                  <c:v>-0.28073542712674981</c:v>
                </c:pt>
                <c:pt idx="188" formatCode="0.0_);[Red]\(0.0\)">
                  <c:v>-0.28073542712674981</c:v>
                </c:pt>
                <c:pt idx="189" formatCode="0.0_);[Red]\(0.0\)">
                  <c:v>-0.28073542712674981</c:v>
                </c:pt>
                <c:pt idx="190" formatCode="0.0_);[Red]\(0.0\)">
                  <c:v>-0.28073542712674981</c:v>
                </c:pt>
                <c:pt idx="191" formatCode="0.0_);[Red]\(0.0\)">
                  <c:v>-0.28073542712674981</c:v>
                </c:pt>
                <c:pt idx="192" formatCode="0.0_);[Red]\(0.0\)">
                  <c:v>-0.28073542712674981</c:v>
                </c:pt>
                <c:pt idx="193" formatCode="0.0_);[Red]\(0.0\)">
                  <c:v>-0.28073542712674981</c:v>
                </c:pt>
                <c:pt idx="194" formatCode="0.0_);[Red]\(0.0\)">
                  <c:v>-0.28073542712674981</c:v>
                </c:pt>
                <c:pt idx="195" formatCode="0.0_);[Red]\(0.0\)">
                  <c:v>-0.28073542712674981</c:v>
                </c:pt>
                <c:pt idx="196" formatCode="0.0_);[Red]\(0.0\)">
                  <c:v>-0.28073542712674981</c:v>
                </c:pt>
                <c:pt idx="197" formatCode="0.0_);[Red]\(0.0\)">
                  <c:v>-0.28073542712674981</c:v>
                </c:pt>
                <c:pt idx="198" formatCode="0.0_);[Red]\(0.0\)">
                  <c:v>-0.28073542712674981</c:v>
                </c:pt>
                <c:pt idx="199" formatCode="0.0_);[Red]\(0.0\)">
                  <c:v>-0.28073542712674981</c:v>
                </c:pt>
                <c:pt idx="200" formatCode="0.0_);[Red]\(0.0\)">
                  <c:v>-0.28073542712674981</c:v>
                </c:pt>
                <c:pt idx="201" formatCode="0.0_);[Red]\(0.0\)">
                  <c:v>-0.28073542712674981</c:v>
                </c:pt>
                <c:pt idx="202" formatCode="0.0_);[Red]\(0.0\)">
                  <c:v>-0.28073542712674981</c:v>
                </c:pt>
                <c:pt idx="203" formatCode="0.0_);[Red]\(0.0\)">
                  <c:v>-0.28073542712674981</c:v>
                </c:pt>
                <c:pt idx="204" formatCode="0.0_);[Red]\(0.0\)">
                  <c:v>-0.28073542712674981</c:v>
                </c:pt>
                <c:pt idx="205" formatCode="0.0_);[Red]\(0.0\)">
                  <c:v>-0.29850593264939801</c:v>
                </c:pt>
                <c:pt idx="206" formatCode="0.0_);[Red]\(0.0\)">
                  <c:v>-0.33044484000509106</c:v>
                </c:pt>
                <c:pt idx="207" formatCode="0.0_);[Red]\(0.0\)">
                  <c:v>-0.37254992064039166</c:v>
                </c:pt>
                <c:pt idx="208" formatCode="0.0_);[Red]\(0.0\)">
                  <c:v>-0.42616618590378175</c:v>
                </c:pt>
                <c:pt idx="209" formatCode="0.0_);[Red]\(0.0\)">
                  <c:v>-0.44815388035319104</c:v>
                </c:pt>
                <c:pt idx="210" formatCode="0.0_);[Red]\(0.0\)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8-4D6A-ACF9-6188B7072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707344"/>
        <c:axId val="200770398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FV檢討!$A:$A</c:f>
              <c:strCache>
                <c:ptCount val="211"/>
                <c:pt idx="0">
                  <c:v>編號</c:v>
                </c:pt>
                <c:pt idx="1">
                  <c:v>[-]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</c:strCache>
            </c:strRef>
          </c:xVal>
          <c:yVal>
            <c:numRef>
              <c:f>FV檢討!$Q:$Q</c:f>
              <c:numCache>
                <c:formatCode>General</c:formatCode>
                <c:ptCount val="1048576"/>
                <c:pt idx="0">
                  <c:v>0</c:v>
                </c:pt>
                <c:pt idx="2" formatCode="0.0_);[Red]\(0.0\)">
                  <c:v>112</c:v>
                </c:pt>
                <c:pt idx="3" formatCode="0.0_);[Red]\(0.0\)">
                  <c:v>112</c:v>
                </c:pt>
                <c:pt idx="4" formatCode="0.0_);[Red]\(0.0\)">
                  <c:v>127.68</c:v>
                </c:pt>
                <c:pt idx="5" formatCode="0.0_);[Red]\(0.0\)">
                  <c:v>144.6</c:v>
                </c:pt>
                <c:pt idx="6" formatCode="0.0_);[Red]\(0.0\)">
                  <c:v>160</c:v>
                </c:pt>
                <c:pt idx="7" formatCode="0.0_);[Red]\(0.0\)">
                  <c:v>160</c:v>
                </c:pt>
                <c:pt idx="8" formatCode="0.0_);[Red]\(0.0\)">
                  <c:v>160</c:v>
                </c:pt>
                <c:pt idx="9" formatCode="0.0_);[Red]\(0.0\)">
                  <c:v>160</c:v>
                </c:pt>
                <c:pt idx="10" formatCode="0.0_);[Red]\(0.0\)">
                  <c:v>160</c:v>
                </c:pt>
                <c:pt idx="11" formatCode="0.0_);[Red]\(0.0\)">
                  <c:v>160</c:v>
                </c:pt>
                <c:pt idx="12" formatCode="0.0_);[Red]\(0.0\)">
                  <c:v>160</c:v>
                </c:pt>
                <c:pt idx="13" formatCode="0.0_);[Red]\(0.0\)">
                  <c:v>160</c:v>
                </c:pt>
                <c:pt idx="14" formatCode="0.0_);[Red]\(0.0\)">
                  <c:v>160</c:v>
                </c:pt>
                <c:pt idx="15" formatCode="0.0_);[Red]\(0.0\)">
                  <c:v>160</c:v>
                </c:pt>
                <c:pt idx="16" formatCode="0.0_);[Red]\(0.0\)">
                  <c:v>160</c:v>
                </c:pt>
                <c:pt idx="17" formatCode="0.0_);[Red]\(0.0\)">
                  <c:v>160</c:v>
                </c:pt>
                <c:pt idx="18" formatCode="0.0_);[Red]\(0.0\)">
                  <c:v>160</c:v>
                </c:pt>
                <c:pt idx="19" formatCode="0.0_);[Red]\(0.0\)">
                  <c:v>160.08000000000001</c:v>
                </c:pt>
                <c:pt idx="20" formatCode="0.0_);[Red]\(0.0\)">
                  <c:v>160.08000000000001</c:v>
                </c:pt>
                <c:pt idx="21" formatCode="0.0_);[Red]\(0.0\)">
                  <c:v>160.32</c:v>
                </c:pt>
                <c:pt idx="22" formatCode="0.0_);[Red]\(0.0\)">
                  <c:v>160.72</c:v>
                </c:pt>
                <c:pt idx="23" formatCode="0.0_);[Red]\(0.0\)">
                  <c:v>161.28</c:v>
                </c:pt>
                <c:pt idx="24" formatCode="0.0_);[Red]\(0.0\)">
                  <c:v>161.96</c:v>
                </c:pt>
                <c:pt idx="25" formatCode="0.0_);[Red]\(0.0\)">
                  <c:v>162.84</c:v>
                </c:pt>
                <c:pt idx="26" formatCode="0.0_);[Red]\(0.0\)">
                  <c:v>163.88</c:v>
                </c:pt>
                <c:pt idx="27" formatCode="0.0_);[Red]\(0.0\)">
                  <c:v>165.04</c:v>
                </c:pt>
                <c:pt idx="28" formatCode="0.0_);[Red]\(0.0\)">
                  <c:v>166.28</c:v>
                </c:pt>
                <c:pt idx="29" formatCode="0.0_);[Red]\(0.0\)">
                  <c:v>166.28</c:v>
                </c:pt>
                <c:pt idx="30" formatCode="0.0_);[Red]\(0.0\)">
                  <c:v>167.84</c:v>
                </c:pt>
                <c:pt idx="31" formatCode="0.0_);[Red]\(0.0\)">
                  <c:v>169.48</c:v>
                </c:pt>
                <c:pt idx="32" formatCode="0.0_);[Red]\(0.0\)">
                  <c:v>171.24</c:v>
                </c:pt>
                <c:pt idx="33" formatCode="0.0_);[Red]\(0.0\)">
                  <c:v>173</c:v>
                </c:pt>
                <c:pt idx="34" formatCode="0.0_);[Red]\(0.0\)">
                  <c:v>175.28</c:v>
                </c:pt>
                <c:pt idx="35" formatCode="0.0_);[Red]\(0.0\)">
                  <c:v>177.52</c:v>
                </c:pt>
                <c:pt idx="36" formatCode="0.0_);[Red]\(0.0\)">
                  <c:v>179.96</c:v>
                </c:pt>
                <c:pt idx="37" formatCode="0.0_);[Red]\(0.0\)">
                  <c:v>182.2</c:v>
                </c:pt>
                <c:pt idx="38" formatCode="0.0_);[Red]\(0.0\)">
                  <c:v>185.2</c:v>
                </c:pt>
                <c:pt idx="39" formatCode="0.0_);[Red]\(0.0\)">
                  <c:v>188.08</c:v>
                </c:pt>
                <c:pt idx="40" formatCode="0.0_);[Red]\(0.0\)">
                  <c:v>191.12</c:v>
                </c:pt>
                <c:pt idx="41" formatCode="0.0_);[Red]\(0.0\)">
                  <c:v>193.8</c:v>
                </c:pt>
                <c:pt idx="42" formatCode="0.0_);[Red]\(0.0\)">
                  <c:v>193.8</c:v>
                </c:pt>
                <c:pt idx="43" formatCode="0.0_);[Red]\(0.0\)">
                  <c:v>197.6</c:v>
                </c:pt>
                <c:pt idx="44" formatCode="0.0_);[Red]\(0.0\)">
                  <c:v>201.08</c:v>
                </c:pt>
                <c:pt idx="45" formatCode="0.0_);[Red]\(0.0\)">
                  <c:v>204.72</c:v>
                </c:pt>
                <c:pt idx="46" formatCode="0.0_);[Red]\(0.0\)">
                  <c:v>162.375</c:v>
                </c:pt>
                <c:pt idx="47" formatCode="0.0_);[Red]\(0.0\)">
                  <c:v>166</c:v>
                </c:pt>
                <c:pt idx="48" formatCode="0.0_);[Red]\(0.0\)">
                  <c:v>169.1875</c:v>
                </c:pt>
                <c:pt idx="49" formatCode="0.0_);[Red]\(0.0\)">
                  <c:v>172.5</c:v>
                </c:pt>
                <c:pt idx="50" formatCode="0.0_);[Red]\(0.0\)">
                  <c:v>175.25</c:v>
                </c:pt>
                <c:pt idx="51" formatCode="0.0_);[Red]\(0.0\)">
                  <c:v>179.53125</c:v>
                </c:pt>
                <c:pt idx="52" formatCode="0.0_);[Red]\(0.0\)">
                  <c:v>183.21875</c:v>
                </c:pt>
                <c:pt idx="53" formatCode="0.0_);[Red]\(0.0\)">
                  <c:v>187.03125</c:v>
                </c:pt>
                <c:pt idx="54" formatCode="0.0_);[Red]\(0.0\)">
                  <c:v>160.02631578947367</c:v>
                </c:pt>
                <c:pt idx="55" formatCode="0.0_);[Red]\(0.0\)">
                  <c:v>164.21052631578948</c:v>
                </c:pt>
                <c:pt idx="56" formatCode="0.0_);[Red]\(0.0\)">
                  <c:v>167.71052631578948</c:v>
                </c:pt>
                <c:pt idx="57" formatCode="0.0_);[Red]\(0.0\)">
                  <c:v>171.05263157894737</c:v>
                </c:pt>
                <c:pt idx="58" formatCode="0.0_);[Red]\(0.0\)">
                  <c:v>171.05263157894737</c:v>
                </c:pt>
                <c:pt idx="59" formatCode="0.0_);[Red]\(0.0\)">
                  <c:v>171.05263157894737</c:v>
                </c:pt>
                <c:pt idx="60" formatCode="0.0_);[Red]\(0.0\)">
                  <c:v>167.31578947368422</c:v>
                </c:pt>
                <c:pt idx="61" formatCode="0.0_);[Red]\(0.0\)">
                  <c:v>163.52631578947367</c:v>
                </c:pt>
                <c:pt idx="62" formatCode="0.0_);[Red]\(0.0\)">
                  <c:v>173.85714285714286</c:v>
                </c:pt>
                <c:pt idx="63" formatCode="0.0_);[Red]\(0.0\)">
                  <c:v>170.28571428571428</c:v>
                </c:pt>
                <c:pt idx="64" formatCode="0.0_);[Red]\(0.0\)">
                  <c:v>166.82857142857142</c:v>
                </c:pt>
                <c:pt idx="65" formatCode="0.0_);[Red]\(0.0\)">
                  <c:v>163.48571428571429</c:v>
                </c:pt>
                <c:pt idx="66" formatCode="0.0_);[Red]\(0.0\)">
                  <c:v>160.22857142857143</c:v>
                </c:pt>
                <c:pt idx="67" formatCode="0.0_);[Red]\(0.0\)">
                  <c:v>157.11428571428573</c:v>
                </c:pt>
                <c:pt idx="68" formatCode="0.0_);[Red]\(0.0\)">
                  <c:v>154.08571428571429</c:v>
                </c:pt>
                <c:pt idx="69" formatCode="0.0_);[Red]\(0.0\)">
                  <c:v>151.19999999999999</c:v>
                </c:pt>
                <c:pt idx="70" formatCode="0.0_);[Red]\(0.0\)">
                  <c:v>236.09090909090909</c:v>
                </c:pt>
                <c:pt idx="71" formatCode="0.0_);[Red]\(0.0\)">
                  <c:v>231.81818181818181</c:v>
                </c:pt>
                <c:pt idx="72" formatCode="0.0_);[Red]\(0.0\)">
                  <c:v>227.72727272727272</c:v>
                </c:pt>
                <c:pt idx="73" formatCode="0.0_);[Red]\(0.0\)">
                  <c:v>223.77272727272728</c:v>
                </c:pt>
                <c:pt idx="74" formatCode="0.0_);[Red]\(0.0\)">
                  <c:v>220.04545454545453</c:v>
                </c:pt>
                <c:pt idx="75" formatCode="0.0_);[Red]\(0.0\)">
                  <c:v>216.45454545454547</c:v>
                </c:pt>
                <c:pt idx="76" formatCode="0.0_);[Red]\(0.0\)">
                  <c:v>213.04545454545453</c:v>
                </c:pt>
                <c:pt idx="77" formatCode="0.0_);[Red]\(0.0\)">
                  <c:v>209.81818181818181</c:v>
                </c:pt>
                <c:pt idx="78" formatCode="0.0_);[Red]\(0.0\)">
                  <c:v>206.81818181818181</c:v>
                </c:pt>
                <c:pt idx="79" formatCode="0.0_);[Red]\(0.0\)">
                  <c:v>203.90909090909091</c:v>
                </c:pt>
                <c:pt idx="80" formatCode="0.0_);[Red]\(0.0\)">
                  <c:v>201.22727272727272</c:v>
                </c:pt>
                <c:pt idx="81" formatCode="0.0_);[Red]\(0.0\)">
                  <c:v>198.72727272727272</c:v>
                </c:pt>
                <c:pt idx="82" formatCode="0.0_);[Red]\(0.0\)">
                  <c:v>196.36363636363637</c:v>
                </c:pt>
                <c:pt idx="83" formatCode="0.0_);[Red]\(0.0\)">
                  <c:v>194.18181818181819</c:v>
                </c:pt>
                <c:pt idx="84" formatCode="0.0_);[Red]\(0.0\)">
                  <c:v>192.18181818181819</c:v>
                </c:pt>
                <c:pt idx="85" formatCode="0.0_);[Red]\(0.0\)">
                  <c:v>190.36363636363637</c:v>
                </c:pt>
                <c:pt idx="86" formatCode="0.0_);[Red]\(0.0\)">
                  <c:v>188.72727272727272</c:v>
                </c:pt>
                <c:pt idx="87" formatCode="0.0_);[Red]\(0.0\)">
                  <c:v>187.27272727272728</c:v>
                </c:pt>
                <c:pt idx="88" formatCode="0.0_);[Red]\(0.0\)">
                  <c:v>185.95454545454547</c:v>
                </c:pt>
                <c:pt idx="89" formatCode="0.0_);[Red]\(0.0\)">
                  <c:v>116.2</c:v>
                </c:pt>
                <c:pt idx="90" formatCode="0.0_);[Red]\(0.0\)">
                  <c:v>115.6</c:v>
                </c:pt>
                <c:pt idx="91" formatCode="0.0_);[Red]\(0.0\)">
                  <c:v>115.11428571428571</c:v>
                </c:pt>
                <c:pt idx="92" formatCode="0.0_);[Red]\(0.0\)">
                  <c:v>114.74285714285715</c:v>
                </c:pt>
                <c:pt idx="93" formatCode="0.0_);[Red]\(0.0\)">
                  <c:v>105.44736842105263</c:v>
                </c:pt>
                <c:pt idx="94" formatCode="0.0_);[Red]\(0.0\)">
                  <c:v>105.31578947368421</c:v>
                </c:pt>
                <c:pt idx="95" formatCode="0.0_);[Red]\(0.0\)">
                  <c:v>105.26315789473684</c:v>
                </c:pt>
                <c:pt idx="96" formatCode="0.0_);[Red]\(0.0\)">
                  <c:v>105.31578947368421</c:v>
                </c:pt>
                <c:pt idx="97" formatCode="0.0_);[Red]\(0.0\)">
                  <c:v>105.44736842105263</c:v>
                </c:pt>
                <c:pt idx="98" formatCode="0.0_);[Red]\(0.0\)">
                  <c:v>105.68421052631579</c:v>
                </c:pt>
                <c:pt idx="99" formatCode="0.0_);[Red]\(0.0\)">
                  <c:v>106.02631578947368</c:v>
                </c:pt>
                <c:pt idx="100" formatCode="0.0_);[Red]\(0.0\)">
                  <c:v>106.47368421052632</c:v>
                </c:pt>
                <c:pt idx="101" formatCode="0.0_);[Red]\(0.0\)">
                  <c:v>107.02631578947368</c:v>
                </c:pt>
                <c:pt idx="102" formatCode="0.0_);[Red]\(0.0\)">
                  <c:v>116.88571428571429</c:v>
                </c:pt>
                <c:pt idx="103" formatCode="0.0_);[Red]\(0.0\)">
                  <c:v>117.71428571428571</c:v>
                </c:pt>
                <c:pt idx="104" formatCode="0.0_);[Red]\(0.0\)">
                  <c:v>118.62857142857143</c:v>
                </c:pt>
                <c:pt idx="105" formatCode="0.0_);[Red]\(0.0\)">
                  <c:v>119.65714285714286</c:v>
                </c:pt>
                <c:pt idx="106" formatCode="0.0_);[Red]\(0.0\)">
                  <c:v>151</c:v>
                </c:pt>
                <c:pt idx="107" formatCode="0.0_);[Red]\(0.0\)">
                  <c:v>152.57142857142858</c:v>
                </c:pt>
                <c:pt idx="108" formatCode="0.0_);[Red]\(0.0\)">
                  <c:v>154.28571428571428</c:v>
                </c:pt>
                <c:pt idx="109" formatCode="0.0_);[Red]\(0.0\)">
                  <c:v>156.14285714285714</c:v>
                </c:pt>
                <c:pt idx="110" formatCode="0.0_);[Red]\(0.0\)">
                  <c:v>158.10714285714286</c:v>
                </c:pt>
                <c:pt idx="111" formatCode="0.0_);[Red]\(0.0\)">
                  <c:v>160.21428571428572</c:v>
                </c:pt>
                <c:pt idx="112" formatCode="0.0_);[Red]\(0.0\)">
                  <c:v>162.5</c:v>
                </c:pt>
                <c:pt idx="113" formatCode="0.0_);[Red]\(0.0\)">
                  <c:v>164.85714285714286</c:v>
                </c:pt>
                <c:pt idx="114" formatCode="0.0_);[Red]\(0.0\)">
                  <c:v>167.39285714285714</c:v>
                </c:pt>
                <c:pt idx="115" formatCode="0.0_);[Red]\(0.0\)">
                  <c:v>170.07142857142858</c:v>
                </c:pt>
                <c:pt idx="116" formatCode="0.0_);[Red]\(0.0\)">
                  <c:v>172.89285714285714</c:v>
                </c:pt>
                <c:pt idx="117" formatCode="0.0_);[Red]\(0.0\)">
                  <c:v>140.65714285714284</c:v>
                </c:pt>
                <c:pt idx="118" formatCode="0.0_);[Red]\(0.0\)">
                  <c:v>143.14285714285714</c:v>
                </c:pt>
                <c:pt idx="119" formatCode="0.0_);[Red]\(0.0\)">
                  <c:v>145.71428571428572</c:v>
                </c:pt>
                <c:pt idx="120" formatCode="0.0_);[Red]\(0.0\)">
                  <c:v>148.4</c:v>
                </c:pt>
                <c:pt idx="121" formatCode="0.0_);[Red]\(0.0\)">
                  <c:v>151.19999999999999</c:v>
                </c:pt>
                <c:pt idx="122" formatCode="0.0_);[Red]\(0.0\)">
                  <c:v>154.08571428571429</c:v>
                </c:pt>
                <c:pt idx="123" formatCode="0.0_);[Red]\(0.0\)">
                  <c:v>157.11428571428573</c:v>
                </c:pt>
                <c:pt idx="124" formatCode="0.0_);[Red]\(0.0\)">
                  <c:v>160.22857142857143</c:v>
                </c:pt>
                <c:pt idx="125" formatCode="0.0_);[Red]\(0.0\)">
                  <c:v>163.48571428571429</c:v>
                </c:pt>
                <c:pt idx="126" formatCode="0.0_);[Red]\(0.0\)">
                  <c:v>166.82857142857142</c:v>
                </c:pt>
                <c:pt idx="127" formatCode="0.0_);[Red]\(0.0\)">
                  <c:v>170.28571428571428</c:v>
                </c:pt>
                <c:pt idx="128" formatCode="0.0_);[Red]\(0.0\)">
                  <c:v>173.85714285714286</c:v>
                </c:pt>
                <c:pt idx="129" formatCode="0.0_);[Red]\(0.0\)">
                  <c:v>163.52631578947367</c:v>
                </c:pt>
                <c:pt idx="130" formatCode="0.0_);[Red]\(0.0\)">
                  <c:v>167.31578947368422</c:v>
                </c:pt>
                <c:pt idx="131" formatCode="0.0_);[Red]\(0.0\)">
                  <c:v>171.05263157894737</c:v>
                </c:pt>
                <c:pt idx="132" formatCode="0.0_);[Red]\(0.0\)">
                  <c:v>171.05263157894737</c:v>
                </c:pt>
                <c:pt idx="133" formatCode="0.0_);[Red]\(0.0\)">
                  <c:v>171.05263157894737</c:v>
                </c:pt>
                <c:pt idx="134" formatCode="0.0_);[Red]\(0.0\)">
                  <c:v>167.31578947368422</c:v>
                </c:pt>
                <c:pt idx="135" formatCode="0.0_);[Red]\(0.0\)">
                  <c:v>163.52631578947367</c:v>
                </c:pt>
                <c:pt idx="136" formatCode="0.0_);[Red]\(0.0\)">
                  <c:v>173.85714285714286</c:v>
                </c:pt>
                <c:pt idx="137" formatCode="0.0_);[Red]\(0.0\)">
                  <c:v>170.28571428571428</c:v>
                </c:pt>
                <c:pt idx="138" formatCode="0.0_);[Red]\(0.0\)">
                  <c:v>166.82857142857142</c:v>
                </c:pt>
                <c:pt idx="139" formatCode="0.0_);[Red]\(0.0\)">
                  <c:v>163.48571428571429</c:v>
                </c:pt>
                <c:pt idx="140" formatCode="0.0_);[Red]\(0.0\)">
                  <c:v>224.32</c:v>
                </c:pt>
                <c:pt idx="141" formatCode="0.0_);[Red]\(0.0\)">
                  <c:v>219.96</c:v>
                </c:pt>
                <c:pt idx="142" formatCode="0.0_);[Red]\(0.0\)">
                  <c:v>215.72</c:v>
                </c:pt>
                <c:pt idx="143" formatCode="0.0_);[Red]\(0.0\)">
                  <c:v>211.68</c:v>
                </c:pt>
                <c:pt idx="144" formatCode="0.0_);[Red]\(0.0\)">
                  <c:v>207.76</c:v>
                </c:pt>
                <c:pt idx="145" formatCode="0.0_);[Red]\(0.0\)">
                  <c:v>204</c:v>
                </c:pt>
                <c:pt idx="146" formatCode="0.0_);[Red]\(0.0\)">
                  <c:v>200.4</c:v>
                </c:pt>
                <c:pt idx="147" formatCode="0.0_);[Red]\(0.0\)">
                  <c:v>196.92</c:v>
                </c:pt>
                <c:pt idx="148" formatCode="0.0_);[Red]\(0.0\)">
                  <c:v>254.78947368421052</c:v>
                </c:pt>
                <c:pt idx="149" formatCode="0.0_);[Red]\(0.0\)">
                  <c:v>250.63157894736841</c:v>
                </c:pt>
                <c:pt idx="150" formatCode="0.0_);[Red]\(0.0\)">
                  <c:v>246.68421052631578</c:v>
                </c:pt>
                <c:pt idx="151" formatCode="0.0_);[Red]\(0.0\)">
                  <c:v>242.94736842105263</c:v>
                </c:pt>
                <c:pt idx="152" formatCode="0.0_);[Red]\(0.0\)">
                  <c:v>239.47368421052633</c:v>
                </c:pt>
                <c:pt idx="153" formatCode="0.0_);[Red]\(0.0\)">
                  <c:v>236.10526315789474</c:v>
                </c:pt>
                <c:pt idx="154" formatCode="0.0_);[Red]\(0.0\)">
                  <c:v>233</c:v>
                </c:pt>
                <c:pt idx="155" formatCode="0.0_);[Red]\(0.0\)">
                  <c:v>230.10526315789474</c:v>
                </c:pt>
                <c:pt idx="156" formatCode="0.0_);[Red]\(0.0\)">
                  <c:v>227.36842105263159</c:v>
                </c:pt>
                <c:pt idx="157" formatCode="0.0_);[Red]\(0.0\)">
                  <c:v>224.84210526315789</c:v>
                </c:pt>
                <c:pt idx="158" formatCode="0.0_);[Red]\(0.0\)">
                  <c:v>222.52631578947367</c:v>
                </c:pt>
                <c:pt idx="159" formatCode="0.0_);[Red]\(0.0\)">
                  <c:v>220.42105263157896</c:v>
                </c:pt>
                <c:pt idx="160" formatCode="0.0_);[Red]\(0.0\)">
                  <c:v>218.52631578947367</c:v>
                </c:pt>
                <c:pt idx="161" formatCode="0.0_);[Red]\(0.0\)">
                  <c:v>216.84210526315789</c:v>
                </c:pt>
                <c:pt idx="162" formatCode="0.0_);[Red]\(0.0\)">
                  <c:v>215.31578947368422</c:v>
                </c:pt>
                <c:pt idx="163" formatCode="0.0_);[Red]\(0.0\)">
                  <c:v>214.05263157894737</c:v>
                </c:pt>
                <c:pt idx="164" formatCode="0.0_);[Red]\(0.0\)">
                  <c:v>212.94736842105263</c:v>
                </c:pt>
                <c:pt idx="165" formatCode="0.0_);[Red]\(0.0\)">
                  <c:v>212.05263157894737</c:v>
                </c:pt>
                <c:pt idx="166" formatCode="0.0_);[Red]\(0.0\)">
                  <c:v>211.36842105263159</c:v>
                </c:pt>
                <c:pt idx="167" formatCode="0.0_);[Red]\(0.0\)">
                  <c:v>210.89473684210526</c:v>
                </c:pt>
                <c:pt idx="168" formatCode="0.0_);[Red]\(0.0\)">
                  <c:v>210.63157894736841</c:v>
                </c:pt>
                <c:pt idx="169" formatCode="0.0_);[Red]\(0.0\)">
                  <c:v>210.52631578947367</c:v>
                </c:pt>
                <c:pt idx="170" formatCode="0.0_);[Red]\(0.0\)">
                  <c:v>210.52631578947367</c:v>
                </c:pt>
                <c:pt idx="171" formatCode="0.0_);[Red]\(0.0\)">
                  <c:v>210.52631578947367</c:v>
                </c:pt>
                <c:pt idx="172" formatCode="0.0_);[Red]\(0.0\)">
                  <c:v>210.52631578947367</c:v>
                </c:pt>
                <c:pt idx="173" formatCode="0.0_);[Red]\(0.0\)">
                  <c:v>210.52631578947367</c:v>
                </c:pt>
                <c:pt idx="174" formatCode="0.0_);[Red]\(0.0\)">
                  <c:v>210.52631578947367</c:v>
                </c:pt>
                <c:pt idx="175" formatCode="0.0_);[Red]\(0.0\)">
                  <c:v>210.52631578947367</c:v>
                </c:pt>
                <c:pt idx="176" formatCode="0.0_);[Red]\(0.0\)">
                  <c:v>210.52631578947367</c:v>
                </c:pt>
                <c:pt idx="177" formatCode="0.0_);[Red]\(0.0\)">
                  <c:v>210.52631578947367</c:v>
                </c:pt>
                <c:pt idx="178" formatCode="0.0_);[Red]\(0.0\)">
                  <c:v>210.52631578947367</c:v>
                </c:pt>
                <c:pt idx="179" formatCode="0.0_);[Red]\(0.0\)">
                  <c:v>210.52631578947367</c:v>
                </c:pt>
                <c:pt idx="180" formatCode="0.0_);[Red]\(0.0\)">
                  <c:v>210.52631578947367</c:v>
                </c:pt>
                <c:pt idx="181" formatCode="0.0_);[Red]\(0.0\)">
                  <c:v>210.52631578947367</c:v>
                </c:pt>
                <c:pt idx="182" formatCode="0.0_);[Red]\(0.0\)">
                  <c:v>210.52631578947367</c:v>
                </c:pt>
                <c:pt idx="183" formatCode="0.0_);[Red]\(0.0\)">
                  <c:v>210.52631578947367</c:v>
                </c:pt>
                <c:pt idx="184" formatCode="0.0_);[Red]\(0.0\)">
                  <c:v>210.52631578947367</c:v>
                </c:pt>
                <c:pt idx="185" formatCode="0.0_);[Red]\(0.0\)">
                  <c:v>210.52631578947367</c:v>
                </c:pt>
                <c:pt idx="186" formatCode="0.0_);[Red]\(0.0\)">
                  <c:v>210.52631578947367</c:v>
                </c:pt>
                <c:pt idx="187" formatCode="0.0_);[Red]\(0.0\)">
                  <c:v>210.52631578947367</c:v>
                </c:pt>
                <c:pt idx="188" formatCode="0.0_);[Red]\(0.0\)">
                  <c:v>210.52631578947367</c:v>
                </c:pt>
                <c:pt idx="189" formatCode="0.0_);[Red]\(0.0\)">
                  <c:v>210.52631578947367</c:v>
                </c:pt>
                <c:pt idx="190" formatCode="0.0_);[Red]\(0.0\)">
                  <c:v>210.52631578947367</c:v>
                </c:pt>
                <c:pt idx="191" formatCode="0.0_);[Red]\(0.0\)">
                  <c:v>210.52631578947367</c:v>
                </c:pt>
                <c:pt idx="192" formatCode="0.0_);[Red]\(0.0\)">
                  <c:v>210.52631578947367</c:v>
                </c:pt>
                <c:pt idx="193" formatCode="0.0_);[Red]\(0.0\)">
                  <c:v>210.52631578947367</c:v>
                </c:pt>
                <c:pt idx="194" formatCode="0.0_);[Red]\(0.0\)">
                  <c:v>210.52631578947367</c:v>
                </c:pt>
                <c:pt idx="195" formatCode="0.0_);[Red]\(0.0\)">
                  <c:v>210.52631578947367</c:v>
                </c:pt>
                <c:pt idx="196" formatCode="0.0_);[Red]\(0.0\)">
                  <c:v>210.52631578947367</c:v>
                </c:pt>
                <c:pt idx="197" formatCode="0.0_);[Red]\(0.0\)">
                  <c:v>210.52631578947367</c:v>
                </c:pt>
                <c:pt idx="198" formatCode="0.0_);[Red]\(0.0\)">
                  <c:v>210.52631578947367</c:v>
                </c:pt>
                <c:pt idx="199" formatCode="0.0_);[Red]\(0.0\)">
                  <c:v>210.52631578947367</c:v>
                </c:pt>
                <c:pt idx="200" formatCode="0.0_);[Red]\(0.0\)">
                  <c:v>210.52631578947367</c:v>
                </c:pt>
                <c:pt idx="201" formatCode="0.0_);[Red]\(0.0\)">
                  <c:v>210.52631578947367</c:v>
                </c:pt>
                <c:pt idx="202" formatCode="0.0_);[Red]\(0.0\)">
                  <c:v>210.52631578947367</c:v>
                </c:pt>
                <c:pt idx="203" formatCode="0.0_);[Red]\(0.0\)">
                  <c:v>210.52631578947367</c:v>
                </c:pt>
                <c:pt idx="204" formatCode="0.0_);[Red]\(0.0\)">
                  <c:v>210.52631578947367</c:v>
                </c:pt>
                <c:pt idx="205" formatCode="0.0_);[Red]\(0.0\)">
                  <c:v>210.52631578947367</c:v>
                </c:pt>
                <c:pt idx="206" formatCode="0.0_);[Red]\(0.0\)">
                  <c:v>195.15789473684211</c:v>
                </c:pt>
                <c:pt idx="207" formatCode="0.0_);[Red]\(0.0\)">
                  <c:v>178.94736842105263</c:v>
                </c:pt>
                <c:pt idx="208" formatCode="0.0_);[Red]\(0.0\)">
                  <c:v>162.73684210526315</c:v>
                </c:pt>
                <c:pt idx="209" formatCode="0.0_);[Red]\(0.0\)">
                  <c:v>147.36842105263159</c:v>
                </c:pt>
                <c:pt idx="210" formatCode="0.0_);[Red]\(0.0\)">
                  <c:v>147.36842105263159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88-4D6A-ACF9-6188B7072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702064"/>
        <c:axId val="2007703504"/>
      </c:scatterChart>
      <c:valAx>
        <c:axId val="200770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07703984"/>
        <c:crosses val="autoZero"/>
        <c:crossBetween val="midCat"/>
      </c:valAx>
      <c:valAx>
        <c:axId val="200770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07707344"/>
        <c:crosses val="autoZero"/>
        <c:crossBetween val="midCat"/>
      </c:valAx>
      <c:valAx>
        <c:axId val="2007703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07702064"/>
        <c:crosses val="max"/>
        <c:crossBetween val="midCat"/>
      </c:valAx>
      <c:valAx>
        <c:axId val="2007702064"/>
        <c:scaling>
          <c:orientation val="minMax"/>
        </c:scaling>
        <c:delete val="1"/>
        <c:axPos val="b"/>
        <c:majorTickMark val="out"/>
        <c:minorTickMark val="none"/>
        <c:tickLblPos val="nextTo"/>
        <c:crossAx val="2007703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-4</xdr:rowOff>
        </xdr:from>
        <xdr:to>
          <xdr:col>1</xdr:col>
          <xdr:colOff>269143</xdr:colOff>
          <xdr:row>0</xdr:row>
          <xdr:rowOff>539999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0" y="-4"/>
              <a:ext cx="1650268" cy="540003"/>
              <a:chOff x="11207" y="3277805"/>
              <a:chExt cx="928537" cy="393106"/>
            </a:xfrm>
            <a:noFill/>
          </xdr:grpSpPr>
          <xdr:sp macro="" textlink="">
            <xdr:nvSpPr>
              <xdr:cNvPr id="2087" name="Button 39" hidden="1">
                <a:extLst>
                  <a:ext uri="{63B3BB69-23CF-44E3-9099-C40C66FF867C}">
                    <a14:compatExt spid="_x0000_s2087"/>
                  </a:ext>
                  <a:ext uri="{FF2B5EF4-FFF2-40B4-BE49-F238E27FC236}">
                    <a16:creationId xmlns:a16="http://schemas.microsoft.com/office/drawing/2014/main" id="{00000000-0008-0000-0000-000027080000}"/>
                  </a:ext>
                </a:extLst>
              </xdr:cNvPr>
              <xdr:cNvSpPr/>
            </xdr:nvSpPr>
            <xdr:spPr bwMode="auto">
              <a:xfrm>
                <a:off x="11207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斷面參數</a:t>
                </a:r>
              </a:p>
            </xdr:txBody>
          </xdr:sp>
          <xdr:sp macro="" textlink="">
            <xdr:nvSpPr>
              <xdr:cNvPr id="2088" name="Button 40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00000000-0008-0000-0000-000028080000}"/>
                  </a:ext>
                </a:extLst>
              </xdr:cNvPr>
              <xdr:cNvSpPr/>
            </xdr:nvSpPr>
            <xdr:spPr bwMode="auto">
              <a:xfrm>
                <a:off x="323558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頂鈑</a:t>
                </a:r>
              </a:p>
            </xdr:txBody>
          </xdr:sp>
          <xdr:sp macro="" textlink="">
            <xdr:nvSpPr>
              <xdr:cNvPr id="2089" name="Button 41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000-000029080000}"/>
                  </a:ext>
                </a:extLst>
              </xdr:cNvPr>
              <xdr:cNvSpPr/>
            </xdr:nvSpPr>
            <xdr:spPr bwMode="auto">
              <a:xfrm>
                <a:off x="635909" y="3277806"/>
                <a:ext cx="303835" cy="3931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底版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-4</xdr:rowOff>
        </xdr:from>
        <xdr:to>
          <xdr:col>1</xdr:col>
          <xdr:colOff>269143</xdr:colOff>
          <xdr:row>0</xdr:row>
          <xdr:rowOff>539999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0" y="-4"/>
              <a:ext cx="1650268" cy="540003"/>
              <a:chOff x="11207" y="3277805"/>
              <a:chExt cx="928537" cy="393106"/>
            </a:xfrm>
            <a:noFill/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400-0000010C0000}"/>
                  </a:ext>
                </a:extLst>
              </xdr:cNvPr>
              <xdr:cNvSpPr/>
            </xdr:nvSpPr>
            <xdr:spPr bwMode="auto">
              <a:xfrm>
                <a:off x="11207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斷面參數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400-0000020C0000}"/>
                  </a:ext>
                </a:extLst>
              </xdr:cNvPr>
              <xdr:cNvSpPr/>
            </xdr:nvSpPr>
            <xdr:spPr bwMode="auto">
              <a:xfrm>
                <a:off x="323558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頂鈑</a:t>
                </a:r>
              </a:p>
            </xdr:txBody>
          </xdr:sp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400-0000030C0000}"/>
                  </a:ext>
                </a:extLst>
              </xdr:cNvPr>
              <xdr:cNvSpPr/>
            </xdr:nvSpPr>
            <xdr:spPr bwMode="auto">
              <a:xfrm>
                <a:off x="635909" y="3277806"/>
                <a:ext cx="303835" cy="3931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底版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178593</xdr:rowOff>
    </xdr:from>
    <xdr:to>
      <xdr:col>6</xdr:col>
      <xdr:colOff>267890</xdr:colOff>
      <xdr:row>19</xdr:row>
      <xdr:rowOff>151208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5" tint="0.79998168889431442"/>
    <outlinePr summaryBelow="0"/>
  </sheetPr>
  <dimension ref="A1:AK420"/>
  <sheetViews>
    <sheetView tabSelected="1" zoomScale="80" zoomScaleNormal="80" workbookViewId="0">
      <pane ySplit="1" topLeftCell="A2" activePane="bottomLeft" state="frozen"/>
      <selection pane="bottomLeft" activeCell="W3" sqref="W3:W420"/>
    </sheetView>
  </sheetViews>
  <sheetFormatPr defaultRowHeight="15.75"/>
  <cols>
    <col min="1" max="2" width="20.7109375" style="22" customWidth="1"/>
    <col min="3" max="3" width="5.85546875" style="22" bestFit="1" customWidth="1"/>
    <col min="4" max="5" width="9.7109375" style="22" bestFit="1" customWidth="1"/>
    <col min="6" max="7" width="9.7109375" style="22" customWidth="1"/>
    <col min="8" max="9" width="14" style="22" bestFit="1" customWidth="1"/>
    <col min="10" max="11" width="8.42578125" style="22" bestFit="1" customWidth="1"/>
    <col min="12" max="13" width="11" style="22" customWidth="1"/>
    <col min="14" max="16" width="13.140625" style="22" customWidth="1"/>
    <col min="17" max="17" width="10" style="22" customWidth="1"/>
    <col min="18" max="18" width="13.140625" style="22" customWidth="1"/>
    <col min="19" max="19" width="11.5703125" style="22" customWidth="1"/>
    <col min="20" max="20" width="13.140625" style="22" customWidth="1"/>
    <col min="21" max="24" width="10" style="22" customWidth="1"/>
    <col min="25" max="25" width="32.7109375" style="23" customWidth="1"/>
    <col min="26" max="26" width="57.28515625" style="23" customWidth="1"/>
    <col min="27" max="27" width="35.7109375" style="23" customWidth="1"/>
    <col min="28" max="28" width="51.5703125" style="23" customWidth="1"/>
    <col min="29" max="29" width="34.140625" style="23" customWidth="1"/>
    <col min="30" max="30" width="57.28515625" style="23" customWidth="1"/>
    <col min="31" max="31" width="37.140625" style="23" customWidth="1"/>
    <col min="32" max="32" width="41.42578125" style="23" customWidth="1"/>
    <col min="33" max="33" width="40" style="29" customWidth="1"/>
    <col min="34" max="34" width="130.28515625" style="23" customWidth="1"/>
    <col min="35" max="35" width="38.5703125" style="23" customWidth="1"/>
    <col min="36" max="36" width="42.85546875" style="23" customWidth="1"/>
    <col min="37" max="37" width="12.42578125" bestFit="1" customWidth="1"/>
  </cols>
  <sheetData>
    <row r="1" spans="1:37" s="49" customFormat="1" ht="45" customHeight="1">
      <c r="A1" s="46" t="s">
        <v>50</v>
      </c>
      <c r="B1" s="46" t="s">
        <v>3</v>
      </c>
      <c r="C1" s="46" t="s">
        <v>797</v>
      </c>
      <c r="D1" s="46" t="s">
        <v>795</v>
      </c>
      <c r="E1" s="46" t="s">
        <v>796</v>
      </c>
      <c r="F1" s="46" t="s">
        <v>810</v>
      </c>
      <c r="G1" s="46" t="s">
        <v>812</v>
      </c>
      <c r="H1" s="46" t="s">
        <v>801</v>
      </c>
      <c r="I1" s="46" t="s">
        <v>811</v>
      </c>
      <c r="J1" s="46" t="s">
        <v>813</v>
      </c>
      <c r="K1" s="46" t="s">
        <v>817</v>
      </c>
      <c r="L1" s="46" t="s">
        <v>51</v>
      </c>
      <c r="M1" s="46" t="s">
        <v>52</v>
      </c>
      <c r="N1" s="46" t="s">
        <v>53</v>
      </c>
      <c r="O1" s="46" t="s">
        <v>54</v>
      </c>
      <c r="P1" s="46" t="s">
        <v>55</v>
      </c>
      <c r="Q1" s="46" t="s">
        <v>56</v>
      </c>
      <c r="R1" s="46" t="s">
        <v>57</v>
      </c>
      <c r="S1" s="46" t="s">
        <v>58</v>
      </c>
      <c r="T1" s="46" t="s">
        <v>59</v>
      </c>
      <c r="U1" s="46" t="s">
        <v>60</v>
      </c>
      <c r="V1" s="46" t="s">
        <v>61</v>
      </c>
      <c r="W1" s="46" t="s">
        <v>62</v>
      </c>
      <c r="X1" s="46" t="s">
        <v>63</v>
      </c>
      <c r="Y1" s="47" t="s">
        <v>64</v>
      </c>
      <c r="Z1" s="47" t="s">
        <v>814</v>
      </c>
      <c r="AA1" s="47" t="s">
        <v>65</v>
      </c>
      <c r="AB1" s="47" t="s">
        <v>815</v>
      </c>
      <c r="AC1" s="47" t="s">
        <v>66</v>
      </c>
      <c r="AD1" s="47" t="s">
        <v>67</v>
      </c>
      <c r="AE1" s="47" t="s">
        <v>68</v>
      </c>
      <c r="AF1" s="47" t="s">
        <v>69</v>
      </c>
      <c r="AG1" s="47" t="s">
        <v>70</v>
      </c>
      <c r="AH1" s="47" t="s">
        <v>816</v>
      </c>
      <c r="AI1" s="47" t="s">
        <v>71</v>
      </c>
      <c r="AJ1" s="47" t="s">
        <v>72</v>
      </c>
      <c r="AK1" s="48"/>
    </row>
    <row r="2" spans="1:37" ht="20.25" customHeight="1">
      <c r="A2" s="24" t="s">
        <v>33</v>
      </c>
      <c r="B2" s="24" t="s">
        <v>33</v>
      </c>
      <c r="C2" s="24" t="s">
        <v>798</v>
      </c>
      <c r="D2" s="24" t="s">
        <v>36</v>
      </c>
      <c r="E2" s="24" t="s">
        <v>36</v>
      </c>
      <c r="F2" s="24" t="s">
        <v>36</v>
      </c>
      <c r="G2" s="24" t="s">
        <v>36</v>
      </c>
      <c r="H2" s="24" t="s">
        <v>802</v>
      </c>
      <c r="I2" s="24" t="s">
        <v>802</v>
      </c>
      <c r="J2" s="24" t="s">
        <v>799</v>
      </c>
      <c r="K2" s="24" t="s">
        <v>799</v>
      </c>
      <c r="L2" s="24" t="s">
        <v>36</v>
      </c>
      <c r="M2" s="24" t="s">
        <v>36</v>
      </c>
      <c r="N2" s="24" t="s">
        <v>36</v>
      </c>
      <c r="O2" s="24" t="s">
        <v>36</v>
      </c>
      <c r="P2" s="24" t="s">
        <v>36</v>
      </c>
      <c r="Q2" s="24" t="s">
        <v>36</v>
      </c>
      <c r="R2" s="24" t="s">
        <v>36</v>
      </c>
      <c r="S2" s="24" t="s">
        <v>36</v>
      </c>
      <c r="T2" s="24" t="s">
        <v>36</v>
      </c>
      <c r="U2" s="24" t="s">
        <v>36</v>
      </c>
      <c r="V2" s="24" t="s">
        <v>36</v>
      </c>
      <c r="W2" s="24" t="s">
        <v>36</v>
      </c>
      <c r="X2" s="24" t="s">
        <v>36</v>
      </c>
      <c r="Y2" s="28" t="s">
        <v>33</v>
      </c>
      <c r="Z2" s="28" t="s">
        <v>36</v>
      </c>
      <c r="AA2" s="28" t="s">
        <v>33</v>
      </c>
      <c r="AB2" s="28" t="s">
        <v>36</v>
      </c>
      <c r="AC2" s="28" t="s">
        <v>33</v>
      </c>
      <c r="AD2" s="28" t="s">
        <v>36</v>
      </c>
      <c r="AE2" s="28" t="s">
        <v>33</v>
      </c>
      <c r="AF2" s="28" t="s">
        <v>36</v>
      </c>
      <c r="AG2" s="28" t="s">
        <v>33</v>
      </c>
      <c r="AH2" s="28" t="s">
        <v>36</v>
      </c>
      <c r="AI2" s="28" t="s">
        <v>33</v>
      </c>
      <c r="AJ2" s="28" t="s">
        <v>36</v>
      </c>
      <c r="AK2" s="21"/>
    </row>
    <row r="3" spans="1:37" ht="20.25" customHeight="1">
      <c r="A3" s="36">
        <v>1</v>
      </c>
      <c r="B3" s="36" t="s">
        <v>337</v>
      </c>
      <c r="C3" s="53">
        <v>1</v>
      </c>
      <c r="D3" s="53">
        <v>84000</v>
      </c>
      <c r="E3" s="53">
        <v>84000</v>
      </c>
      <c r="F3" s="53">
        <v>105000</v>
      </c>
      <c r="G3" s="53">
        <v>105000</v>
      </c>
      <c r="H3" s="58">
        <v>3500</v>
      </c>
      <c r="I3" s="58">
        <v>2100000</v>
      </c>
      <c r="J3" s="61">
        <v>2000</v>
      </c>
      <c r="K3" s="61">
        <v>2000</v>
      </c>
      <c r="L3" s="30">
        <v>0</v>
      </c>
      <c r="M3" s="30">
        <f>N3-Q3</f>
        <v>2764.5</v>
      </c>
      <c r="N3" s="31">
        <v>2884.5</v>
      </c>
      <c r="O3" s="31">
        <v>2800</v>
      </c>
      <c r="P3" s="31">
        <v>1750</v>
      </c>
      <c r="Q3" s="31">
        <v>120</v>
      </c>
      <c r="R3" s="31">
        <v>2800</v>
      </c>
      <c r="S3" s="31">
        <v>20</v>
      </c>
      <c r="T3" s="31">
        <v>2800</v>
      </c>
      <c r="U3" s="31">
        <v>16</v>
      </c>
      <c r="V3" s="31">
        <v>28</v>
      </c>
      <c r="W3" s="31">
        <v>25</v>
      </c>
      <c r="X3" s="31">
        <v>25</v>
      </c>
      <c r="Y3" s="32" t="s">
        <v>73</v>
      </c>
      <c r="Z3" s="32" t="s">
        <v>289</v>
      </c>
      <c r="AA3" s="32" t="s">
        <v>73</v>
      </c>
      <c r="AB3" s="32" t="s">
        <v>79</v>
      </c>
      <c r="AC3" s="32" t="s">
        <v>73</v>
      </c>
      <c r="AD3" s="32" t="s">
        <v>290</v>
      </c>
      <c r="AE3" s="25"/>
      <c r="AF3" s="25"/>
      <c r="AG3" s="25" t="s">
        <v>75</v>
      </c>
      <c r="AH3" s="25" t="s">
        <v>80</v>
      </c>
      <c r="AI3" s="25"/>
      <c r="AJ3" s="25"/>
    </row>
    <row r="4" spans="1:37" ht="20.25" customHeight="1">
      <c r="A4" s="37">
        <v>2</v>
      </c>
      <c r="B4" s="37" t="s">
        <v>338</v>
      </c>
      <c r="C4" s="54">
        <v>1</v>
      </c>
      <c r="D4" s="54">
        <v>84000</v>
      </c>
      <c r="E4" s="54">
        <v>84000</v>
      </c>
      <c r="F4" s="54">
        <v>105000</v>
      </c>
      <c r="G4" s="54">
        <v>105000</v>
      </c>
      <c r="H4" s="59">
        <v>3500</v>
      </c>
      <c r="I4" s="59">
        <v>2100000</v>
      </c>
      <c r="J4" s="62">
        <v>2000</v>
      </c>
      <c r="K4" s="62">
        <v>2000</v>
      </c>
      <c r="L4" s="33">
        <v>0</v>
      </c>
      <c r="M4" s="33">
        <f t="shared" ref="M4:M59" si="0">N4-Q4</f>
        <v>2742</v>
      </c>
      <c r="N4" s="34">
        <v>2862</v>
      </c>
      <c r="O4" s="34">
        <v>2800</v>
      </c>
      <c r="P4" s="34">
        <v>1750</v>
      </c>
      <c r="Q4" s="34">
        <v>120</v>
      </c>
      <c r="R4" s="34">
        <v>2800</v>
      </c>
      <c r="S4" s="34">
        <v>20</v>
      </c>
      <c r="T4" s="34">
        <v>2800</v>
      </c>
      <c r="U4" s="34">
        <v>16</v>
      </c>
      <c r="V4" s="34">
        <v>28</v>
      </c>
      <c r="W4" s="34">
        <v>25</v>
      </c>
      <c r="X4" s="34">
        <v>25</v>
      </c>
      <c r="Y4" s="35" t="s">
        <v>73</v>
      </c>
      <c r="Z4" s="35" t="s">
        <v>291</v>
      </c>
      <c r="AA4" s="35" t="s">
        <v>73</v>
      </c>
      <c r="AB4" s="35" t="s">
        <v>78</v>
      </c>
      <c r="AC4" s="35" t="s">
        <v>73</v>
      </c>
      <c r="AD4" s="35" t="s">
        <v>336</v>
      </c>
      <c r="AE4" s="25"/>
      <c r="AF4" s="25"/>
      <c r="AG4" s="25" t="s">
        <v>75</v>
      </c>
      <c r="AH4" s="25" t="s">
        <v>80</v>
      </c>
      <c r="AI4" s="25"/>
      <c r="AJ4" s="25"/>
    </row>
    <row r="5" spans="1:37" ht="20.25" customHeight="1">
      <c r="A5" s="38">
        <v>3</v>
      </c>
      <c r="B5" s="38" t="s">
        <v>339</v>
      </c>
      <c r="C5" s="55">
        <v>1</v>
      </c>
      <c r="D5" s="55">
        <v>84000</v>
      </c>
      <c r="E5" s="55">
        <v>84000</v>
      </c>
      <c r="F5" s="55">
        <v>105000</v>
      </c>
      <c r="G5" s="55">
        <v>105000</v>
      </c>
      <c r="H5" s="60">
        <v>3500</v>
      </c>
      <c r="I5" s="60">
        <v>2100000</v>
      </c>
      <c r="J5" s="63">
        <v>2000</v>
      </c>
      <c r="K5" s="63">
        <v>2000</v>
      </c>
      <c r="L5" s="27">
        <v>0</v>
      </c>
      <c r="M5" s="27">
        <f t="shared" si="0"/>
        <v>2707</v>
      </c>
      <c r="N5" s="26">
        <v>2827</v>
      </c>
      <c r="O5" s="26">
        <v>2800</v>
      </c>
      <c r="P5" s="26">
        <v>1750</v>
      </c>
      <c r="Q5" s="26">
        <v>120</v>
      </c>
      <c r="R5" s="26">
        <v>2800</v>
      </c>
      <c r="S5" s="26">
        <v>20</v>
      </c>
      <c r="T5" s="26">
        <v>3192</v>
      </c>
      <c r="U5" s="26">
        <v>16</v>
      </c>
      <c r="V5" s="26">
        <v>28</v>
      </c>
      <c r="W5" s="26">
        <v>25</v>
      </c>
      <c r="X5" s="26">
        <v>25</v>
      </c>
      <c r="Y5" s="25" t="s">
        <v>73</v>
      </c>
      <c r="Z5" s="25" t="s">
        <v>292</v>
      </c>
      <c r="AA5" s="25" t="s">
        <v>73</v>
      </c>
      <c r="AB5" s="25" t="s">
        <v>78</v>
      </c>
      <c r="AC5" s="25" t="s">
        <v>73</v>
      </c>
      <c r="AD5" s="25" t="s">
        <v>336</v>
      </c>
      <c r="AE5" s="25"/>
      <c r="AF5" s="25"/>
      <c r="AG5" s="25" t="s">
        <v>75</v>
      </c>
      <c r="AH5" s="25" t="s">
        <v>80</v>
      </c>
      <c r="AI5" s="25"/>
      <c r="AJ5" s="25"/>
    </row>
    <row r="6" spans="1:37" ht="20.25" customHeight="1">
      <c r="A6" s="38">
        <v>4</v>
      </c>
      <c r="B6" s="38" t="s">
        <v>340</v>
      </c>
      <c r="C6" s="55">
        <v>1</v>
      </c>
      <c r="D6" s="55">
        <v>84000</v>
      </c>
      <c r="E6" s="55">
        <v>84000</v>
      </c>
      <c r="F6" s="55">
        <v>105000</v>
      </c>
      <c r="G6" s="55">
        <v>105000</v>
      </c>
      <c r="H6" s="60">
        <v>3500</v>
      </c>
      <c r="I6" s="60">
        <v>2100000</v>
      </c>
      <c r="J6" s="63">
        <v>2000</v>
      </c>
      <c r="K6" s="63">
        <v>2000</v>
      </c>
      <c r="L6" s="27">
        <v>0</v>
      </c>
      <c r="M6" s="27">
        <f t="shared" si="0"/>
        <v>2684</v>
      </c>
      <c r="N6" s="26">
        <v>2804</v>
      </c>
      <c r="O6" s="26">
        <v>2800</v>
      </c>
      <c r="P6" s="26">
        <v>1750</v>
      </c>
      <c r="Q6" s="26">
        <v>120</v>
      </c>
      <c r="R6" s="26">
        <v>2800</v>
      </c>
      <c r="S6" s="26">
        <v>20</v>
      </c>
      <c r="T6" s="26">
        <v>3615</v>
      </c>
      <c r="U6" s="26">
        <v>16</v>
      </c>
      <c r="V6" s="26">
        <v>28</v>
      </c>
      <c r="W6" s="26">
        <v>25</v>
      </c>
      <c r="X6" s="26">
        <v>25</v>
      </c>
      <c r="Y6" s="25" t="s">
        <v>73</v>
      </c>
      <c r="Z6" s="25" t="s">
        <v>293</v>
      </c>
      <c r="AA6" s="25" t="s">
        <v>73</v>
      </c>
      <c r="AB6" s="25" t="s">
        <v>78</v>
      </c>
      <c r="AC6" s="25" t="s">
        <v>73</v>
      </c>
      <c r="AD6" s="25" t="s">
        <v>336</v>
      </c>
      <c r="AE6" s="25"/>
      <c r="AF6" s="25"/>
      <c r="AG6" s="25" t="s">
        <v>75</v>
      </c>
      <c r="AH6" s="25" t="s">
        <v>80</v>
      </c>
      <c r="AI6" s="25"/>
      <c r="AJ6" s="25"/>
    </row>
    <row r="7" spans="1:37">
      <c r="A7" s="37">
        <v>5</v>
      </c>
      <c r="B7" s="37" t="s">
        <v>341</v>
      </c>
      <c r="C7" s="54">
        <v>1</v>
      </c>
      <c r="D7" s="54">
        <v>84000</v>
      </c>
      <c r="E7" s="54">
        <v>84000</v>
      </c>
      <c r="F7" s="54">
        <v>105000</v>
      </c>
      <c r="G7" s="54">
        <v>105000</v>
      </c>
      <c r="H7" s="59">
        <v>3500</v>
      </c>
      <c r="I7" s="59">
        <v>2100000</v>
      </c>
      <c r="J7" s="62">
        <v>2000</v>
      </c>
      <c r="K7" s="62">
        <v>2000</v>
      </c>
      <c r="L7" s="33">
        <v>0</v>
      </c>
      <c r="M7" s="33">
        <f t="shared" si="0"/>
        <v>2662</v>
      </c>
      <c r="N7" s="34">
        <v>2782</v>
      </c>
      <c r="O7" s="34">
        <v>2800</v>
      </c>
      <c r="P7" s="34">
        <v>1750</v>
      </c>
      <c r="Q7" s="34">
        <v>120</v>
      </c>
      <c r="R7" s="34">
        <v>2800</v>
      </c>
      <c r="S7" s="34">
        <v>20</v>
      </c>
      <c r="T7" s="34">
        <v>4000</v>
      </c>
      <c r="U7" s="34">
        <v>16</v>
      </c>
      <c r="V7" s="34">
        <v>28</v>
      </c>
      <c r="W7" s="34">
        <v>25</v>
      </c>
      <c r="X7" s="34">
        <v>25</v>
      </c>
      <c r="Y7" s="35" t="s">
        <v>73</v>
      </c>
      <c r="Z7" s="35" t="s">
        <v>294</v>
      </c>
      <c r="AA7" s="35" t="s">
        <v>73</v>
      </c>
      <c r="AB7" s="35" t="s">
        <v>78</v>
      </c>
      <c r="AC7" s="35" t="s">
        <v>73</v>
      </c>
      <c r="AD7" s="35" t="s">
        <v>336</v>
      </c>
      <c r="AE7" s="25"/>
      <c r="AF7" s="25"/>
      <c r="AG7" s="25" t="s">
        <v>75</v>
      </c>
      <c r="AH7" s="25" t="s">
        <v>80</v>
      </c>
      <c r="AI7" s="25"/>
      <c r="AJ7" s="25"/>
    </row>
    <row r="8" spans="1:37">
      <c r="A8" s="37">
        <v>6</v>
      </c>
      <c r="B8" s="37" t="s">
        <v>538</v>
      </c>
      <c r="C8" s="54">
        <v>1</v>
      </c>
      <c r="D8" s="54">
        <v>84000</v>
      </c>
      <c r="E8" s="54">
        <v>84000</v>
      </c>
      <c r="F8" s="54">
        <v>105000</v>
      </c>
      <c r="G8" s="54">
        <v>105000</v>
      </c>
      <c r="H8" s="59">
        <v>3500</v>
      </c>
      <c r="I8" s="59">
        <v>2100000</v>
      </c>
      <c r="J8" s="62">
        <v>2000</v>
      </c>
      <c r="K8" s="62">
        <v>2000</v>
      </c>
      <c r="L8" s="33">
        <v>0</v>
      </c>
      <c r="M8" s="33">
        <f t="shared" si="0"/>
        <v>2662</v>
      </c>
      <c r="N8" s="34">
        <v>2782</v>
      </c>
      <c r="O8" s="34">
        <v>2800</v>
      </c>
      <c r="P8" s="34">
        <v>1750</v>
      </c>
      <c r="Q8" s="34">
        <v>120</v>
      </c>
      <c r="R8" s="34">
        <v>2800</v>
      </c>
      <c r="S8" s="34">
        <v>20</v>
      </c>
      <c r="T8" s="34">
        <v>4000</v>
      </c>
      <c r="U8" s="34">
        <v>16</v>
      </c>
      <c r="V8" s="34">
        <v>28</v>
      </c>
      <c r="W8" s="34">
        <v>25</v>
      </c>
      <c r="X8" s="34">
        <v>25</v>
      </c>
      <c r="Y8" s="35" t="s">
        <v>73</v>
      </c>
      <c r="Z8" s="35" t="s">
        <v>295</v>
      </c>
      <c r="AA8" s="35" t="s">
        <v>73</v>
      </c>
      <c r="AB8" s="35" t="s">
        <v>78</v>
      </c>
      <c r="AC8" s="35" t="s">
        <v>73</v>
      </c>
      <c r="AD8" s="35" t="s">
        <v>336</v>
      </c>
      <c r="AE8" s="25"/>
      <c r="AF8" s="25"/>
      <c r="AG8" s="25" t="s">
        <v>75</v>
      </c>
      <c r="AH8" s="25" t="s">
        <v>80</v>
      </c>
      <c r="AI8" s="25"/>
      <c r="AJ8" s="25"/>
    </row>
    <row r="9" spans="1:37" ht="20.25" customHeight="1">
      <c r="A9" s="38">
        <v>7</v>
      </c>
      <c r="B9" s="38" t="s">
        <v>539</v>
      </c>
      <c r="C9" s="55">
        <v>1</v>
      </c>
      <c r="D9" s="55">
        <v>84000</v>
      </c>
      <c r="E9" s="55">
        <v>84000</v>
      </c>
      <c r="F9" s="55">
        <v>105000</v>
      </c>
      <c r="G9" s="55">
        <v>105000</v>
      </c>
      <c r="H9" s="60">
        <v>3500</v>
      </c>
      <c r="I9" s="60">
        <v>2100000</v>
      </c>
      <c r="J9" s="63">
        <v>2000</v>
      </c>
      <c r="K9" s="63">
        <v>2000</v>
      </c>
      <c r="L9" s="27">
        <v>0</v>
      </c>
      <c r="M9" s="27">
        <f t="shared" si="0"/>
        <v>2637</v>
      </c>
      <c r="N9" s="26">
        <v>2757</v>
      </c>
      <c r="O9" s="26">
        <v>2800</v>
      </c>
      <c r="P9" s="26">
        <v>1750</v>
      </c>
      <c r="Q9" s="26">
        <v>120</v>
      </c>
      <c r="R9" s="26">
        <v>2800</v>
      </c>
      <c r="S9" s="26">
        <v>20</v>
      </c>
      <c r="T9" s="26">
        <v>4000</v>
      </c>
      <c r="U9" s="26">
        <v>16</v>
      </c>
      <c r="V9" s="26">
        <v>28</v>
      </c>
      <c r="W9" s="26">
        <v>25</v>
      </c>
      <c r="X9" s="26">
        <v>25</v>
      </c>
      <c r="Y9" s="25" t="s">
        <v>73</v>
      </c>
      <c r="Z9" s="25" t="s">
        <v>296</v>
      </c>
      <c r="AA9" s="25" t="s">
        <v>73</v>
      </c>
      <c r="AB9" s="25" t="s">
        <v>78</v>
      </c>
      <c r="AC9" s="25" t="s">
        <v>73</v>
      </c>
      <c r="AD9" s="25" t="s">
        <v>336</v>
      </c>
      <c r="AE9" s="25"/>
      <c r="AF9" s="25"/>
      <c r="AG9" s="25" t="s">
        <v>75</v>
      </c>
      <c r="AH9" s="25" t="s">
        <v>80</v>
      </c>
      <c r="AI9" s="25"/>
      <c r="AJ9" s="25"/>
    </row>
    <row r="10" spans="1:37" ht="20.25" customHeight="1">
      <c r="A10" s="38">
        <v>8</v>
      </c>
      <c r="B10" s="38" t="s">
        <v>342</v>
      </c>
      <c r="C10" s="55">
        <v>1</v>
      </c>
      <c r="D10" s="55">
        <v>84000</v>
      </c>
      <c r="E10" s="55">
        <v>84000</v>
      </c>
      <c r="F10" s="55">
        <v>105000</v>
      </c>
      <c r="G10" s="55">
        <v>105000</v>
      </c>
      <c r="H10" s="60">
        <v>3500</v>
      </c>
      <c r="I10" s="60">
        <v>2100000</v>
      </c>
      <c r="J10" s="63">
        <v>2000</v>
      </c>
      <c r="K10" s="63">
        <v>2000</v>
      </c>
      <c r="L10" s="27">
        <v>0</v>
      </c>
      <c r="M10" s="27">
        <f t="shared" si="0"/>
        <v>2612</v>
      </c>
      <c r="N10" s="26">
        <v>2732</v>
      </c>
      <c r="O10" s="26">
        <v>2800</v>
      </c>
      <c r="P10" s="26">
        <v>1750</v>
      </c>
      <c r="Q10" s="26">
        <v>120</v>
      </c>
      <c r="R10" s="26">
        <v>2800</v>
      </c>
      <c r="S10" s="26">
        <v>20</v>
      </c>
      <c r="T10" s="26">
        <v>4000</v>
      </c>
      <c r="U10" s="26">
        <v>16</v>
      </c>
      <c r="V10" s="26">
        <v>28</v>
      </c>
      <c r="W10" s="26">
        <v>25</v>
      </c>
      <c r="X10" s="26">
        <v>25</v>
      </c>
      <c r="Y10" s="25" t="s">
        <v>73</v>
      </c>
      <c r="Z10" s="25" t="s">
        <v>297</v>
      </c>
      <c r="AA10" s="25" t="s">
        <v>73</v>
      </c>
      <c r="AB10" s="25" t="s">
        <v>78</v>
      </c>
      <c r="AC10" s="25" t="s">
        <v>73</v>
      </c>
      <c r="AD10" s="25" t="s">
        <v>336</v>
      </c>
      <c r="AE10" s="25"/>
      <c r="AF10" s="25"/>
      <c r="AG10" s="25" t="s">
        <v>75</v>
      </c>
      <c r="AH10" s="25" t="s">
        <v>80</v>
      </c>
      <c r="AI10" s="25"/>
      <c r="AJ10" s="25"/>
    </row>
    <row r="11" spans="1:37" ht="20.25" customHeight="1">
      <c r="A11" s="38">
        <v>9</v>
      </c>
      <c r="B11" s="38" t="s">
        <v>343</v>
      </c>
      <c r="C11" s="55">
        <v>1</v>
      </c>
      <c r="D11" s="55">
        <v>84000</v>
      </c>
      <c r="E11" s="55">
        <v>84000</v>
      </c>
      <c r="F11" s="55">
        <v>105000</v>
      </c>
      <c r="G11" s="55">
        <v>105000</v>
      </c>
      <c r="H11" s="60">
        <v>3500</v>
      </c>
      <c r="I11" s="60">
        <v>2100000</v>
      </c>
      <c r="J11" s="63">
        <v>2000</v>
      </c>
      <c r="K11" s="63">
        <v>2000</v>
      </c>
      <c r="L11" s="27">
        <v>0</v>
      </c>
      <c r="M11" s="27">
        <f t="shared" si="0"/>
        <v>2587</v>
      </c>
      <c r="N11" s="26">
        <v>2707</v>
      </c>
      <c r="O11" s="26">
        <v>2800</v>
      </c>
      <c r="P11" s="26">
        <v>1750</v>
      </c>
      <c r="Q11" s="26">
        <v>120</v>
      </c>
      <c r="R11" s="26">
        <v>2800</v>
      </c>
      <c r="S11" s="26">
        <v>20</v>
      </c>
      <c r="T11" s="26">
        <v>4000</v>
      </c>
      <c r="U11" s="26">
        <v>16</v>
      </c>
      <c r="V11" s="26">
        <v>28</v>
      </c>
      <c r="W11" s="26">
        <v>25</v>
      </c>
      <c r="X11" s="26">
        <v>25</v>
      </c>
      <c r="Y11" s="25" t="s">
        <v>73</v>
      </c>
      <c r="Z11" s="25" t="s">
        <v>298</v>
      </c>
      <c r="AA11" s="25" t="s">
        <v>73</v>
      </c>
      <c r="AB11" s="25" t="s">
        <v>78</v>
      </c>
      <c r="AC11" s="25" t="s">
        <v>73</v>
      </c>
      <c r="AD11" s="25" t="s">
        <v>336</v>
      </c>
      <c r="AE11" s="25"/>
      <c r="AF11" s="25"/>
      <c r="AG11" s="25" t="s">
        <v>75</v>
      </c>
      <c r="AH11" s="25" t="s">
        <v>80</v>
      </c>
      <c r="AI11" s="25"/>
      <c r="AJ11" s="25"/>
    </row>
    <row r="12" spans="1:37" ht="20.25" customHeight="1">
      <c r="A12" s="37">
        <v>10</v>
      </c>
      <c r="B12" s="37" t="s">
        <v>344</v>
      </c>
      <c r="C12" s="54">
        <v>1</v>
      </c>
      <c r="D12" s="54">
        <v>84000</v>
      </c>
      <c r="E12" s="54">
        <v>84000</v>
      </c>
      <c r="F12" s="54">
        <v>105000</v>
      </c>
      <c r="G12" s="54">
        <v>105000</v>
      </c>
      <c r="H12" s="59">
        <v>3500</v>
      </c>
      <c r="I12" s="59">
        <v>2100000</v>
      </c>
      <c r="J12" s="62">
        <v>2000</v>
      </c>
      <c r="K12" s="62">
        <v>2000</v>
      </c>
      <c r="L12" s="33">
        <v>0</v>
      </c>
      <c r="M12" s="33">
        <f t="shared" si="0"/>
        <v>2562</v>
      </c>
      <c r="N12" s="34">
        <v>2682</v>
      </c>
      <c r="O12" s="34">
        <v>2800</v>
      </c>
      <c r="P12" s="34">
        <v>1750</v>
      </c>
      <c r="Q12" s="34">
        <v>120</v>
      </c>
      <c r="R12" s="34">
        <v>2800</v>
      </c>
      <c r="S12" s="34">
        <v>20</v>
      </c>
      <c r="T12" s="34">
        <v>4000</v>
      </c>
      <c r="U12" s="34">
        <v>16</v>
      </c>
      <c r="V12" s="34">
        <v>28</v>
      </c>
      <c r="W12" s="34">
        <v>25</v>
      </c>
      <c r="X12" s="34">
        <v>25</v>
      </c>
      <c r="Y12" s="35" t="s">
        <v>73</v>
      </c>
      <c r="Z12" s="35" t="s">
        <v>299</v>
      </c>
      <c r="AA12" s="35" t="s">
        <v>73</v>
      </c>
      <c r="AB12" s="35" t="s">
        <v>78</v>
      </c>
      <c r="AC12" s="35" t="s">
        <v>73</v>
      </c>
      <c r="AD12" s="35" t="s">
        <v>336</v>
      </c>
      <c r="AE12" s="25"/>
      <c r="AF12" s="25"/>
      <c r="AG12" s="25" t="s">
        <v>75</v>
      </c>
      <c r="AH12" s="25" t="s">
        <v>80</v>
      </c>
      <c r="AI12" s="25"/>
      <c r="AJ12" s="25"/>
    </row>
    <row r="13" spans="1:37" ht="19.5" customHeight="1">
      <c r="A13" s="38">
        <v>11</v>
      </c>
      <c r="B13" s="38" t="s">
        <v>345</v>
      </c>
      <c r="C13" s="55">
        <v>1</v>
      </c>
      <c r="D13" s="55">
        <v>84000</v>
      </c>
      <c r="E13" s="55">
        <v>84000</v>
      </c>
      <c r="F13" s="55">
        <v>105000</v>
      </c>
      <c r="G13" s="55">
        <v>105000</v>
      </c>
      <c r="H13" s="60">
        <v>3500</v>
      </c>
      <c r="I13" s="60">
        <v>2100000</v>
      </c>
      <c r="J13" s="63">
        <v>2000</v>
      </c>
      <c r="K13" s="63">
        <v>2000</v>
      </c>
      <c r="L13" s="27">
        <v>0</v>
      </c>
      <c r="M13" s="27">
        <f t="shared" si="0"/>
        <v>2537</v>
      </c>
      <c r="N13" s="26">
        <v>2657</v>
      </c>
      <c r="O13" s="26">
        <v>2800</v>
      </c>
      <c r="P13" s="26">
        <v>1750</v>
      </c>
      <c r="Q13" s="26">
        <v>120</v>
      </c>
      <c r="R13" s="26">
        <v>2800</v>
      </c>
      <c r="S13" s="26">
        <v>20</v>
      </c>
      <c r="T13" s="26">
        <v>4000</v>
      </c>
      <c r="U13" s="26">
        <v>16</v>
      </c>
      <c r="V13" s="26">
        <v>28</v>
      </c>
      <c r="W13" s="26">
        <v>25</v>
      </c>
      <c r="X13" s="26">
        <v>25</v>
      </c>
      <c r="Y13" s="25" t="s">
        <v>73</v>
      </c>
      <c r="Z13" s="25" t="s">
        <v>300</v>
      </c>
      <c r="AA13" s="25" t="s">
        <v>73</v>
      </c>
      <c r="AB13" s="25" t="s">
        <v>78</v>
      </c>
      <c r="AC13" s="25" t="s">
        <v>73</v>
      </c>
      <c r="AD13" s="25" t="s">
        <v>336</v>
      </c>
      <c r="AE13" s="25"/>
      <c r="AF13" s="25"/>
      <c r="AG13" s="25" t="s">
        <v>75</v>
      </c>
      <c r="AH13" s="25" t="s">
        <v>80</v>
      </c>
      <c r="AI13" s="25"/>
      <c r="AJ13" s="25"/>
    </row>
    <row r="14" spans="1:37" ht="19.5" customHeight="1">
      <c r="A14" s="38">
        <v>12</v>
      </c>
      <c r="B14" s="38" t="s">
        <v>346</v>
      </c>
      <c r="C14" s="55">
        <v>1</v>
      </c>
      <c r="D14" s="55">
        <v>84000</v>
      </c>
      <c r="E14" s="55">
        <v>84000</v>
      </c>
      <c r="F14" s="55">
        <v>105000</v>
      </c>
      <c r="G14" s="55">
        <v>105000</v>
      </c>
      <c r="H14" s="60">
        <v>3500</v>
      </c>
      <c r="I14" s="60">
        <v>2100000</v>
      </c>
      <c r="J14" s="63">
        <v>2000</v>
      </c>
      <c r="K14" s="63">
        <v>2000</v>
      </c>
      <c r="L14" s="27">
        <v>0</v>
      </c>
      <c r="M14" s="27">
        <f t="shared" si="0"/>
        <v>2512</v>
      </c>
      <c r="N14" s="26">
        <v>2632</v>
      </c>
      <c r="O14" s="26">
        <v>2800</v>
      </c>
      <c r="P14" s="26">
        <v>1750</v>
      </c>
      <c r="Q14" s="26">
        <v>120</v>
      </c>
      <c r="R14" s="26">
        <v>2800</v>
      </c>
      <c r="S14" s="26">
        <v>20</v>
      </c>
      <c r="T14" s="26">
        <v>4000</v>
      </c>
      <c r="U14" s="26">
        <v>16</v>
      </c>
      <c r="V14" s="26">
        <v>28</v>
      </c>
      <c r="W14" s="26">
        <v>25</v>
      </c>
      <c r="X14" s="26">
        <v>25</v>
      </c>
      <c r="Y14" s="25" t="s">
        <v>73</v>
      </c>
      <c r="Z14" s="25" t="s">
        <v>301</v>
      </c>
      <c r="AA14" s="25" t="s">
        <v>73</v>
      </c>
      <c r="AB14" s="25" t="s">
        <v>78</v>
      </c>
      <c r="AC14" s="25" t="s">
        <v>73</v>
      </c>
      <c r="AD14" s="25" t="s">
        <v>336</v>
      </c>
      <c r="AE14" s="25"/>
      <c r="AF14" s="25"/>
      <c r="AG14" s="25" t="s">
        <v>75</v>
      </c>
      <c r="AH14" s="25" t="s">
        <v>80</v>
      </c>
      <c r="AI14" s="25"/>
      <c r="AJ14" s="25"/>
    </row>
    <row r="15" spans="1:37" ht="19.5" customHeight="1">
      <c r="A15" s="38">
        <v>13</v>
      </c>
      <c r="B15" s="38" t="s">
        <v>347</v>
      </c>
      <c r="C15" s="55">
        <v>1</v>
      </c>
      <c r="D15" s="55">
        <v>84000</v>
      </c>
      <c r="E15" s="55">
        <v>84000</v>
      </c>
      <c r="F15" s="55">
        <v>105000</v>
      </c>
      <c r="G15" s="55">
        <v>105000</v>
      </c>
      <c r="H15" s="60">
        <v>3500</v>
      </c>
      <c r="I15" s="60">
        <v>2100000</v>
      </c>
      <c r="J15" s="63">
        <v>2000</v>
      </c>
      <c r="K15" s="63">
        <v>2000</v>
      </c>
      <c r="L15" s="27">
        <v>0</v>
      </c>
      <c r="M15" s="27">
        <f t="shared" si="0"/>
        <v>2487</v>
      </c>
      <c r="N15" s="26">
        <v>2607</v>
      </c>
      <c r="O15" s="26">
        <v>2800</v>
      </c>
      <c r="P15" s="26">
        <v>1750</v>
      </c>
      <c r="Q15" s="26">
        <v>120</v>
      </c>
      <c r="R15" s="26">
        <v>2800</v>
      </c>
      <c r="S15" s="26">
        <v>20</v>
      </c>
      <c r="T15" s="26">
        <v>4000</v>
      </c>
      <c r="U15" s="26">
        <v>16</v>
      </c>
      <c r="V15" s="26">
        <v>28</v>
      </c>
      <c r="W15" s="26">
        <v>25</v>
      </c>
      <c r="X15" s="26">
        <v>25</v>
      </c>
      <c r="Y15" s="25" t="s">
        <v>73</v>
      </c>
      <c r="Z15" s="25" t="s">
        <v>302</v>
      </c>
      <c r="AA15" s="25" t="s">
        <v>73</v>
      </c>
      <c r="AB15" s="25" t="s">
        <v>78</v>
      </c>
      <c r="AC15" s="25" t="s">
        <v>73</v>
      </c>
      <c r="AD15" s="25" t="s">
        <v>336</v>
      </c>
      <c r="AE15" s="25"/>
      <c r="AF15" s="25"/>
      <c r="AG15" s="25" t="s">
        <v>75</v>
      </c>
      <c r="AH15" s="25" t="s">
        <v>80</v>
      </c>
      <c r="AI15" s="25"/>
      <c r="AJ15" s="25"/>
    </row>
    <row r="16" spans="1:37">
      <c r="A16" s="37">
        <v>14</v>
      </c>
      <c r="B16" s="37" t="s">
        <v>348</v>
      </c>
      <c r="C16" s="54">
        <v>1</v>
      </c>
      <c r="D16" s="54">
        <v>84000</v>
      </c>
      <c r="E16" s="54">
        <v>84000</v>
      </c>
      <c r="F16" s="54">
        <v>105000</v>
      </c>
      <c r="G16" s="54">
        <v>105000</v>
      </c>
      <c r="H16" s="59">
        <v>3500</v>
      </c>
      <c r="I16" s="59">
        <v>2100000</v>
      </c>
      <c r="J16" s="62">
        <v>2000</v>
      </c>
      <c r="K16" s="62">
        <v>2000</v>
      </c>
      <c r="L16" s="33">
        <v>0</v>
      </c>
      <c r="M16" s="33">
        <f t="shared" si="0"/>
        <v>2462</v>
      </c>
      <c r="N16" s="34">
        <v>2582</v>
      </c>
      <c r="O16" s="34">
        <v>2800</v>
      </c>
      <c r="P16" s="34">
        <v>1750</v>
      </c>
      <c r="Q16" s="34">
        <v>120</v>
      </c>
      <c r="R16" s="34">
        <v>2800</v>
      </c>
      <c r="S16" s="34">
        <v>20</v>
      </c>
      <c r="T16" s="34">
        <v>4000</v>
      </c>
      <c r="U16" s="34">
        <v>16</v>
      </c>
      <c r="V16" s="34">
        <v>28</v>
      </c>
      <c r="W16" s="34">
        <v>25</v>
      </c>
      <c r="X16" s="34">
        <v>25</v>
      </c>
      <c r="Y16" s="35" t="s">
        <v>73</v>
      </c>
      <c r="Z16" s="35" t="s">
        <v>303</v>
      </c>
      <c r="AA16" s="35" t="s">
        <v>73</v>
      </c>
      <c r="AB16" s="35" t="s">
        <v>78</v>
      </c>
      <c r="AC16" s="35" t="s">
        <v>73</v>
      </c>
      <c r="AD16" s="35" t="s">
        <v>336</v>
      </c>
      <c r="AE16" s="25"/>
      <c r="AF16" s="25"/>
      <c r="AG16" s="25" t="s">
        <v>75</v>
      </c>
      <c r="AH16" s="25" t="s">
        <v>80</v>
      </c>
      <c r="AI16" s="25"/>
      <c r="AJ16" s="25"/>
    </row>
    <row r="17" spans="1:36">
      <c r="A17" s="38">
        <v>15</v>
      </c>
      <c r="B17" s="38" t="s">
        <v>349</v>
      </c>
      <c r="C17" s="55">
        <v>1</v>
      </c>
      <c r="D17" s="55">
        <v>84000</v>
      </c>
      <c r="E17" s="55">
        <v>84000</v>
      </c>
      <c r="F17" s="55">
        <v>105000</v>
      </c>
      <c r="G17" s="55">
        <v>105000</v>
      </c>
      <c r="H17" s="60">
        <v>3500</v>
      </c>
      <c r="I17" s="60">
        <v>2100000</v>
      </c>
      <c r="J17" s="63">
        <v>2000</v>
      </c>
      <c r="K17" s="63">
        <v>2000</v>
      </c>
      <c r="L17" s="27">
        <v>0</v>
      </c>
      <c r="M17" s="27">
        <f t="shared" si="0"/>
        <v>2437</v>
      </c>
      <c r="N17" s="26">
        <v>2557</v>
      </c>
      <c r="O17" s="26">
        <v>2800</v>
      </c>
      <c r="P17" s="26">
        <v>1750</v>
      </c>
      <c r="Q17" s="26">
        <v>120</v>
      </c>
      <c r="R17" s="26">
        <v>2800</v>
      </c>
      <c r="S17" s="26">
        <v>20</v>
      </c>
      <c r="T17" s="26">
        <v>4000</v>
      </c>
      <c r="U17" s="26">
        <v>16</v>
      </c>
      <c r="V17" s="26">
        <v>28</v>
      </c>
      <c r="W17" s="26">
        <v>25</v>
      </c>
      <c r="X17" s="26">
        <v>25</v>
      </c>
      <c r="Y17" s="25" t="s">
        <v>73</v>
      </c>
      <c r="Z17" s="25" t="s">
        <v>304</v>
      </c>
      <c r="AA17" s="25" t="s">
        <v>73</v>
      </c>
      <c r="AB17" s="25" t="s">
        <v>78</v>
      </c>
      <c r="AC17" s="25" t="s">
        <v>73</v>
      </c>
      <c r="AD17" s="25" t="s">
        <v>336</v>
      </c>
      <c r="AE17" s="25"/>
      <c r="AF17" s="25"/>
      <c r="AG17" s="25" t="s">
        <v>75</v>
      </c>
      <c r="AH17" s="25" t="s">
        <v>80</v>
      </c>
      <c r="AI17" s="25"/>
      <c r="AJ17" s="25"/>
    </row>
    <row r="18" spans="1:36">
      <c r="A18" s="38">
        <v>16</v>
      </c>
      <c r="B18" s="38" t="s">
        <v>350</v>
      </c>
      <c r="C18" s="55">
        <v>1</v>
      </c>
      <c r="D18" s="55">
        <v>84000</v>
      </c>
      <c r="E18" s="55">
        <v>84000</v>
      </c>
      <c r="F18" s="55">
        <v>105000</v>
      </c>
      <c r="G18" s="55">
        <v>105000</v>
      </c>
      <c r="H18" s="60">
        <v>3500</v>
      </c>
      <c r="I18" s="60">
        <v>2100000</v>
      </c>
      <c r="J18" s="63">
        <v>2000</v>
      </c>
      <c r="K18" s="63">
        <v>2000</v>
      </c>
      <c r="L18" s="27">
        <v>0</v>
      </c>
      <c r="M18" s="27">
        <f t="shared" si="0"/>
        <v>2412</v>
      </c>
      <c r="N18" s="26">
        <v>2532</v>
      </c>
      <c r="O18" s="26">
        <v>2800</v>
      </c>
      <c r="P18" s="26">
        <v>1750</v>
      </c>
      <c r="Q18" s="26">
        <v>120</v>
      </c>
      <c r="R18" s="26">
        <v>2800</v>
      </c>
      <c r="S18" s="26">
        <v>20</v>
      </c>
      <c r="T18" s="26">
        <v>4000</v>
      </c>
      <c r="U18" s="26">
        <v>16</v>
      </c>
      <c r="V18" s="26">
        <v>28</v>
      </c>
      <c r="W18" s="26">
        <v>25</v>
      </c>
      <c r="X18" s="26">
        <v>25</v>
      </c>
      <c r="Y18" s="25" t="s">
        <v>73</v>
      </c>
      <c r="Z18" s="25" t="s">
        <v>305</v>
      </c>
      <c r="AA18" s="25" t="s">
        <v>73</v>
      </c>
      <c r="AB18" s="25" t="s">
        <v>78</v>
      </c>
      <c r="AC18" s="25" t="s">
        <v>73</v>
      </c>
      <c r="AD18" s="25" t="s">
        <v>336</v>
      </c>
      <c r="AE18" s="25"/>
      <c r="AF18" s="25"/>
      <c r="AG18" s="25" t="s">
        <v>75</v>
      </c>
      <c r="AH18" s="25" t="s">
        <v>80</v>
      </c>
      <c r="AI18" s="25"/>
      <c r="AJ18" s="25"/>
    </row>
    <row r="19" spans="1:36">
      <c r="A19" s="38">
        <v>17</v>
      </c>
      <c r="B19" s="38" t="s">
        <v>351</v>
      </c>
      <c r="C19" s="55">
        <v>1</v>
      </c>
      <c r="D19" s="55">
        <v>84000</v>
      </c>
      <c r="E19" s="55">
        <v>84000</v>
      </c>
      <c r="F19" s="55">
        <v>105000</v>
      </c>
      <c r="G19" s="55">
        <v>105000</v>
      </c>
      <c r="H19" s="60">
        <v>3500</v>
      </c>
      <c r="I19" s="60">
        <v>2100000</v>
      </c>
      <c r="J19" s="63">
        <v>2000</v>
      </c>
      <c r="K19" s="63">
        <v>2000</v>
      </c>
      <c r="L19" s="27">
        <v>0</v>
      </c>
      <c r="M19" s="27">
        <f t="shared" si="0"/>
        <v>2387</v>
      </c>
      <c r="N19" s="26">
        <v>2507</v>
      </c>
      <c r="O19" s="26">
        <v>2800</v>
      </c>
      <c r="P19" s="26">
        <v>1750</v>
      </c>
      <c r="Q19" s="26">
        <v>120</v>
      </c>
      <c r="R19" s="26">
        <v>2800</v>
      </c>
      <c r="S19" s="26">
        <v>20</v>
      </c>
      <c r="T19" s="26">
        <v>4000</v>
      </c>
      <c r="U19" s="26">
        <v>16</v>
      </c>
      <c r="V19" s="26">
        <v>28</v>
      </c>
      <c r="W19" s="26">
        <v>25</v>
      </c>
      <c r="X19" s="26">
        <v>25</v>
      </c>
      <c r="Y19" s="25" t="s">
        <v>73</v>
      </c>
      <c r="Z19" s="25" t="s">
        <v>306</v>
      </c>
      <c r="AA19" s="25" t="s">
        <v>73</v>
      </c>
      <c r="AB19" s="25" t="s">
        <v>78</v>
      </c>
      <c r="AC19" s="25" t="s">
        <v>73</v>
      </c>
      <c r="AD19" s="25" t="s">
        <v>336</v>
      </c>
      <c r="AE19" s="25"/>
      <c r="AF19" s="25"/>
      <c r="AG19" s="25" t="s">
        <v>75</v>
      </c>
      <c r="AH19" s="25" t="s">
        <v>80</v>
      </c>
      <c r="AI19" s="25"/>
      <c r="AJ19" s="25"/>
    </row>
    <row r="20" spans="1:36">
      <c r="A20" s="37">
        <v>18</v>
      </c>
      <c r="B20" s="37" t="s">
        <v>352</v>
      </c>
      <c r="C20" s="54">
        <v>1</v>
      </c>
      <c r="D20" s="54">
        <v>84000</v>
      </c>
      <c r="E20" s="54">
        <v>84000</v>
      </c>
      <c r="F20" s="54">
        <v>105000</v>
      </c>
      <c r="G20" s="54">
        <v>105000</v>
      </c>
      <c r="H20" s="59">
        <v>3500</v>
      </c>
      <c r="I20" s="59">
        <v>2100000</v>
      </c>
      <c r="J20" s="62">
        <v>2000</v>
      </c>
      <c r="K20" s="62">
        <v>2000</v>
      </c>
      <c r="L20" s="33">
        <v>0</v>
      </c>
      <c r="M20" s="33">
        <f t="shared" si="0"/>
        <v>2362</v>
      </c>
      <c r="N20" s="34">
        <v>2482</v>
      </c>
      <c r="O20" s="34">
        <v>2800</v>
      </c>
      <c r="P20" s="34">
        <v>1750</v>
      </c>
      <c r="Q20" s="34">
        <v>120</v>
      </c>
      <c r="R20" s="34">
        <v>2800</v>
      </c>
      <c r="S20" s="34">
        <v>20</v>
      </c>
      <c r="T20" s="34">
        <v>4002</v>
      </c>
      <c r="U20" s="34">
        <v>16</v>
      </c>
      <c r="V20" s="34">
        <v>28</v>
      </c>
      <c r="W20" s="34">
        <v>25</v>
      </c>
      <c r="X20" s="34">
        <v>25</v>
      </c>
      <c r="Y20" s="35" t="s">
        <v>73</v>
      </c>
      <c r="Z20" s="35" t="s">
        <v>307</v>
      </c>
      <c r="AA20" s="35" t="s">
        <v>73</v>
      </c>
      <c r="AB20" s="35" t="s">
        <v>78</v>
      </c>
      <c r="AC20" s="35" t="s">
        <v>73</v>
      </c>
      <c r="AD20" s="35" t="s">
        <v>336</v>
      </c>
      <c r="AE20" s="25"/>
      <c r="AF20" s="25"/>
      <c r="AG20" s="25" t="s">
        <v>75</v>
      </c>
      <c r="AH20" s="25" t="s">
        <v>80</v>
      </c>
      <c r="AI20" s="25"/>
      <c r="AJ20" s="25"/>
    </row>
    <row r="21" spans="1:36">
      <c r="A21" s="37">
        <v>19</v>
      </c>
      <c r="B21" s="37" t="s">
        <v>540</v>
      </c>
      <c r="C21" s="54">
        <v>1</v>
      </c>
      <c r="D21" s="54">
        <v>84000</v>
      </c>
      <c r="E21" s="54">
        <v>84000</v>
      </c>
      <c r="F21" s="54">
        <v>105000</v>
      </c>
      <c r="G21" s="54">
        <v>105000</v>
      </c>
      <c r="H21" s="59">
        <v>3500</v>
      </c>
      <c r="I21" s="59">
        <v>2100000</v>
      </c>
      <c r="J21" s="62">
        <v>2000</v>
      </c>
      <c r="K21" s="62">
        <v>2000</v>
      </c>
      <c r="L21" s="33">
        <v>0</v>
      </c>
      <c r="M21" s="33">
        <f t="shared" si="0"/>
        <v>2362</v>
      </c>
      <c r="N21" s="34">
        <v>2482</v>
      </c>
      <c r="O21" s="34">
        <v>2800</v>
      </c>
      <c r="P21" s="34">
        <v>1750</v>
      </c>
      <c r="Q21" s="34">
        <v>120</v>
      </c>
      <c r="R21" s="34">
        <v>2800</v>
      </c>
      <c r="S21" s="34">
        <v>20</v>
      </c>
      <c r="T21" s="34">
        <v>4002</v>
      </c>
      <c r="U21" s="34">
        <v>16</v>
      </c>
      <c r="V21" s="34">
        <v>32</v>
      </c>
      <c r="W21" s="34">
        <v>25</v>
      </c>
      <c r="X21" s="34">
        <v>25</v>
      </c>
      <c r="Y21" s="35" t="s">
        <v>73</v>
      </c>
      <c r="Z21" s="35" t="s">
        <v>308</v>
      </c>
      <c r="AA21" s="35" t="s">
        <v>73</v>
      </c>
      <c r="AB21" s="35" t="s">
        <v>78</v>
      </c>
      <c r="AC21" s="35" t="s">
        <v>73</v>
      </c>
      <c r="AD21" s="35" t="s">
        <v>336</v>
      </c>
      <c r="AE21" s="25"/>
      <c r="AF21" s="25"/>
      <c r="AG21" s="25" t="s">
        <v>75</v>
      </c>
      <c r="AH21" s="25" t="s">
        <v>80</v>
      </c>
      <c r="AI21" s="25"/>
      <c r="AJ21" s="25"/>
    </row>
    <row r="22" spans="1:36">
      <c r="A22" s="38">
        <v>20</v>
      </c>
      <c r="B22" s="38" t="s">
        <v>541</v>
      </c>
      <c r="C22" s="55">
        <v>1</v>
      </c>
      <c r="D22" s="55">
        <v>84000</v>
      </c>
      <c r="E22" s="55">
        <v>84000</v>
      </c>
      <c r="F22" s="55">
        <v>105000</v>
      </c>
      <c r="G22" s="55">
        <v>105000</v>
      </c>
      <c r="H22" s="60">
        <v>3500</v>
      </c>
      <c r="I22" s="60">
        <v>2100000</v>
      </c>
      <c r="J22" s="63">
        <v>2000</v>
      </c>
      <c r="K22" s="63">
        <v>2000</v>
      </c>
      <c r="L22" s="27">
        <v>0</v>
      </c>
      <c r="M22" s="27">
        <f t="shared" si="0"/>
        <v>2337</v>
      </c>
      <c r="N22" s="26">
        <v>2457</v>
      </c>
      <c r="O22" s="26">
        <v>2800</v>
      </c>
      <c r="P22" s="26">
        <v>1750</v>
      </c>
      <c r="Q22" s="26">
        <v>120</v>
      </c>
      <c r="R22" s="26">
        <v>2800</v>
      </c>
      <c r="S22" s="26">
        <v>20</v>
      </c>
      <c r="T22" s="26">
        <v>4008</v>
      </c>
      <c r="U22" s="26">
        <v>16</v>
      </c>
      <c r="V22" s="26">
        <v>32</v>
      </c>
      <c r="W22" s="26">
        <v>25</v>
      </c>
      <c r="X22" s="26">
        <v>25</v>
      </c>
      <c r="Y22" s="25" t="s">
        <v>73</v>
      </c>
      <c r="Z22" s="25" t="s">
        <v>309</v>
      </c>
      <c r="AA22" s="25" t="s">
        <v>73</v>
      </c>
      <c r="AB22" s="25" t="s">
        <v>78</v>
      </c>
      <c r="AC22" s="25" t="s">
        <v>73</v>
      </c>
      <c r="AD22" s="25" t="s">
        <v>336</v>
      </c>
      <c r="AE22" s="25"/>
      <c r="AF22" s="25"/>
      <c r="AG22" s="25" t="s">
        <v>75</v>
      </c>
      <c r="AH22" s="25" t="s">
        <v>80</v>
      </c>
      <c r="AI22" s="25"/>
      <c r="AJ22" s="25"/>
    </row>
    <row r="23" spans="1:36">
      <c r="A23" s="38">
        <v>21</v>
      </c>
      <c r="B23" s="38" t="s">
        <v>353</v>
      </c>
      <c r="C23" s="55">
        <v>1</v>
      </c>
      <c r="D23" s="55">
        <v>84000</v>
      </c>
      <c r="E23" s="55">
        <v>84000</v>
      </c>
      <c r="F23" s="55">
        <v>105000</v>
      </c>
      <c r="G23" s="55">
        <v>105000</v>
      </c>
      <c r="H23" s="60">
        <v>3500</v>
      </c>
      <c r="I23" s="60">
        <v>2100000</v>
      </c>
      <c r="J23" s="63">
        <v>2000</v>
      </c>
      <c r="K23" s="63">
        <v>2000</v>
      </c>
      <c r="L23" s="27">
        <v>0</v>
      </c>
      <c r="M23" s="27">
        <f t="shared" si="0"/>
        <v>2312</v>
      </c>
      <c r="N23" s="26">
        <v>2432</v>
      </c>
      <c r="O23" s="26">
        <v>2800</v>
      </c>
      <c r="P23" s="26">
        <v>1750</v>
      </c>
      <c r="Q23" s="26">
        <v>120</v>
      </c>
      <c r="R23" s="26">
        <v>2800</v>
      </c>
      <c r="S23" s="26">
        <v>20</v>
      </c>
      <c r="T23" s="26">
        <v>4018</v>
      </c>
      <c r="U23" s="26">
        <v>16</v>
      </c>
      <c r="V23" s="26">
        <v>32</v>
      </c>
      <c r="W23" s="26">
        <v>25</v>
      </c>
      <c r="X23" s="26">
        <v>25</v>
      </c>
      <c r="Y23" s="25" t="s">
        <v>73</v>
      </c>
      <c r="Z23" s="25" t="s">
        <v>310</v>
      </c>
      <c r="AA23" s="25" t="s">
        <v>73</v>
      </c>
      <c r="AB23" s="25" t="s">
        <v>78</v>
      </c>
      <c r="AC23" s="25" t="s">
        <v>73</v>
      </c>
      <c r="AD23" s="25" t="s">
        <v>336</v>
      </c>
      <c r="AE23" s="25"/>
      <c r="AF23" s="25"/>
      <c r="AG23" s="25" t="s">
        <v>75</v>
      </c>
      <c r="AH23" s="25" t="s">
        <v>80</v>
      </c>
      <c r="AI23" s="25"/>
      <c r="AJ23" s="25"/>
    </row>
    <row r="24" spans="1:36">
      <c r="A24" s="38">
        <v>22</v>
      </c>
      <c r="B24" s="38" t="s">
        <v>354</v>
      </c>
      <c r="C24" s="55">
        <v>1</v>
      </c>
      <c r="D24" s="55">
        <v>84000</v>
      </c>
      <c r="E24" s="55">
        <v>84000</v>
      </c>
      <c r="F24" s="55">
        <v>105000</v>
      </c>
      <c r="G24" s="55">
        <v>105000</v>
      </c>
      <c r="H24" s="60">
        <v>3500</v>
      </c>
      <c r="I24" s="60">
        <v>2100000</v>
      </c>
      <c r="J24" s="63">
        <v>2000</v>
      </c>
      <c r="K24" s="63">
        <v>2000</v>
      </c>
      <c r="L24" s="27">
        <v>0</v>
      </c>
      <c r="M24" s="27">
        <f t="shared" si="0"/>
        <v>2287</v>
      </c>
      <c r="N24" s="26">
        <v>2407</v>
      </c>
      <c r="O24" s="26">
        <v>2800</v>
      </c>
      <c r="P24" s="26">
        <v>1750</v>
      </c>
      <c r="Q24" s="26">
        <v>120</v>
      </c>
      <c r="R24" s="26">
        <v>2800</v>
      </c>
      <c r="S24" s="26">
        <v>20</v>
      </c>
      <c r="T24" s="26">
        <v>4032</v>
      </c>
      <c r="U24" s="26">
        <v>16</v>
      </c>
      <c r="V24" s="26">
        <v>32</v>
      </c>
      <c r="W24" s="26">
        <v>25</v>
      </c>
      <c r="X24" s="26">
        <v>25</v>
      </c>
      <c r="Y24" s="25" t="s">
        <v>73</v>
      </c>
      <c r="Z24" s="25" t="s">
        <v>311</v>
      </c>
      <c r="AA24" s="25" t="s">
        <v>73</v>
      </c>
      <c r="AB24" s="25" t="s">
        <v>78</v>
      </c>
      <c r="AC24" s="25" t="s">
        <v>73</v>
      </c>
      <c r="AD24" s="25" t="s">
        <v>336</v>
      </c>
      <c r="AE24" s="25"/>
      <c r="AF24" s="25"/>
      <c r="AG24" s="25" t="s">
        <v>75</v>
      </c>
      <c r="AH24" s="25" t="s">
        <v>80</v>
      </c>
      <c r="AI24" s="25"/>
      <c r="AJ24" s="25"/>
    </row>
    <row r="25" spans="1:36">
      <c r="A25" s="37">
        <v>23</v>
      </c>
      <c r="B25" s="37" t="s">
        <v>355</v>
      </c>
      <c r="C25" s="54">
        <v>1</v>
      </c>
      <c r="D25" s="54">
        <v>84000</v>
      </c>
      <c r="E25" s="54">
        <v>84000</v>
      </c>
      <c r="F25" s="54">
        <v>105000</v>
      </c>
      <c r="G25" s="54">
        <v>105000</v>
      </c>
      <c r="H25" s="59">
        <v>3500</v>
      </c>
      <c r="I25" s="59">
        <v>2100000</v>
      </c>
      <c r="J25" s="62">
        <v>2000</v>
      </c>
      <c r="K25" s="62">
        <v>2000</v>
      </c>
      <c r="L25" s="33">
        <v>0</v>
      </c>
      <c r="M25" s="33">
        <f t="shared" si="0"/>
        <v>2262</v>
      </c>
      <c r="N25" s="34">
        <v>2382</v>
      </c>
      <c r="O25" s="34">
        <v>2800</v>
      </c>
      <c r="P25" s="34">
        <v>1750</v>
      </c>
      <c r="Q25" s="34">
        <v>120</v>
      </c>
      <c r="R25" s="34">
        <v>2800</v>
      </c>
      <c r="S25" s="34">
        <v>20</v>
      </c>
      <c r="T25" s="34">
        <v>4049</v>
      </c>
      <c r="U25" s="34">
        <v>16</v>
      </c>
      <c r="V25" s="34">
        <v>35</v>
      </c>
      <c r="W25" s="34">
        <v>25</v>
      </c>
      <c r="X25" s="34">
        <v>25</v>
      </c>
      <c r="Y25" s="35" t="s">
        <v>73</v>
      </c>
      <c r="Z25" s="35" t="s">
        <v>312</v>
      </c>
      <c r="AA25" s="35" t="s">
        <v>73</v>
      </c>
      <c r="AB25" s="35" t="s">
        <v>78</v>
      </c>
      <c r="AC25" s="35" t="s">
        <v>73</v>
      </c>
      <c r="AD25" s="35" t="s">
        <v>336</v>
      </c>
      <c r="AE25" s="25"/>
      <c r="AF25" s="25"/>
      <c r="AG25" s="25" t="s">
        <v>75</v>
      </c>
      <c r="AH25" s="25" t="s">
        <v>80</v>
      </c>
      <c r="AI25" s="25"/>
      <c r="AJ25" s="25"/>
    </row>
    <row r="26" spans="1:36">
      <c r="A26" s="38">
        <v>24</v>
      </c>
      <c r="B26" s="38" t="s">
        <v>356</v>
      </c>
      <c r="C26" s="55">
        <v>1</v>
      </c>
      <c r="D26" s="55">
        <v>84000</v>
      </c>
      <c r="E26" s="55">
        <v>84000</v>
      </c>
      <c r="F26" s="55">
        <v>105000</v>
      </c>
      <c r="G26" s="55">
        <v>105000</v>
      </c>
      <c r="H26" s="60">
        <v>3500</v>
      </c>
      <c r="I26" s="60">
        <v>2100000</v>
      </c>
      <c r="J26" s="63">
        <v>2000</v>
      </c>
      <c r="K26" s="63">
        <v>2000</v>
      </c>
      <c r="L26" s="27">
        <v>0</v>
      </c>
      <c r="M26" s="27">
        <f t="shared" si="0"/>
        <v>2237</v>
      </c>
      <c r="N26" s="26">
        <v>2357</v>
      </c>
      <c r="O26" s="26">
        <v>2800</v>
      </c>
      <c r="P26" s="26">
        <v>1750</v>
      </c>
      <c r="Q26" s="26">
        <v>120</v>
      </c>
      <c r="R26" s="26">
        <v>2800</v>
      </c>
      <c r="S26" s="26">
        <v>20</v>
      </c>
      <c r="T26" s="26">
        <v>4071</v>
      </c>
      <c r="U26" s="26">
        <v>16</v>
      </c>
      <c r="V26" s="26">
        <v>35</v>
      </c>
      <c r="W26" s="26">
        <v>25</v>
      </c>
      <c r="X26" s="26">
        <v>25</v>
      </c>
      <c r="Y26" s="25" t="s">
        <v>73</v>
      </c>
      <c r="Z26" s="25" t="s">
        <v>313</v>
      </c>
      <c r="AA26" s="25" t="s">
        <v>73</v>
      </c>
      <c r="AB26" s="25" t="s">
        <v>78</v>
      </c>
      <c r="AC26" s="25" t="s">
        <v>73</v>
      </c>
      <c r="AD26" s="25" t="s">
        <v>336</v>
      </c>
      <c r="AE26" s="25"/>
      <c r="AF26" s="25"/>
      <c r="AG26" s="25" t="s">
        <v>75</v>
      </c>
      <c r="AH26" s="25" t="s">
        <v>80</v>
      </c>
      <c r="AI26" s="25"/>
      <c r="AJ26" s="25"/>
    </row>
    <row r="27" spans="1:36">
      <c r="A27" s="38">
        <v>25</v>
      </c>
      <c r="B27" s="38" t="s">
        <v>357</v>
      </c>
      <c r="C27" s="55">
        <v>1</v>
      </c>
      <c r="D27" s="55">
        <v>84000</v>
      </c>
      <c r="E27" s="55">
        <v>84000</v>
      </c>
      <c r="F27" s="55">
        <v>105000</v>
      </c>
      <c r="G27" s="55">
        <v>105000</v>
      </c>
      <c r="H27" s="60">
        <v>3500</v>
      </c>
      <c r="I27" s="60">
        <v>2100000</v>
      </c>
      <c r="J27" s="63">
        <v>2000</v>
      </c>
      <c r="K27" s="63">
        <v>2000</v>
      </c>
      <c r="L27" s="27">
        <v>0</v>
      </c>
      <c r="M27" s="27">
        <f t="shared" si="0"/>
        <v>2212</v>
      </c>
      <c r="N27" s="26">
        <v>2332</v>
      </c>
      <c r="O27" s="26">
        <v>2800</v>
      </c>
      <c r="P27" s="26">
        <v>1750</v>
      </c>
      <c r="Q27" s="26">
        <v>120</v>
      </c>
      <c r="R27" s="26">
        <v>2800</v>
      </c>
      <c r="S27" s="26">
        <v>20</v>
      </c>
      <c r="T27" s="26">
        <v>4097</v>
      </c>
      <c r="U27" s="26">
        <v>16</v>
      </c>
      <c r="V27" s="26">
        <v>35</v>
      </c>
      <c r="W27" s="26">
        <v>25</v>
      </c>
      <c r="X27" s="26">
        <v>25</v>
      </c>
      <c r="Y27" s="25" t="s">
        <v>73</v>
      </c>
      <c r="Z27" s="25" t="s">
        <v>314</v>
      </c>
      <c r="AA27" s="25" t="s">
        <v>73</v>
      </c>
      <c r="AB27" s="25" t="s">
        <v>78</v>
      </c>
      <c r="AC27" s="25" t="s">
        <v>73</v>
      </c>
      <c r="AD27" s="25" t="s">
        <v>336</v>
      </c>
      <c r="AE27" s="25"/>
      <c r="AF27" s="25"/>
      <c r="AG27" s="25" t="s">
        <v>75</v>
      </c>
      <c r="AH27" s="25" t="s">
        <v>80</v>
      </c>
      <c r="AI27" s="25"/>
      <c r="AJ27" s="25"/>
    </row>
    <row r="28" spans="1:36">
      <c r="A28" s="38">
        <v>26</v>
      </c>
      <c r="B28" s="38" t="s">
        <v>358</v>
      </c>
      <c r="C28" s="55">
        <v>1</v>
      </c>
      <c r="D28" s="55">
        <v>84000</v>
      </c>
      <c r="E28" s="55">
        <v>84000</v>
      </c>
      <c r="F28" s="55">
        <v>105000</v>
      </c>
      <c r="G28" s="55">
        <v>105000</v>
      </c>
      <c r="H28" s="60">
        <v>3500</v>
      </c>
      <c r="I28" s="60">
        <v>2100000</v>
      </c>
      <c r="J28" s="63">
        <v>2000</v>
      </c>
      <c r="K28" s="63">
        <v>2000</v>
      </c>
      <c r="L28" s="27">
        <v>0</v>
      </c>
      <c r="M28" s="27">
        <f t="shared" si="0"/>
        <v>2187</v>
      </c>
      <c r="N28" s="26">
        <v>2307</v>
      </c>
      <c r="O28" s="26">
        <v>2800</v>
      </c>
      <c r="P28" s="26">
        <v>1750</v>
      </c>
      <c r="Q28" s="26">
        <v>120</v>
      </c>
      <c r="R28" s="26">
        <v>2800</v>
      </c>
      <c r="S28" s="26">
        <v>20</v>
      </c>
      <c r="T28" s="26">
        <v>4126</v>
      </c>
      <c r="U28" s="26">
        <v>16</v>
      </c>
      <c r="V28" s="26">
        <v>35</v>
      </c>
      <c r="W28" s="26">
        <v>25</v>
      </c>
      <c r="X28" s="26">
        <v>25</v>
      </c>
      <c r="Y28" s="25" t="s">
        <v>73</v>
      </c>
      <c r="Z28" s="25" t="s">
        <v>315</v>
      </c>
      <c r="AA28" s="25" t="s">
        <v>73</v>
      </c>
      <c r="AB28" s="25" t="s">
        <v>78</v>
      </c>
      <c r="AC28" s="25" t="s">
        <v>73</v>
      </c>
      <c r="AD28" s="25" t="s">
        <v>336</v>
      </c>
      <c r="AE28" s="25"/>
      <c r="AF28" s="25"/>
      <c r="AG28" s="25" t="s">
        <v>75</v>
      </c>
      <c r="AH28" s="25" t="s">
        <v>80</v>
      </c>
      <c r="AI28" s="25"/>
      <c r="AJ28" s="25"/>
    </row>
    <row r="29" spans="1:36">
      <c r="A29" s="37">
        <v>27</v>
      </c>
      <c r="B29" s="37" t="s">
        <v>359</v>
      </c>
      <c r="C29" s="54">
        <v>1</v>
      </c>
      <c r="D29" s="54">
        <v>84000</v>
      </c>
      <c r="E29" s="54">
        <v>84000</v>
      </c>
      <c r="F29" s="54">
        <v>105000</v>
      </c>
      <c r="G29" s="54">
        <v>105000</v>
      </c>
      <c r="H29" s="59">
        <v>3500</v>
      </c>
      <c r="I29" s="59">
        <v>2100000</v>
      </c>
      <c r="J29" s="62">
        <v>2000</v>
      </c>
      <c r="K29" s="62">
        <v>2000</v>
      </c>
      <c r="L29" s="33">
        <v>0</v>
      </c>
      <c r="M29" s="33">
        <f t="shared" si="0"/>
        <v>2162</v>
      </c>
      <c r="N29" s="34">
        <v>2282</v>
      </c>
      <c r="O29" s="34">
        <v>2800</v>
      </c>
      <c r="P29" s="34">
        <v>1750</v>
      </c>
      <c r="Q29" s="34">
        <v>120</v>
      </c>
      <c r="R29" s="34">
        <v>2800</v>
      </c>
      <c r="S29" s="34">
        <v>20</v>
      </c>
      <c r="T29" s="34">
        <v>4157</v>
      </c>
      <c r="U29" s="34">
        <v>16</v>
      </c>
      <c r="V29" s="34">
        <v>35</v>
      </c>
      <c r="W29" s="34">
        <v>25</v>
      </c>
      <c r="X29" s="34">
        <v>25</v>
      </c>
      <c r="Y29" s="35" t="s">
        <v>73</v>
      </c>
      <c r="Z29" s="35" t="s">
        <v>316</v>
      </c>
      <c r="AA29" s="35" t="s">
        <v>73</v>
      </c>
      <c r="AB29" s="35" t="s">
        <v>78</v>
      </c>
      <c r="AC29" s="35" t="s">
        <v>73</v>
      </c>
      <c r="AD29" s="35" t="s">
        <v>336</v>
      </c>
      <c r="AE29" s="25"/>
      <c r="AF29" s="25"/>
      <c r="AG29" s="25" t="s">
        <v>75</v>
      </c>
      <c r="AH29" s="25" t="s">
        <v>80</v>
      </c>
      <c r="AI29" s="25"/>
      <c r="AJ29" s="25"/>
    </row>
    <row r="30" spans="1:36">
      <c r="A30" s="37">
        <v>28</v>
      </c>
      <c r="B30" s="37" t="s">
        <v>542</v>
      </c>
      <c r="C30" s="54">
        <v>1</v>
      </c>
      <c r="D30" s="54">
        <v>84000</v>
      </c>
      <c r="E30" s="54">
        <v>84000</v>
      </c>
      <c r="F30" s="54">
        <v>105000</v>
      </c>
      <c r="G30" s="54">
        <v>105000</v>
      </c>
      <c r="H30" s="59">
        <v>3500</v>
      </c>
      <c r="I30" s="59">
        <v>2100000</v>
      </c>
      <c r="J30" s="62">
        <v>2000</v>
      </c>
      <c r="K30" s="62">
        <v>2000</v>
      </c>
      <c r="L30" s="33">
        <v>0</v>
      </c>
      <c r="M30" s="33">
        <f t="shared" si="0"/>
        <v>2162</v>
      </c>
      <c r="N30" s="34">
        <v>2282</v>
      </c>
      <c r="O30" s="34">
        <v>2800</v>
      </c>
      <c r="P30" s="34">
        <v>1750</v>
      </c>
      <c r="Q30" s="34">
        <v>120</v>
      </c>
      <c r="R30" s="34">
        <v>2800</v>
      </c>
      <c r="S30" s="34">
        <v>20</v>
      </c>
      <c r="T30" s="34">
        <v>4157</v>
      </c>
      <c r="U30" s="34">
        <v>16</v>
      </c>
      <c r="V30" s="34">
        <v>35</v>
      </c>
      <c r="W30" s="34">
        <v>25</v>
      </c>
      <c r="X30" s="34">
        <v>25</v>
      </c>
      <c r="Y30" s="35" t="s">
        <v>73</v>
      </c>
      <c r="Z30" s="35" t="s">
        <v>317</v>
      </c>
      <c r="AA30" s="35" t="s">
        <v>73</v>
      </c>
      <c r="AB30" s="35" t="s">
        <v>78</v>
      </c>
      <c r="AC30" s="35" t="s">
        <v>73</v>
      </c>
      <c r="AD30" s="35" t="s">
        <v>336</v>
      </c>
      <c r="AE30" s="25"/>
      <c r="AF30" s="25"/>
      <c r="AG30" s="25" t="s">
        <v>75</v>
      </c>
      <c r="AH30" s="25" t="s">
        <v>80</v>
      </c>
      <c r="AI30" s="25"/>
      <c r="AJ30" s="25"/>
    </row>
    <row r="31" spans="1:36">
      <c r="A31" s="38">
        <v>29</v>
      </c>
      <c r="B31" s="38" t="s">
        <v>543</v>
      </c>
      <c r="C31" s="55">
        <v>1</v>
      </c>
      <c r="D31" s="55">
        <v>84000</v>
      </c>
      <c r="E31" s="55">
        <v>84000</v>
      </c>
      <c r="F31" s="55">
        <v>105000</v>
      </c>
      <c r="G31" s="55">
        <v>105000</v>
      </c>
      <c r="H31" s="60">
        <v>3500</v>
      </c>
      <c r="I31" s="60">
        <v>2100000</v>
      </c>
      <c r="J31" s="63">
        <v>2000</v>
      </c>
      <c r="K31" s="63">
        <v>2000</v>
      </c>
      <c r="L31" s="27">
        <v>0</v>
      </c>
      <c r="M31" s="27">
        <f t="shared" si="0"/>
        <v>2136</v>
      </c>
      <c r="N31" s="26">
        <v>2256</v>
      </c>
      <c r="O31" s="26">
        <v>2800</v>
      </c>
      <c r="P31" s="26">
        <v>1750</v>
      </c>
      <c r="Q31" s="26">
        <v>120</v>
      </c>
      <c r="R31" s="26">
        <v>2800</v>
      </c>
      <c r="S31" s="26">
        <v>20</v>
      </c>
      <c r="T31" s="26">
        <v>4196</v>
      </c>
      <c r="U31" s="26">
        <v>16</v>
      </c>
      <c r="V31" s="26">
        <v>35</v>
      </c>
      <c r="W31" s="26">
        <v>25</v>
      </c>
      <c r="X31" s="26">
        <v>25</v>
      </c>
      <c r="Y31" s="25" t="s">
        <v>73</v>
      </c>
      <c r="Z31" s="25" t="s">
        <v>318</v>
      </c>
      <c r="AA31" s="25" t="s">
        <v>73</v>
      </c>
      <c r="AB31" s="25" t="s">
        <v>78</v>
      </c>
      <c r="AC31" s="25" t="s">
        <v>73</v>
      </c>
      <c r="AD31" s="25" t="s">
        <v>336</v>
      </c>
      <c r="AE31" s="25"/>
      <c r="AF31" s="25"/>
      <c r="AG31" s="25" t="s">
        <v>75</v>
      </c>
      <c r="AH31" s="25" t="s">
        <v>80</v>
      </c>
      <c r="AI31" s="25"/>
      <c r="AJ31" s="25"/>
    </row>
    <row r="32" spans="1:36">
      <c r="A32" s="38">
        <v>30</v>
      </c>
      <c r="B32" s="38" t="s">
        <v>360</v>
      </c>
      <c r="C32" s="55">
        <v>1</v>
      </c>
      <c r="D32" s="55">
        <v>84000</v>
      </c>
      <c r="E32" s="55">
        <v>84000</v>
      </c>
      <c r="F32" s="55">
        <v>105000</v>
      </c>
      <c r="G32" s="55">
        <v>105000</v>
      </c>
      <c r="H32" s="60">
        <v>3500</v>
      </c>
      <c r="I32" s="60">
        <v>2100000</v>
      </c>
      <c r="J32" s="63">
        <v>2000</v>
      </c>
      <c r="K32" s="63">
        <v>2000</v>
      </c>
      <c r="L32" s="27">
        <v>0</v>
      </c>
      <c r="M32" s="27">
        <f t="shared" si="0"/>
        <v>2110</v>
      </c>
      <c r="N32" s="26">
        <v>2230</v>
      </c>
      <c r="O32" s="26">
        <v>2800</v>
      </c>
      <c r="P32" s="26">
        <v>1750</v>
      </c>
      <c r="Q32" s="26">
        <v>120</v>
      </c>
      <c r="R32" s="26">
        <v>2800</v>
      </c>
      <c r="S32" s="26">
        <v>20</v>
      </c>
      <c r="T32" s="26">
        <v>4237</v>
      </c>
      <c r="U32" s="26">
        <v>16</v>
      </c>
      <c r="V32" s="26">
        <v>35</v>
      </c>
      <c r="W32" s="26">
        <v>25</v>
      </c>
      <c r="X32" s="26">
        <v>25</v>
      </c>
      <c r="Y32" s="25" t="s">
        <v>73</v>
      </c>
      <c r="Z32" s="25" t="s">
        <v>319</v>
      </c>
      <c r="AA32" s="25" t="s">
        <v>73</v>
      </c>
      <c r="AB32" s="25" t="s">
        <v>78</v>
      </c>
      <c r="AC32" s="25" t="s">
        <v>73</v>
      </c>
      <c r="AD32" s="25" t="s">
        <v>336</v>
      </c>
      <c r="AE32" s="25"/>
      <c r="AF32" s="25"/>
      <c r="AG32" s="25" t="s">
        <v>75</v>
      </c>
      <c r="AH32" s="25" t="s">
        <v>80</v>
      </c>
      <c r="AI32" s="25"/>
      <c r="AJ32" s="25"/>
    </row>
    <row r="33" spans="1:36">
      <c r="A33" s="38">
        <v>31</v>
      </c>
      <c r="B33" s="38" t="s">
        <v>361</v>
      </c>
      <c r="C33" s="55">
        <v>1</v>
      </c>
      <c r="D33" s="55">
        <v>84000</v>
      </c>
      <c r="E33" s="55">
        <v>84000</v>
      </c>
      <c r="F33" s="55">
        <v>105000</v>
      </c>
      <c r="G33" s="55">
        <v>105000</v>
      </c>
      <c r="H33" s="60">
        <v>3500</v>
      </c>
      <c r="I33" s="60">
        <v>2100000</v>
      </c>
      <c r="J33" s="63">
        <v>2000</v>
      </c>
      <c r="K33" s="63">
        <v>2000</v>
      </c>
      <c r="L33" s="27">
        <v>0</v>
      </c>
      <c r="M33" s="27">
        <f t="shared" si="0"/>
        <v>2084</v>
      </c>
      <c r="N33" s="26">
        <v>2204</v>
      </c>
      <c r="O33" s="26">
        <v>2800</v>
      </c>
      <c r="P33" s="26">
        <v>1750</v>
      </c>
      <c r="Q33" s="26">
        <v>120</v>
      </c>
      <c r="R33" s="26">
        <v>2800</v>
      </c>
      <c r="S33" s="26">
        <v>20</v>
      </c>
      <c r="T33" s="26">
        <v>4281</v>
      </c>
      <c r="U33" s="26">
        <v>16</v>
      </c>
      <c r="V33" s="26">
        <v>35</v>
      </c>
      <c r="W33" s="26">
        <v>25</v>
      </c>
      <c r="X33" s="26">
        <v>25</v>
      </c>
      <c r="Y33" s="25" t="s">
        <v>73</v>
      </c>
      <c r="Z33" s="25" t="s">
        <v>320</v>
      </c>
      <c r="AA33" s="25" t="s">
        <v>73</v>
      </c>
      <c r="AB33" s="25" t="s">
        <v>78</v>
      </c>
      <c r="AC33" s="25" t="s">
        <v>73</v>
      </c>
      <c r="AD33" s="25" t="s">
        <v>336</v>
      </c>
      <c r="AE33" s="25"/>
      <c r="AF33" s="25"/>
      <c r="AG33" s="25" t="s">
        <v>75</v>
      </c>
      <c r="AH33" s="25" t="s">
        <v>80</v>
      </c>
      <c r="AI33" s="25"/>
      <c r="AJ33" s="25"/>
    </row>
    <row r="34" spans="1:36">
      <c r="A34" s="37">
        <v>32</v>
      </c>
      <c r="B34" s="37" t="s">
        <v>362</v>
      </c>
      <c r="C34" s="54">
        <v>1</v>
      </c>
      <c r="D34" s="54">
        <v>84000</v>
      </c>
      <c r="E34" s="54">
        <v>84000</v>
      </c>
      <c r="F34" s="54">
        <v>105000</v>
      </c>
      <c r="G34" s="54">
        <v>105000</v>
      </c>
      <c r="H34" s="59">
        <v>3500</v>
      </c>
      <c r="I34" s="59">
        <v>2100000</v>
      </c>
      <c r="J34" s="62">
        <v>2000</v>
      </c>
      <c r="K34" s="62">
        <v>2000</v>
      </c>
      <c r="L34" s="33">
        <v>0</v>
      </c>
      <c r="M34" s="33">
        <f t="shared" si="0"/>
        <v>2058</v>
      </c>
      <c r="N34" s="34">
        <v>2178</v>
      </c>
      <c r="O34" s="34">
        <v>2800</v>
      </c>
      <c r="P34" s="34">
        <v>1750</v>
      </c>
      <c r="Q34" s="34">
        <v>120</v>
      </c>
      <c r="R34" s="34">
        <v>2800</v>
      </c>
      <c r="S34" s="34">
        <v>20</v>
      </c>
      <c r="T34" s="34">
        <v>4325</v>
      </c>
      <c r="U34" s="34">
        <v>16</v>
      </c>
      <c r="V34" s="34">
        <v>38</v>
      </c>
      <c r="W34" s="34">
        <v>25</v>
      </c>
      <c r="X34" s="34">
        <v>25</v>
      </c>
      <c r="Y34" s="35" t="s">
        <v>73</v>
      </c>
      <c r="Z34" s="35" t="s">
        <v>321</v>
      </c>
      <c r="AA34" s="35" t="s">
        <v>73</v>
      </c>
      <c r="AB34" s="35" t="s">
        <v>78</v>
      </c>
      <c r="AC34" s="35" t="s">
        <v>73</v>
      </c>
      <c r="AD34" s="35" t="s">
        <v>336</v>
      </c>
      <c r="AE34" s="25"/>
      <c r="AF34" s="25"/>
      <c r="AG34" s="25" t="s">
        <v>75</v>
      </c>
      <c r="AH34" s="25" t="s">
        <v>80</v>
      </c>
      <c r="AI34" s="25"/>
      <c r="AJ34" s="25"/>
    </row>
    <row r="35" spans="1:36">
      <c r="A35" s="38">
        <v>33</v>
      </c>
      <c r="B35" s="38" t="s">
        <v>363</v>
      </c>
      <c r="C35" s="55">
        <v>1</v>
      </c>
      <c r="D35" s="55">
        <v>84000</v>
      </c>
      <c r="E35" s="55">
        <v>84000</v>
      </c>
      <c r="F35" s="55">
        <v>105000</v>
      </c>
      <c r="G35" s="55">
        <v>105000</v>
      </c>
      <c r="H35" s="60">
        <v>3500</v>
      </c>
      <c r="I35" s="60">
        <v>2100000</v>
      </c>
      <c r="J35" s="63">
        <v>2000</v>
      </c>
      <c r="K35" s="63">
        <v>2000</v>
      </c>
      <c r="L35" s="27">
        <v>0</v>
      </c>
      <c r="M35" s="27">
        <f t="shared" si="0"/>
        <v>2033</v>
      </c>
      <c r="N35" s="26">
        <v>2153</v>
      </c>
      <c r="O35" s="26">
        <v>2800</v>
      </c>
      <c r="P35" s="26">
        <v>1750</v>
      </c>
      <c r="Q35" s="26">
        <v>120</v>
      </c>
      <c r="R35" s="26">
        <v>2800</v>
      </c>
      <c r="S35" s="26">
        <v>20</v>
      </c>
      <c r="T35" s="26">
        <v>4382</v>
      </c>
      <c r="U35" s="26">
        <v>16</v>
      </c>
      <c r="V35" s="26">
        <v>38</v>
      </c>
      <c r="W35" s="26">
        <v>25</v>
      </c>
      <c r="X35" s="26">
        <v>25</v>
      </c>
      <c r="Y35" s="25" t="s">
        <v>73</v>
      </c>
      <c r="Z35" s="25" t="s">
        <v>322</v>
      </c>
      <c r="AA35" s="25" t="s">
        <v>73</v>
      </c>
      <c r="AB35" s="25" t="s">
        <v>78</v>
      </c>
      <c r="AC35" s="25" t="s">
        <v>73</v>
      </c>
      <c r="AD35" s="25" t="s">
        <v>336</v>
      </c>
      <c r="AE35" s="25"/>
      <c r="AF35" s="25"/>
      <c r="AG35" s="25" t="s">
        <v>75</v>
      </c>
      <c r="AH35" s="25" t="s">
        <v>80</v>
      </c>
      <c r="AI35" s="25"/>
      <c r="AJ35" s="25"/>
    </row>
    <row r="36" spans="1:36">
      <c r="A36" s="38">
        <v>34</v>
      </c>
      <c r="B36" s="38" t="s">
        <v>364</v>
      </c>
      <c r="C36" s="55">
        <v>1</v>
      </c>
      <c r="D36" s="55">
        <v>84000</v>
      </c>
      <c r="E36" s="55">
        <v>84000</v>
      </c>
      <c r="F36" s="55">
        <v>105000</v>
      </c>
      <c r="G36" s="55">
        <v>105000</v>
      </c>
      <c r="H36" s="60">
        <v>3500</v>
      </c>
      <c r="I36" s="60">
        <v>2100000</v>
      </c>
      <c r="J36" s="63">
        <v>2000</v>
      </c>
      <c r="K36" s="63">
        <v>2000</v>
      </c>
      <c r="L36" s="27">
        <v>0</v>
      </c>
      <c r="M36" s="27">
        <f t="shared" si="0"/>
        <v>2007</v>
      </c>
      <c r="N36" s="26">
        <v>2127</v>
      </c>
      <c r="O36" s="26">
        <v>2800</v>
      </c>
      <c r="P36" s="26">
        <v>1750</v>
      </c>
      <c r="Q36" s="26">
        <v>120</v>
      </c>
      <c r="R36" s="26">
        <v>2800</v>
      </c>
      <c r="S36" s="26">
        <v>20</v>
      </c>
      <c r="T36" s="26">
        <v>4438</v>
      </c>
      <c r="U36" s="26">
        <v>16</v>
      </c>
      <c r="V36" s="26">
        <v>38</v>
      </c>
      <c r="W36" s="26">
        <v>25</v>
      </c>
      <c r="X36" s="26">
        <v>25</v>
      </c>
      <c r="Y36" s="25" t="s">
        <v>73</v>
      </c>
      <c r="Z36" s="25" t="s">
        <v>323</v>
      </c>
      <c r="AA36" s="25" t="s">
        <v>73</v>
      </c>
      <c r="AB36" s="25" t="s">
        <v>78</v>
      </c>
      <c r="AC36" s="25" t="s">
        <v>73</v>
      </c>
      <c r="AD36" s="25" t="s">
        <v>336</v>
      </c>
      <c r="AE36" s="25"/>
      <c r="AF36" s="25"/>
      <c r="AG36" s="25" t="s">
        <v>75</v>
      </c>
      <c r="AH36" s="25" t="s">
        <v>80</v>
      </c>
      <c r="AI36" s="25"/>
      <c r="AJ36" s="25"/>
    </row>
    <row r="37" spans="1:36">
      <c r="A37" s="38">
        <v>35</v>
      </c>
      <c r="B37" s="38" t="s">
        <v>365</v>
      </c>
      <c r="C37" s="55">
        <v>1</v>
      </c>
      <c r="D37" s="55">
        <v>84000</v>
      </c>
      <c r="E37" s="55">
        <v>84000</v>
      </c>
      <c r="F37" s="55">
        <v>105000</v>
      </c>
      <c r="G37" s="55">
        <v>105000</v>
      </c>
      <c r="H37" s="60">
        <v>3500</v>
      </c>
      <c r="I37" s="60">
        <v>2100000</v>
      </c>
      <c r="J37" s="63">
        <v>2000</v>
      </c>
      <c r="K37" s="63">
        <v>2000</v>
      </c>
      <c r="L37" s="27">
        <v>0</v>
      </c>
      <c r="M37" s="27">
        <f t="shared" si="0"/>
        <v>1981</v>
      </c>
      <c r="N37" s="26">
        <v>2101</v>
      </c>
      <c r="O37" s="26">
        <v>2800</v>
      </c>
      <c r="P37" s="26">
        <v>1750</v>
      </c>
      <c r="Q37" s="26">
        <v>120</v>
      </c>
      <c r="R37" s="26">
        <v>2800</v>
      </c>
      <c r="S37" s="26">
        <v>20</v>
      </c>
      <c r="T37" s="26">
        <v>4499</v>
      </c>
      <c r="U37" s="26">
        <v>16</v>
      </c>
      <c r="V37" s="26">
        <v>38</v>
      </c>
      <c r="W37" s="26">
        <v>25</v>
      </c>
      <c r="X37" s="26">
        <v>25</v>
      </c>
      <c r="Y37" s="25" t="s">
        <v>73</v>
      </c>
      <c r="Z37" s="25" t="s">
        <v>324</v>
      </c>
      <c r="AA37" s="25" t="s">
        <v>73</v>
      </c>
      <c r="AB37" s="25" t="s">
        <v>78</v>
      </c>
      <c r="AC37" s="25" t="s">
        <v>73</v>
      </c>
      <c r="AD37" s="25" t="s">
        <v>336</v>
      </c>
      <c r="AE37" s="25"/>
      <c r="AF37" s="25"/>
      <c r="AG37" s="25" t="s">
        <v>75</v>
      </c>
      <c r="AH37" s="25" t="s">
        <v>80</v>
      </c>
      <c r="AI37" s="25"/>
      <c r="AJ37" s="25"/>
    </row>
    <row r="38" spans="1:36">
      <c r="A38" s="37">
        <v>36</v>
      </c>
      <c r="B38" s="37" t="s">
        <v>366</v>
      </c>
      <c r="C38" s="54">
        <v>1</v>
      </c>
      <c r="D38" s="54">
        <v>84000</v>
      </c>
      <c r="E38" s="54">
        <v>84000</v>
      </c>
      <c r="F38" s="54">
        <v>105000</v>
      </c>
      <c r="G38" s="54">
        <v>105000</v>
      </c>
      <c r="H38" s="59">
        <v>3500</v>
      </c>
      <c r="I38" s="59">
        <v>2100000</v>
      </c>
      <c r="J38" s="62">
        <v>2000</v>
      </c>
      <c r="K38" s="62">
        <v>2000</v>
      </c>
      <c r="L38" s="33">
        <v>0</v>
      </c>
      <c r="M38" s="33">
        <f t="shared" si="0"/>
        <v>1955</v>
      </c>
      <c r="N38" s="34">
        <v>2075</v>
      </c>
      <c r="O38" s="34">
        <v>2800</v>
      </c>
      <c r="P38" s="34">
        <v>1750</v>
      </c>
      <c r="Q38" s="34">
        <v>120</v>
      </c>
      <c r="R38" s="34">
        <v>2800</v>
      </c>
      <c r="S38" s="34">
        <v>20</v>
      </c>
      <c r="T38" s="34">
        <v>4555</v>
      </c>
      <c r="U38" s="34">
        <v>16</v>
      </c>
      <c r="V38" s="34">
        <v>38</v>
      </c>
      <c r="W38" s="34">
        <v>25</v>
      </c>
      <c r="X38" s="34">
        <v>25</v>
      </c>
      <c r="Y38" s="35" t="s">
        <v>73</v>
      </c>
      <c r="Z38" s="35" t="s">
        <v>325</v>
      </c>
      <c r="AA38" s="35" t="s">
        <v>73</v>
      </c>
      <c r="AB38" s="35" t="s">
        <v>78</v>
      </c>
      <c r="AC38" s="35" t="s">
        <v>73</v>
      </c>
      <c r="AD38" s="35" t="s">
        <v>336</v>
      </c>
      <c r="AE38" s="25"/>
      <c r="AF38" s="25"/>
      <c r="AG38" s="25" t="s">
        <v>75</v>
      </c>
      <c r="AH38" s="25" t="s">
        <v>80</v>
      </c>
      <c r="AI38" s="25"/>
      <c r="AJ38" s="25"/>
    </row>
    <row r="39" spans="1:36">
      <c r="A39" s="38">
        <v>37</v>
      </c>
      <c r="B39" s="38" t="s">
        <v>367</v>
      </c>
      <c r="C39" s="55">
        <v>1</v>
      </c>
      <c r="D39" s="55">
        <v>84000</v>
      </c>
      <c r="E39" s="55">
        <v>84000</v>
      </c>
      <c r="F39" s="55">
        <v>105000</v>
      </c>
      <c r="G39" s="55">
        <v>105000</v>
      </c>
      <c r="H39" s="60">
        <v>3500</v>
      </c>
      <c r="I39" s="60">
        <v>2100000</v>
      </c>
      <c r="J39" s="63">
        <v>2000</v>
      </c>
      <c r="K39" s="63">
        <v>2000</v>
      </c>
      <c r="L39" s="27">
        <v>0</v>
      </c>
      <c r="M39" s="27">
        <f t="shared" si="0"/>
        <v>1929</v>
      </c>
      <c r="N39" s="26">
        <v>2049</v>
      </c>
      <c r="O39" s="26">
        <v>2800</v>
      </c>
      <c r="P39" s="26">
        <v>1750</v>
      </c>
      <c r="Q39" s="26">
        <v>120</v>
      </c>
      <c r="R39" s="26">
        <v>2800</v>
      </c>
      <c r="S39" s="26">
        <v>20</v>
      </c>
      <c r="T39" s="26">
        <v>4630</v>
      </c>
      <c r="U39" s="26">
        <v>16</v>
      </c>
      <c r="V39" s="26">
        <v>38</v>
      </c>
      <c r="W39" s="26">
        <v>25</v>
      </c>
      <c r="X39" s="26">
        <v>25</v>
      </c>
      <c r="Y39" s="25" t="s">
        <v>73</v>
      </c>
      <c r="Z39" s="25" t="s">
        <v>326</v>
      </c>
      <c r="AA39" s="25" t="s">
        <v>73</v>
      </c>
      <c r="AB39" s="25" t="s">
        <v>78</v>
      </c>
      <c r="AC39" s="25" t="s">
        <v>73</v>
      </c>
      <c r="AD39" s="25" t="s">
        <v>336</v>
      </c>
      <c r="AE39" s="25"/>
      <c r="AF39" s="25"/>
      <c r="AG39" s="25" t="s">
        <v>75</v>
      </c>
      <c r="AH39" s="25" t="s">
        <v>80</v>
      </c>
      <c r="AI39" s="25"/>
      <c r="AJ39" s="25"/>
    </row>
    <row r="40" spans="1:36">
      <c r="A40" s="38">
        <v>38</v>
      </c>
      <c r="B40" s="38" t="s">
        <v>368</v>
      </c>
      <c r="C40" s="55">
        <v>1</v>
      </c>
      <c r="D40" s="55">
        <v>84000</v>
      </c>
      <c r="E40" s="55">
        <v>84000</v>
      </c>
      <c r="F40" s="55">
        <v>105000</v>
      </c>
      <c r="G40" s="55">
        <v>105000</v>
      </c>
      <c r="H40" s="60">
        <v>3500</v>
      </c>
      <c r="I40" s="60">
        <v>2100000</v>
      </c>
      <c r="J40" s="63">
        <v>2000</v>
      </c>
      <c r="K40" s="63">
        <v>2000</v>
      </c>
      <c r="L40" s="27">
        <v>0</v>
      </c>
      <c r="M40" s="27">
        <f t="shared" si="0"/>
        <v>1903</v>
      </c>
      <c r="N40" s="26">
        <v>2023</v>
      </c>
      <c r="O40" s="26">
        <v>2800</v>
      </c>
      <c r="P40" s="26">
        <v>1750</v>
      </c>
      <c r="Q40" s="26">
        <v>120</v>
      </c>
      <c r="R40" s="26">
        <v>2800</v>
      </c>
      <c r="S40" s="26">
        <v>20</v>
      </c>
      <c r="T40" s="26">
        <v>4702</v>
      </c>
      <c r="U40" s="26">
        <v>16</v>
      </c>
      <c r="V40" s="26">
        <v>38</v>
      </c>
      <c r="W40" s="26">
        <v>25</v>
      </c>
      <c r="X40" s="26">
        <v>25</v>
      </c>
      <c r="Y40" s="25" t="s">
        <v>73</v>
      </c>
      <c r="Z40" s="25" t="s">
        <v>327</v>
      </c>
      <c r="AA40" s="25" t="s">
        <v>73</v>
      </c>
      <c r="AB40" s="25" t="s">
        <v>78</v>
      </c>
      <c r="AC40" s="25" t="s">
        <v>73</v>
      </c>
      <c r="AD40" s="25" t="s">
        <v>336</v>
      </c>
      <c r="AE40" s="25"/>
      <c r="AF40" s="25"/>
      <c r="AG40" s="25" t="s">
        <v>75</v>
      </c>
      <c r="AH40" s="25" t="s">
        <v>80</v>
      </c>
      <c r="AI40" s="25"/>
      <c r="AJ40" s="25"/>
    </row>
    <row r="41" spans="1:36">
      <c r="A41" s="38">
        <v>39</v>
      </c>
      <c r="B41" s="38" t="s">
        <v>369</v>
      </c>
      <c r="C41" s="55">
        <v>1</v>
      </c>
      <c r="D41" s="55">
        <v>84000</v>
      </c>
      <c r="E41" s="55">
        <v>84000</v>
      </c>
      <c r="F41" s="55">
        <v>105000</v>
      </c>
      <c r="G41" s="55">
        <v>105000</v>
      </c>
      <c r="H41" s="60">
        <v>3500</v>
      </c>
      <c r="I41" s="60">
        <v>2100000</v>
      </c>
      <c r="J41" s="63">
        <v>2000</v>
      </c>
      <c r="K41" s="63">
        <v>2000</v>
      </c>
      <c r="L41" s="27">
        <v>0</v>
      </c>
      <c r="M41" s="27">
        <f t="shared" si="0"/>
        <v>1877</v>
      </c>
      <c r="N41" s="26">
        <v>1997</v>
      </c>
      <c r="O41" s="26">
        <v>2800</v>
      </c>
      <c r="P41" s="26">
        <v>1750</v>
      </c>
      <c r="Q41" s="26">
        <v>120</v>
      </c>
      <c r="R41" s="26">
        <v>2800</v>
      </c>
      <c r="S41" s="26">
        <v>20</v>
      </c>
      <c r="T41" s="26">
        <v>4778</v>
      </c>
      <c r="U41" s="26">
        <v>16</v>
      </c>
      <c r="V41" s="26">
        <v>38</v>
      </c>
      <c r="W41" s="26">
        <v>25</v>
      </c>
      <c r="X41" s="26">
        <v>25</v>
      </c>
      <c r="Y41" s="25" t="s">
        <v>73</v>
      </c>
      <c r="Z41" s="25" t="s">
        <v>328</v>
      </c>
      <c r="AA41" s="25" t="s">
        <v>73</v>
      </c>
      <c r="AB41" s="25" t="s">
        <v>78</v>
      </c>
      <c r="AC41" s="25" t="s">
        <v>73</v>
      </c>
      <c r="AD41" s="25" t="s">
        <v>336</v>
      </c>
      <c r="AE41" s="25"/>
      <c r="AF41" s="25"/>
      <c r="AG41" s="25" t="s">
        <v>75</v>
      </c>
      <c r="AH41" s="25" t="s">
        <v>80</v>
      </c>
      <c r="AI41" s="25"/>
      <c r="AJ41" s="25"/>
    </row>
    <row r="42" spans="1:36">
      <c r="A42" s="37">
        <v>40</v>
      </c>
      <c r="B42" s="37" t="s">
        <v>370</v>
      </c>
      <c r="C42" s="54">
        <v>1</v>
      </c>
      <c r="D42" s="54">
        <v>84000</v>
      </c>
      <c r="E42" s="54">
        <v>84000</v>
      </c>
      <c r="F42" s="54">
        <v>105000</v>
      </c>
      <c r="G42" s="54">
        <v>105000</v>
      </c>
      <c r="H42" s="59">
        <v>3500</v>
      </c>
      <c r="I42" s="59">
        <v>2100000</v>
      </c>
      <c r="J42" s="62">
        <v>2000</v>
      </c>
      <c r="K42" s="62">
        <v>2000</v>
      </c>
      <c r="L42" s="33">
        <v>0</v>
      </c>
      <c r="M42" s="33">
        <f t="shared" si="0"/>
        <v>1851</v>
      </c>
      <c r="N42" s="34">
        <v>1971</v>
      </c>
      <c r="O42" s="34">
        <v>2800</v>
      </c>
      <c r="P42" s="34">
        <v>1750</v>
      </c>
      <c r="Q42" s="34">
        <v>120</v>
      </c>
      <c r="R42" s="34">
        <v>2800</v>
      </c>
      <c r="S42" s="34">
        <v>20</v>
      </c>
      <c r="T42" s="34">
        <v>4845</v>
      </c>
      <c r="U42" s="34">
        <v>16</v>
      </c>
      <c r="V42" s="34">
        <v>38</v>
      </c>
      <c r="W42" s="34">
        <v>25</v>
      </c>
      <c r="X42" s="34">
        <v>25</v>
      </c>
      <c r="Y42" s="35" t="s">
        <v>73</v>
      </c>
      <c r="Z42" s="35" t="s">
        <v>329</v>
      </c>
      <c r="AA42" s="35" t="s">
        <v>73</v>
      </c>
      <c r="AB42" s="35" t="s">
        <v>78</v>
      </c>
      <c r="AC42" s="35" t="s">
        <v>73</v>
      </c>
      <c r="AD42" s="35" t="s">
        <v>336</v>
      </c>
      <c r="AE42" s="25"/>
      <c r="AF42" s="25"/>
      <c r="AG42" s="25" t="s">
        <v>75</v>
      </c>
      <c r="AH42" s="25" t="s">
        <v>80</v>
      </c>
      <c r="AI42" s="25"/>
      <c r="AJ42" s="25"/>
    </row>
    <row r="43" spans="1:36">
      <c r="A43" s="37">
        <v>41</v>
      </c>
      <c r="B43" s="37" t="s">
        <v>544</v>
      </c>
      <c r="C43" s="54">
        <v>1</v>
      </c>
      <c r="D43" s="54">
        <v>84000</v>
      </c>
      <c r="E43" s="54">
        <v>84000</v>
      </c>
      <c r="F43" s="54">
        <v>105000</v>
      </c>
      <c r="G43" s="54">
        <v>105000</v>
      </c>
      <c r="H43" s="59">
        <v>3500</v>
      </c>
      <c r="I43" s="59">
        <v>2100000</v>
      </c>
      <c r="J43" s="62">
        <v>2000</v>
      </c>
      <c r="K43" s="62">
        <v>2000</v>
      </c>
      <c r="L43" s="33">
        <v>0</v>
      </c>
      <c r="M43" s="33">
        <f t="shared" si="0"/>
        <v>1851</v>
      </c>
      <c r="N43" s="34">
        <v>1971</v>
      </c>
      <c r="O43" s="34">
        <v>2800</v>
      </c>
      <c r="P43" s="34">
        <v>1750</v>
      </c>
      <c r="Q43" s="34">
        <v>120</v>
      </c>
      <c r="R43" s="34">
        <v>2800</v>
      </c>
      <c r="S43" s="34">
        <v>20</v>
      </c>
      <c r="T43" s="34">
        <v>4845</v>
      </c>
      <c r="U43" s="34">
        <v>16</v>
      </c>
      <c r="V43" s="34">
        <v>38</v>
      </c>
      <c r="W43" s="34">
        <v>25</v>
      </c>
      <c r="X43" s="34">
        <v>25</v>
      </c>
      <c r="Y43" s="35" t="s">
        <v>73</v>
      </c>
      <c r="Z43" s="35" t="s">
        <v>330</v>
      </c>
      <c r="AA43" s="35" t="s">
        <v>73</v>
      </c>
      <c r="AB43" s="35" t="s">
        <v>78</v>
      </c>
      <c r="AC43" s="35" t="s">
        <v>73</v>
      </c>
      <c r="AD43" s="35" t="s">
        <v>336</v>
      </c>
      <c r="AE43" s="25"/>
      <c r="AF43" s="25"/>
      <c r="AG43" s="25" t="s">
        <v>75</v>
      </c>
      <c r="AH43" s="25" t="s">
        <v>80</v>
      </c>
      <c r="AI43" s="25"/>
      <c r="AJ43" s="25"/>
    </row>
    <row r="44" spans="1:36">
      <c r="A44" s="38">
        <v>42</v>
      </c>
      <c r="B44" s="38" t="s">
        <v>545</v>
      </c>
      <c r="C44" s="55">
        <v>1</v>
      </c>
      <c r="D44" s="55">
        <v>84000</v>
      </c>
      <c r="E44" s="55">
        <v>84000</v>
      </c>
      <c r="F44" s="55">
        <v>105000</v>
      </c>
      <c r="G44" s="55">
        <v>105000</v>
      </c>
      <c r="H44" s="60">
        <v>3500</v>
      </c>
      <c r="I44" s="60">
        <v>2100000</v>
      </c>
      <c r="J44" s="63">
        <v>2000</v>
      </c>
      <c r="K44" s="63">
        <v>2000</v>
      </c>
      <c r="L44" s="27">
        <v>0</v>
      </c>
      <c r="M44" s="27">
        <f t="shared" si="0"/>
        <v>1825</v>
      </c>
      <c r="N44" s="26">
        <v>1945</v>
      </c>
      <c r="O44" s="26">
        <v>2800</v>
      </c>
      <c r="P44" s="26">
        <v>1750</v>
      </c>
      <c r="Q44" s="26">
        <v>120</v>
      </c>
      <c r="R44" s="26">
        <v>2800</v>
      </c>
      <c r="S44" s="26">
        <v>20</v>
      </c>
      <c r="T44" s="26">
        <v>4940</v>
      </c>
      <c r="U44" s="26">
        <v>16</v>
      </c>
      <c r="V44" s="26">
        <v>38</v>
      </c>
      <c r="W44" s="26">
        <v>25</v>
      </c>
      <c r="X44" s="26">
        <v>25</v>
      </c>
      <c r="Y44" s="25" t="s">
        <v>73</v>
      </c>
      <c r="Z44" s="25" t="s">
        <v>331</v>
      </c>
      <c r="AA44" s="25" t="s">
        <v>73</v>
      </c>
      <c r="AB44" s="25" t="s">
        <v>78</v>
      </c>
      <c r="AC44" s="25" t="s">
        <v>73</v>
      </c>
      <c r="AD44" s="25" t="s">
        <v>336</v>
      </c>
      <c r="AE44" s="25"/>
      <c r="AF44" s="25"/>
      <c r="AG44" s="25" t="s">
        <v>75</v>
      </c>
      <c r="AH44" s="25" t="s">
        <v>80</v>
      </c>
      <c r="AI44" s="25"/>
      <c r="AJ44" s="25"/>
    </row>
    <row r="45" spans="1:36">
      <c r="A45" s="38">
        <v>43</v>
      </c>
      <c r="B45" s="38" t="s">
        <v>371</v>
      </c>
      <c r="C45" s="55">
        <v>1</v>
      </c>
      <c r="D45" s="55">
        <v>84000</v>
      </c>
      <c r="E45" s="55">
        <v>84000</v>
      </c>
      <c r="F45" s="55">
        <v>105000</v>
      </c>
      <c r="G45" s="55">
        <v>105000</v>
      </c>
      <c r="H45" s="60">
        <v>3500</v>
      </c>
      <c r="I45" s="60">
        <v>2100000</v>
      </c>
      <c r="J45" s="63">
        <v>2000</v>
      </c>
      <c r="K45" s="63">
        <v>2000</v>
      </c>
      <c r="L45" s="27">
        <v>0</v>
      </c>
      <c r="M45" s="27">
        <f t="shared" si="0"/>
        <v>1799</v>
      </c>
      <c r="N45" s="26">
        <v>1919</v>
      </c>
      <c r="O45" s="26">
        <v>2800</v>
      </c>
      <c r="P45" s="26">
        <v>1750</v>
      </c>
      <c r="Q45" s="26">
        <v>120</v>
      </c>
      <c r="R45" s="26">
        <v>2800</v>
      </c>
      <c r="S45" s="26">
        <v>20</v>
      </c>
      <c r="T45" s="26">
        <v>5027</v>
      </c>
      <c r="U45" s="26">
        <v>16</v>
      </c>
      <c r="V45" s="26">
        <v>38</v>
      </c>
      <c r="W45" s="26">
        <v>25</v>
      </c>
      <c r="X45" s="26">
        <v>25</v>
      </c>
      <c r="Y45" s="25" t="s">
        <v>73</v>
      </c>
      <c r="Z45" s="25" t="s">
        <v>332</v>
      </c>
      <c r="AA45" s="25" t="s">
        <v>73</v>
      </c>
      <c r="AB45" s="25" t="s">
        <v>78</v>
      </c>
      <c r="AC45" s="25" t="s">
        <v>73</v>
      </c>
      <c r="AD45" s="25" t="s">
        <v>336</v>
      </c>
      <c r="AE45" s="25"/>
      <c r="AF45" s="25"/>
      <c r="AG45" s="25" t="s">
        <v>75</v>
      </c>
      <c r="AH45" s="25" t="s">
        <v>80</v>
      </c>
      <c r="AI45" s="25"/>
      <c r="AJ45" s="25"/>
    </row>
    <row r="46" spans="1:36">
      <c r="A46" s="38">
        <v>44</v>
      </c>
      <c r="B46" s="38" t="s">
        <v>372</v>
      </c>
      <c r="C46" s="55">
        <v>1</v>
      </c>
      <c r="D46" s="55">
        <v>84000</v>
      </c>
      <c r="E46" s="55">
        <v>84000</v>
      </c>
      <c r="F46" s="55">
        <v>105000</v>
      </c>
      <c r="G46" s="55">
        <v>105000</v>
      </c>
      <c r="H46" s="60">
        <v>3500</v>
      </c>
      <c r="I46" s="60">
        <v>2100000</v>
      </c>
      <c r="J46" s="63">
        <v>2000</v>
      </c>
      <c r="K46" s="63">
        <v>2000</v>
      </c>
      <c r="L46" s="27">
        <v>0</v>
      </c>
      <c r="M46" s="27">
        <f t="shared" si="0"/>
        <v>1773</v>
      </c>
      <c r="N46" s="26">
        <v>1893</v>
      </c>
      <c r="O46" s="26">
        <v>2800</v>
      </c>
      <c r="P46" s="26">
        <v>1750</v>
      </c>
      <c r="Q46" s="26">
        <v>120</v>
      </c>
      <c r="R46" s="26">
        <v>2800</v>
      </c>
      <c r="S46" s="26">
        <v>20</v>
      </c>
      <c r="T46" s="26">
        <v>5118</v>
      </c>
      <c r="U46" s="26">
        <v>16</v>
      </c>
      <c r="V46" s="26">
        <v>38</v>
      </c>
      <c r="W46" s="26">
        <v>25</v>
      </c>
      <c r="X46" s="26">
        <v>25</v>
      </c>
      <c r="Y46" s="25" t="s">
        <v>73</v>
      </c>
      <c r="Z46" s="25" t="s">
        <v>333</v>
      </c>
      <c r="AA46" s="25" t="s">
        <v>73</v>
      </c>
      <c r="AB46" s="25" t="s">
        <v>78</v>
      </c>
      <c r="AC46" s="25" t="s">
        <v>73</v>
      </c>
      <c r="AD46" s="25" t="s">
        <v>336</v>
      </c>
      <c r="AE46" s="25"/>
      <c r="AF46" s="25"/>
      <c r="AG46" s="25" t="s">
        <v>75</v>
      </c>
      <c r="AH46" s="25" t="s">
        <v>80</v>
      </c>
      <c r="AI46" s="25"/>
      <c r="AJ46" s="25"/>
    </row>
    <row r="47" spans="1:36">
      <c r="A47" s="37">
        <v>45</v>
      </c>
      <c r="B47" s="37" t="s">
        <v>373</v>
      </c>
      <c r="C47" s="54">
        <v>1</v>
      </c>
      <c r="D47" s="54">
        <v>84000</v>
      </c>
      <c r="E47" s="54">
        <v>84000</v>
      </c>
      <c r="F47" s="54">
        <v>105000</v>
      </c>
      <c r="G47" s="54">
        <v>105000</v>
      </c>
      <c r="H47" s="59">
        <v>3500</v>
      </c>
      <c r="I47" s="59">
        <v>2100000</v>
      </c>
      <c r="J47" s="62">
        <v>2000</v>
      </c>
      <c r="K47" s="62">
        <v>2000</v>
      </c>
      <c r="L47" s="33">
        <v>0</v>
      </c>
      <c r="M47" s="33">
        <f t="shared" si="0"/>
        <v>1780</v>
      </c>
      <c r="N47" s="34">
        <v>1900</v>
      </c>
      <c r="O47" s="34">
        <v>2800</v>
      </c>
      <c r="P47" s="34">
        <v>1750</v>
      </c>
      <c r="Q47" s="34">
        <v>120</v>
      </c>
      <c r="R47" s="34">
        <v>2800</v>
      </c>
      <c r="S47" s="34">
        <v>20</v>
      </c>
      <c r="T47" s="34">
        <v>5196</v>
      </c>
      <c r="U47" s="34">
        <v>16</v>
      </c>
      <c r="V47" s="34">
        <v>40</v>
      </c>
      <c r="W47" s="34">
        <v>32</v>
      </c>
      <c r="X47" s="34">
        <v>32</v>
      </c>
      <c r="Y47" s="35" t="s">
        <v>73</v>
      </c>
      <c r="Z47" s="35" t="s">
        <v>334</v>
      </c>
      <c r="AA47" s="35" t="s">
        <v>73</v>
      </c>
      <c r="AB47" s="35" t="s">
        <v>78</v>
      </c>
      <c r="AC47" s="35" t="s">
        <v>73</v>
      </c>
      <c r="AD47" s="35" t="s">
        <v>336</v>
      </c>
      <c r="AE47" s="25"/>
      <c r="AF47" s="25"/>
      <c r="AG47" s="25" t="s">
        <v>75</v>
      </c>
      <c r="AH47" s="25" t="s">
        <v>80</v>
      </c>
      <c r="AI47" s="25"/>
      <c r="AJ47" s="25"/>
    </row>
    <row r="48" spans="1:36">
      <c r="A48" s="38">
        <v>46</v>
      </c>
      <c r="B48" s="38" t="s">
        <v>374</v>
      </c>
      <c r="C48" s="55">
        <v>1</v>
      </c>
      <c r="D48" s="55">
        <v>84000</v>
      </c>
      <c r="E48" s="55">
        <v>84000</v>
      </c>
      <c r="F48" s="55">
        <v>105000</v>
      </c>
      <c r="G48" s="55">
        <v>105000</v>
      </c>
      <c r="H48" s="60">
        <v>3500</v>
      </c>
      <c r="I48" s="60">
        <v>2100000</v>
      </c>
      <c r="J48" s="63">
        <v>2000</v>
      </c>
      <c r="K48" s="63">
        <v>2000</v>
      </c>
      <c r="L48" s="27">
        <v>0</v>
      </c>
      <c r="M48" s="27">
        <f t="shared" si="0"/>
        <v>1780</v>
      </c>
      <c r="N48" s="26">
        <v>1900</v>
      </c>
      <c r="O48" s="26">
        <v>2800</v>
      </c>
      <c r="P48" s="26">
        <v>1750</v>
      </c>
      <c r="Q48" s="26">
        <v>120</v>
      </c>
      <c r="R48" s="26">
        <v>2800</v>
      </c>
      <c r="S48" s="26">
        <v>20</v>
      </c>
      <c r="T48" s="26">
        <v>5312</v>
      </c>
      <c r="U48" s="26">
        <v>16</v>
      </c>
      <c r="V48" s="26">
        <v>40</v>
      </c>
      <c r="W48" s="26">
        <v>32</v>
      </c>
      <c r="X48" s="26">
        <v>32</v>
      </c>
      <c r="Y48" s="25" t="s">
        <v>73</v>
      </c>
      <c r="Z48" s="25" t="s">
        <v>335</v>
      </c>
      <c r="AA48" s="25" t="s">
        <v>73</v>
      </c>
      <c r="AB48" s="25" t="s">
        <v>78</v>
      </c>
      <c r="AC48" s="25" t="s">
        <v>73</v>
      </c>
      <c r="AD48" s="25" t="s">
        <v>336</v>
      </c>
      <c r="AE48" s="25"/>
      <c r="AF48" s="25"/>
      <c r="AG48" s="25" t="s">
        <v>75</v>
      </c>
      <c r="AH48" s="25" t="s">
        <v>80</v>
      </c>
      <c r="AI48" s="25"/>
      <c r="AJ48" s="25"/>
    </row>
    <row r="49" spans="1:36">
      <c r="A49" s="38">
        <v>47</v>
      </c>
      <c r="B49" s="38" t="s">
        <v>375</v>
      </c>
      <c r="C49" s="55">
        <v>1</v>
      </c>
      <c r="D49" s="55">
        <v>84000</v>
      </c>
      <c r="E49" s="55">
        <v>84000</v>
      </c>
      <c r="F49" s="55">
        <v>105000</v>
      </c>
      <c r="G49" s="55">
        <v>105000</v>
      </c>
      <c r="H49" s="60">
        <v>3500</v>
      </c>
      <c r="I49" s="60">
        <v>2100000</v>
      </c>
      <c r="J49" s="63">
        <v>2000</v>
      </c>
      <c r="K49" s="63">
        <v>2000</v>
      </c>
      <c r="L49" s="27">
        <v>0</v>
      </c>
      <c r="M49" s="27">
        <f t="shared" si="0"/>
        <v>1780</v>
      </c>
      <c r="N49" s="26">
        <v>1900</v>
      </c>
      <c r="O49" s="26">
        <v>2800</v>
      </c>
      <c r="P49" s="26">
        <v>1750</v>
      </c>
      <c r="Q49" s="26">
        <v>120</v>
      </c>
      <c r="R49" s="26">
        <v>2800</v>
      </c>
      <c r="S49" s="26">
        <v>20</v>
      </c>
      <c r="T49" s="26">
        <v>5414</v>
      </c>
      <c r="U49" s="26">
        <v>16</v>
      </c>
      <c r="V49" s="26">
        <v>40</v>
      </c>
      <c r="W49" s="26">
        <v>32</v>
      </c>
      <c r="X49" s="26">
        <v>32</v>
      </c>
      <c r="Y49" s="25" t="s">
        <v>73</v>
      </c>
      <c r="Z49" s="25" t="s">
        <v>335</v>
      </c>
      <c r="AA49" s="25" t="s">
        <v>73</v>
      </c>
      <c r="AB49" s="25" t="s">
        <v>78</v>
      </c>
      <c r="AC49" s="25" t="s">
        <v>73</v>
      </c>
      <c r="AD49" s="25" t="s">
        <v>336</v>
      </c>
      <c r="AE49" s="25"/>
      <c r="AF49" s="25"/>
      <c r="AG49" s="25" t="s">
        <v>75</v>
      </c>
      <c r="AH49" s="25" t="s">
        <v>80</v>
      </c>
      <c r="AI49" s="25"/>
      <c r="AJ49" s="25"/>
    </row>
    <row r="50" spans="1:36">
      <c r="A50" s="38">
        <v>48</v>
      </c>
      <c r="B50" s="38" t="s">
        <v>376</v>
      </c>
      <c r="C50" s="55">
        <v>2</v>
      </c>
      <c r="D50" s="55">
        <v>80834.532374100716</v>
      </c>
      <c r="E50" s="55">
        <v>80834.532374100716</v>
      </c>
      <c r="F50" s="55">
        <v>105000</v>
      </c>
      <c r="G50" s="55">
        <v>105000</v>
      </c>
      <c r="H50" s="60">
        <v>3500</v>
      </c>
      <c r="I50" s="60">
        <v>2100000</v>
      </c>
      <c r="J50" s="63">
        <v>2000</v>
      </c>
      <c r="K50" s="63">
        <v>2000</v>
      </c>
      <c r="L50" s="27">
        <v>0</v>
      </c>
      <c r="M50" s="27">
        <f t="shared" si="0"/>
        <v>1780</v>
      </c>
      <c r="N50" s="26">
        <v>1900</v>
      </c>
      <c r="O50" s="26">
        <v>2800</v>
      </c>
      <c r="P50" s="26">
        <v>1750</v>
      </c>
      <c r="Q50" s="26">
        <v>120</v>
      </c>
      <c r="R50" s="26">
        <v>2800</v>
      </c>
      <c r="S50" s="26">
        <v>20</v>
      </c>
      <c r="T50" s="26">
        <v>5520</v>
      </c>
      <c r="U50" s="26">
        <v>16</v>
      </c>
      <c r="V50" s="26">
        <v>40</v>
      </c>
      <c r="W50" s="26">
        <v>32</v>
      </c>
      <c r="X50" s="26">
        <v>32</v>
      </c>
      <c r="Y50" s="25" t="s">
        <v>73</v>
      </c>
      <c r="Z50" s="25" t="s">
        <v>335</v>
      </c>
      <c r="AA50" s="25" t="s">
        <v>73</v>
      </c>
      <c r="AB50" s="25" t="s">
        <v>78</v>
      </c>
      <c r="AC50" s="25" t="s">
        <v>73</v>
      </c>
      <c r="AD50" s="25" t="s">
        <v>336</v>
      </c>
      <c r="AE50" s="25"/>
      <c r="AF50" s="25"/>
      <c r="AG50" s="25" t="s">
        <v>75</v>
      </c>
      <c r="AH50" s="25" t="s">
        <v>80</v>
      </c>
      <c r="AI50" s="25"/>
      <c r="AJ50" s="25"/>
    </row>
    <row r="51" spans="1:36">
      <c r="A51" s="37">
        <v>49</v>
      </c>
      <c r="B51" s="37" t="s">
        <v>377</v>
      </c>
      <c r="C51" s="54">
        <v>2</v>
      </c>
      <c r="D51" s="54">
        <v>77669.064748201432</v>
      </c>
      <c r="E51" s="54">
        <v>77669.064748201432</v>
      </c>
      <c r="F51" s="54">
        <v>105000</v>
      </c>
      <c r="G51" s="54">
        <v>105000</v>
      </c>
      <c r="H51" s="59">
        <v>3500</v>
      </c>
      <c r="I51" s="59">
        <v>2100000</v>
      </c>
      <c r="J51" s="62">
        <v>2000</v>
      </c>
      <c r="K51" s="62">
        <v>2000</v>
      </c>
      <c r="L51" s="33">
        <v>0</v>
      </c>
      <c r="M51" s="33">
        <f t="shared" si="0"/>
        <v>1780</v>
      </c>
      <c r="N51" s="34">
        <v>1900</v>
      </c>
      <c r="O51" s="34">
        <v>2800</v>
      </c>
      <c r="P51" s="34">
        <v>1750</v>
      </c>
      <c r="Q51" s="34">
        <v>120</v>
      </c>
      <c r="R51" s="34">
        <v>2800</v>
      </c>
      <c r="S51" s="34">
        <v>20</v>
      </c>
      <c r="T51" s="34">
        <v>5608</v>
      </c>
      <c r="U51" s="34">
        <v>16</v>
      </c>
      <c r="V51" s="34">
        <v>40</v>
      </c>
      <c r="W51" s="34">
        <v>32</v>
      </c>
      <c r="X51" s="34">
        <v>32</v>
      </c>
      <c r="Y51" s="35" t="s">
        <v>73</v>
      </c>
      <c r="Z51" s="35" t="s">
        <v>334</v>
      </c>
      <c r="AA51" s="35" t="s">
        <v>73</v>
      </c>
      <c r="AB51" s="35" t="s">
        <v>78</v>
      </c>
      <c r="AC51" s="35" t="s">
        <v>73</v>
      </c>
      <c r="AD51" s="35" t="s">
        <v>336</v>
      </c>
      <c r="AE51" s="25"/>
      <c r="AF51" s="25"/>
      <c r="AG51" s="25" t="s">
        <v>75</v>
      </c>
      <c r="AH51" s="25" t="s">
        <v>80</v>
      </c>
      <c r="AI51" s="25"/>
      <c r="AJ51" s="25"/>
    </row>
    <row r="52" spans="1:36">
      <c r="A52" s="38">
        <v>50</v>
      </c>
      <c r="B52" s="38" t="s">
        <v>378</v>
      </c>
      <c r="C52" s="55">
        <v>2</v>
      </c>
      <c r="D52" s="55">
        <v>74503.597122302162</v>
      </c>
      <c r="E52" s="55">
        <v>74503.597122302162</v>
      </c>
      <c r="F52" s="55">
        <v>105000</v>
      </c>
      <c r="G52" s="55">
        <v>105000</v>
      </c>
      <c r="H52" s="60">
        <v>3500</v>
      </c>
      <c r="I52" s="60">
        <v>2100000</v>
      </c>
      <c r="J52" s="63">
        <v>2000</v>
      </c>
      <c r="K52" s="63">
        <v>2000</v>
      </c>
      <c r="L52" s="27">
        <v>0</v>
      </c>
      <c r="M52" s="27">
        <f t="shared" si="0"/>
        <v>1780</v>
      </c>
      <c r="N52" s="26">
        <v>1900</v>
      </c>
      <c r="O52" s="26">
        <v>2800</v>
      </c>
      <c r="P52" s="26">
        <v>1750</v>
      </c>
      <c r="Q52" s="26">
        <v>120</v>
      </c>
      <c r="R52" s="26">
        <v>2800</v>
      </c>
      <c r="S52" s="26">
        <v>20</v>
      </c>
      <c r="T52" s="26">
        <v>5745</v>
      </c>
      <c r="U52" s="26">
        <v>16</v>
      </c>
      <c r="V52" s="26">
        <v>40</v>
      </c>
      <c r="W52" s="26">
        <v>32</v>
      </c>
      <c r="X52" s="26">
        <v>32</v>
      </c>
      <c r="Y52" s="25" t="s">
        <v>73</v>
      </c>
      <c r="Z52" s="25" t="s">
        <v>335</v>
      </c>
      <c r="AA52" s="25" t="s">
        <v>73</v>
      </c>
      <c r="AB52" s="25" t="s">
        <v>78</v>
      </c>
      <c r="AC52" s="25" t="s">
        <v>73</v>
      </c>
      <c r="AD52" s="25" t="s">
        <v>336</v>
      </c>
      <c r="AE52" s="25"/>
      <c r="AF52" s="25"/>
      <c r="AG52" s="25" t="s">
        <v>75</v>
      </c>
      <c r="AH52" s="25" t="s">
        <v>80</v>
      </c>
      <c r="AI52" s="25"/>
      <c r="AJ52" s="25"/>
    </row>
    <row r="53" spans="1:36">
      <c r="A53" s="38">
        <v>51</v>
      </c>
      <c r="B53" s="38" t="s">
        <v>379</v>
      </c>
      <c r="C53" s="55">
        <v>2</v>
      </c>
      <c r="D53" s="55">
        <v>71338.129496402878</v>
      </c>
      <c r="E53" s="55">
        <v>71338.129496402878</v>
      </c>
      <c r="F53" s="55">
        <v>105000</v>
      </c>
      <c r="G53" s="55">
        <v>105000</v>
      </c>
      <c r="H53" s="60">
        <v>3500</v>
      </c>
      <c r="I53" s="60">
        <v>2100000</v>
      </c>
      <c r="J53" s="63">
        <v>2000</v>
      </c>
      <c r="K53" s="63">
        <v>2000</v>
      </c>
      <c r="L53" s="27">
        <v>0</v>
      </c>
      <c r="M53" s="27">
        <f t="shared" si="0"/>
        <v>1780</v>
      </c>
      <c r="N53" s="26">
        <v>1900</v>
      </c>
      <c r="O53" s="26">
        <v>2800</v>
      </c>
      <c r="P53" s="26">
        <v>1750</v>
      </c>
      <c r="Q53" s="26">
        <v>120</v>
      </c>
      <c r="R53" s="26">
        <v>2800</v>
      </c>
      <c r="S53" s="26">
        <v>20</v>
      </c>
      <c r="T53" s="26">
        <v>5863</v>
      </c>
      <c r="U53" s="26">
        <v>16</v>
      </c>
      <c r="V53" s="26">
        <v>40</v>
      </c>
      <c r="W53" s="26">
        <v>32</v>
      </c>
      <c r="X53" s="26">
        <v>32</v>
      </c>
      <c r="Y53" s="25" t="s">
        <v>73</v>
      </c>
      <c r="Z53" s="25" t="s">
        <v>335</v>
      </c>
      <c r="AA53" s="25" t="s">
        <v>73</v>
      </c>
      <c r="AB53" s="25" t="s">
        <v>78</v>
      </c>
      <c r="AC53" s="25" t="s">
        <v>73</v>
      </c>
      <c r="AD53" s="25" t="s">
        <v>336</v>
      </c>
      <c r="AE53" s="25"/>
      <c r="AF53" s="25"/>
      <c r="AG53" s="25" t="s">
        <v>75</v>
      </c>
      <c r="AH53" s="25" t="s">
        <v>80</v>
      </c>
      <c r="AI53" s="25"/>
      <c r="AJ53" s="25"/>
    </row>
    <row r="54" spans="1:36">
      <c r="A54" s="38">
        <v>52</v>
      </c>
      <c r="B54" s="38" t="s">
        <v>380</v>
      </c>
      <c r="C54" s="55">
        <v>2</v>
      </c>
      <c r="D54" s="55">
        <v>68172.661870503594</v>
      </c>
      <c r="E54" s="55">
        <v>68172.661870503594</v>
      </c>
      <c r="F54" s="55">
        <v>105000</v>
      </c>
      <c r="G54" s="55">
        <v>105000</v>
      </c>
      <c r="H54" s="60">
        <v>3500</v>
      </c>
      <c r="I54" s="60">
        <v>2100000</v>
      </c>
      <c r="J54" s="63">
        <v>2000</v>
      </c>
      <c r="K54" s="63">
        <v>2000</v>
      </c>
      <c r="L54" s="27">
        <v>0</v>
      </c>
      <c r="M54" s="27">
        <f t="shared" si="0"/>
        <v>1780</v>
      </c>
      <c r="N54" s="26">
        <v>1900</v>
      </c>
      <c r="O54" s="26">
        <v>2800</v>
      </c>
      <c r="P54" s="26">
        <v>1750</v>
      </c>
      <c r="Q54" s="26">
        <v>120</v>
      </c>
      <c r="R54" s="26">
        <v>2800</v>
      </c>
      <c r="S54" s="26">
        <v>20</v>
      </c>
      <c r="T54" s="26">
        <v>5985</v>
      </c>
      <c r="U54" s="26">
        <v>16</v>
      </c>
      <c r="V54" s="26">
        <v>40</v>
      </c>
      <c r="W54" s="26">
        <v>32</v>
      </c>
      <c r="X54" s="26">
        <v>32</v>
      </c>
      <c r="Y54" s="25" t="s">
        <v>73</v>
      </c>
      <c r="Z54" s="25" t="s">
        <v>335</v>
      </c>
      <c r="AA54" s="25" t="s">
        <v>73</v>
      </c>
      <c r="AB54" s="25" t="s">
        <v>78</v>
      </c>
      <c r="AC54" s="25" t="s">
        <v>73</v>
      </c>
      <c r="AD54" s="25" t="s">
        <v>336</v>
      </c>
      <c r="AE54" s="25"/>
      <c r="AF54" s="25"/>
      <c r="AG54" s="25" t="s">
        <v>75</v>
      </c>
      <c r="AH54" s="25" t="s">
        <v>80</v>
      </c>
      <c r="AI54" s="25"/>
      <c r="AJ54" s="25"/>
    </row>
    <row r="55" spans="1:36">
      <c r="A55" s="37">
        <v>53</v>
      </c>
      <c r="B55" s="37" t="s">
        <v>381</v>
      </c>
      <c r="C55" s="54">
        <v>2</v>
      </c>
      <c r="D55" s="54">
        <v>65007.194244604318</v>
      </c>
      <c r="E55" s="54">
        <v>65007.194244604318</v>
      </c>
      <c r="F55" s="54">
        <v>105000</v>
      </c>
      <c r="G55" s="54">
        <v>105000</v>
      </c>
      <c r="H55" s="59">
        <v>3500</v>
      </c>
      <c r="I55" s="59">
        <v>2100000</v>
      </c>
      <c r="J55" s="62">
        <v>2000</v>
      </c>
      <c r="K55" s="62">
        <v>2000</v>
      </c>
      <c r="L55" s="33">
        <v>0</v>
      </c>
      <c r="M55" s="33">
        <f t="shared" si="0"/>
        <v>1780</v>
      </c>
      <c r="N55" s="34">
        <v>1900</v>
      </c>
      <c r="O55" s="34">
        <v>2800</v>
      </c>
      <c r="P55" s="34">
        <v>1750</v>
      </c>
      <c r="Q55" s="34">
        <v>120</v>
      </c>
      <c r="R55" s="34">
        <v>2800</v>
      </c>
      <c r="S55" s="34">
        <v>20</v>
      </c>
      <c r="T55" s="34">
        <v>6081</v>
      </c>
      <c r="U55" s="34">
        <v>16</v>
      </c>
      <c r="V55" s="34">
        <v>40</v>
      </c>
      <c r="W55" s="34">
        <v>38</v>
      </c>
      <c r="X55" s="34">
        <v>38</v>
      </c>
      <c r="Y55" s="35" t="s">
        <v>73</v>
      </c>
      <c r="Z55" s="35" t="s">
        <v>334</v>
      </c>
      <c r="AA55" s="35" t="s">
        <v>73</v>
      </c>
      <c r="AB55" s="35" t="s">
        <v>78</v>
      </c>
      <c r="AC55" s="35" t="s">
        <v>73</v>
      </c>
      <c r="AD55" s="35" t="s">
        <v>336</v>
      </c>
      <c r="AE55" s="25"/>
      <c r="AF55" s="25"/>
      <c r="AG55" s="25" t="s">
        <v>75</v>
      </c>
      <c r="AH55" s="25" t="s">
        <v>80</v>
      </c>
      <c r="AI55" s="25"/>
      <c r="AJ55" s="25"/>
    </row>
    <row r="56" spans="1:36">
      <c r="A56" s="38">
        <v>54</v>
      </c>
      <c r="B56" s="38" t="s">
        <v>382</v>
      </c>
      <c r="C56" s="55">
        <v>2</v>
      </c>
      <c r="D56" s="55">
        <v>61841.726618705041</v>
      </c>
      <c r="E56" s="55">
        <v>61841.726618705041</v>
      </c>
      <c r="F56" s="55">
        <v>105000</v>
      </c>
      <c r="G56" s="55">
        <v>105000</v>
      </c>
      <c r="H56" s="60">
        <v>3500</v>
      </c>
      <c r="I56" s="60">
        <v>2100000</v>
      </c>
      <c r="J56" s="63">
        <v>2000</v>
      </c>
      <c r="K56" s="63">
        <v>2000</v>
      </c>
      <c r="L56" s="27">
        <v>0</v>
      </c>
      <c r="M56" s="27">
        <f t="shared" si="0"/>
        <v>1780</v>
      </c>
      <c r="N56" s="26">
        <v>1900</v>
      </c>
      <c r="O56" s="26">
        <v>2800</v>
      </c>
      <c r="P56" s="26">
        <v>1750</v>
      </c>
      <c r="Q56" s="26">
        <v>120</v>
      </c>
      <c r="R56" s="26">
        <v>2800</v>
      </c>
      <c r="S56" s="26">
        <v>20</v>
      </c>
      <c r="T56" s="26">
        <v>6240</v>
      </c>
      <c r="U56" s="26">
        <v>16</v>
      </c>
      <c r="V56" s="26">
        <v>40</v>
      </c>
      <c r="W56" s="26">
        <v>38</v>
      </c>
      <c r="X56" s="26">
        <v>38</v>
      </c>
      <c r="Y56" s="25" t="s">
        <v>73</v>
      </c>
      <c r="Z56" s="25" t="s">
        <v>335</v>
      </c>
      <c r="AA56" s="25" t="s">
        <v>73</v>
      </c>
      <c r="AB56" s="25" t="s">
        <v>78</v>
      </c>
      <c r="AC56" s="25" t="s">
        <v>73</v>
      </c>
      <c r="AD56" s="25" t="s">
        <v>336</v>
      </c>
      <c r="AE56" s="25"/>
      <c r="AF56" s="25"/>
      <c r="AG56" s="25" t="s">
        <v>75</v>
      </c>
      <c r="AH56" s="25" t="s">
        <v>80</v>
      </c>
      <c r="AI56" s="25"/>
      <c r="AJ56" s="25"/>
    </row>
    <row r="57" spans="1:36">
      <c r="A57" s="38">
        <v>55</v>
      </c>
      <c r="B57" s="38" t="s">
        <v>383</v>
      </c>
      <c r="C57" s="55">
        <v>2</v>
      </c>
      <c r="D57" s="55">
        <v>58676.258992805757</v>
      </c>
      <c r="E57" s="55">
        <v>58676.258992805757</v>
      </c>
      <c r="F57" s="55">
        <v>105000</v>
      </c>
      <c r="G57" s="55">
        <v>105000</v>
      </c>
      <c r="H57" s="60">
        <v>3500</v>
      </c>
      <c r="I57" s="60">
        <v>2100000</v>
      </c>
      <c r="J57" s="63">
        <v>2000</v>
      </c>
      <c r="K57" s="63">
        <v>2000</v>
      </c>
      <c r="L57" s="27">
        <v>0</v>
      </c>
      <c r="M57" s="27">
        <f t="shared" si="0"/>
        <v>1780</v>
      </c>
      <c r="N57" s="26">
        <v>1900</v>
      </c>
      <c r="O57" s="26">
        <v>2800</v>
      </c>
      <c r="P57" s="26">
        <v>1750</v>
      </c>
      <c r="Q57" s="26">
        <v>120</v>
      </c>
      <c r="R57" s="26">
        <v>2800</v>
      </c>
      <c r="S57" s="26">
        <v>20</v>
      </c>
      <c r="T57" s="26">
        <v>6373</v>
      </c>
      <c r="U57" s="26">
        <v>16</v>
      </c>
      <c r="V57" s="26">
        <v>40</v>
      </c>
      <c r="W57" s="26">
        <v>38</v>
      </c>
      <c r="X57" s="26">
        <v>38</v>
      </c>
      <c r="Y57" s="25" t="s">
        <v>73</v>
      </c>
      <c r="Z57" s="25" t="s">
        <v>335</v>
      </c>
      <c r="AA57" s="25" t="s">
        <v>73</v>
      </c>
      <c r="AB57" s="25" t="s">
        <v>78</v>
      </c>
      <c r="AC57" s="25" t="s">
        <v>73</v>
      </c>
      <c r="AD57" s="25" t="s">
        <v>336</v>
      </c>
      <c r="AE57" s="25"/>
      <c r="AF57" s="25"/>
      <c r="AG57" s="25" t="s">
        <v>75</v>
      </c>
      <c r="AH57" s="25" t="s">
        <v>80</v>
      </c>
      <c r="AI57" s="25"/>
      <c r="AJ57" s="25"/>
    </row>
    <row r="58" spans="1:36">
      <c r="A58" s="38">
        <v>56</v>
      </c>
      <c r="B58" s="38" t="s">
        <v>384</v>
      </c>
      <c r="C58" s="55">
        <v>2</v>
      </c>
      <c r="D58" s="55">
        <v>55589.92805755396</v>
      </c>
      <c r="E58" s="55">
        <v>55589.92805755396</v>
      </c>
      <c r="F58" s="55">
        <v>105000</v>
      </c>
      <c r="G58" s="55">
        <v>105000</v>
      </c>
      <c r="H58" s="60">
        <v>3500</v>
      </c>
      <c r="I58" s="60">
        <v>2100000</v>
      </c>
      <c r="J58" s="63">
        <v>2000</v>
      </c>
      <c r="K58" s="63">
        <v>2000</v>
      </c>
      <c r="L58" s="27">
        <v>0</v>
      </c>
      <c r="M58" s="27">
        <f t="shared" si="0"/>
        <v>1780</v>
      </c>
      <c r="N58" s="26">
        <v>1900</v>
      </c>
      <c r="O58" s="26">
        <v>2800</v>
      </c>
      <c r="P58" s="26">
        <v>1750</v>
      </c>
      <c r="Q58" s="26">
        <v>120</v>
      </c>
      <c r="R58" s="26">
        <v>2800</v>
      </c>
      <c r="S58" s="26">
        <v>20</v>
      </c>
      <c r="T58" s="26">
        <v>6500</v>
      </c>
      <c r="U58" s="26">
        <v>16</v>
      </c>
      <c r="V58" s="26">
        <v>40</v>
      </c>
      <c r="W58" s="26">
        <v>38</v>
      </c>
      <c r="X58" s="26">
        <v>38</v>
      </c>
      <c r="Y58" s="25" t="s">
        <v>73</v>
      </c>
      <c r="Z58" s="25" t="s">
        <v>335</v>
      </c>
      <c r="AA58" s="25" t="s">
        <v>73</v>
      </c>
      <c r="AB58" s="25" t="s">
        <v>78</v>
      </c>
      <c r="AC58" s="25" t="s">
        <v>73</v>
      </c>
      <c r="AD58" s="25" t="s">
        <v>336</v>
      </c>
      <c r="AE58" s="25"/>
      <c r="AF58" s="25"/>
      <c r="AG58" s="25" t="s">
        <v>75</v>
      </c>
      <c r="AH58" s="25" t="s">
        <v>80</v>
      </c>
      <c r="AI58" s="25"/>
      <c r="AJ58" s="25"/>
    </row>
    <row r="59" spans="1:36">
      <c r="A59" s="36">
        <v>57</v>
      </c>
      <c r="B59" s="36" t="s">
        <v>385</v>
      </c>
      <c r="C59" s="53">
        <v>3</v>
      </c>
      <c r="D59" s="53">
        <v>51000</v>
      </c>
      <c r="E59" s="53">
        <v>51000</v>
      </c>
      <c r="F59" s="53">
        <v>127500</v>
      </c>
      <c r="G59" s="53">
        <v>127500</v>
      </c>
      <c r="H59" s="58">
        <v>3500</v>
      </c>
      <c r="I59" s="58">
        <v>2100000</v>
      </c>
      <c r="J59" s="61">
        <v>2000</v>
      </c>
      <c r="K59" s="61">
        <v>2000</v>
      </c>
      <c r="L59" s="30">
        <v>0</v>
      </c>
      <c r="M59" s="30">
        <f t="shared" si="0"/>
        <v>1780</v>
      </c>
      <c r="N59" s="31">
        <v>1900</v>
      </c>
      <c r="O59" s="31">
        <v>2800</v>
      </c>
      <c r="P59" s="31">
        <v>1750</v>
      </c>
      <c r="Q59" s="31">
        <v>120</v>
      </c>
      <c r="R59" s="31">
        <v>2800</v>
      </c>
      <c r="S59" s="31">
        <v>20</v>
      </c>
      <c r="T59" s="31">
        <v>6500</v>
      </c>
      <c r="U59" s="31">
        <v>16</v>
      </c>
      <c r="V59" s="31">
        <v>40</v>
      </c>
      <c r="W59" s="31">
        <v>38</v>
      </c>
      <c r="X59" s="31">
        <v>38</v>
      </c>
      <c r="Y59" s="32" t="s">
        <v>73</v>
      </c>
      <c r="Z59" s="32" t="s">
        <v>335</v>
      </c>
      <c r="AA59" s="32" t="s">
        <v>73</v>
      </c>
      <c r="AB59" s="32" t="s">
        <v>78</v>
      </c>
      <c r="AC59" s="32" t="s">
        <v>73</v>
      </c>
      <c r="AD59" s="32" t="s">
        <v>336</v>
      </c>
      <c r="AE59" s="25"/>
      <c r="AF59" s="25"/>
      <c r="AG59" s="25" t="s">
        <v>75</v>
      </c>
      <c r="AH59" s="25" t="s">
        <v>80</v>
      </c>
      <c r="AI59" s="25"/>
      <c r="AJ59" s="25"/>
    </row>
    <row r="60" spans="1:36">
      <c r="A60" s="38">
        <v>58</v>
      </c>
      <c r="B60" s="38" t="s">
        <v>386</v>
      </c>
      <c r="C60" s="55">
        <v>4</v>
      </c>
      <c r="D60" s="55">
        <v>54619.199999999997</v>
      </c>
      <c r="E60" s="55">
        <v>54619.199999999997</v>
      </c>
      <c r="F60" s="55">
        <v>150000</v>
      </c>
      <c r="G60" s="55">
        <v>150000</v>
      </c>
      <c r="H60" s="60">
        <v>3500</v>
      </c>
      <c r="I60" s="60">
        <v>2100000</v>
      </c>
      <c r="J60" s="63">
        <v>2000</v>
      </c>
      <c r="K60" s="63">
        <v>2000</v>
      </c>
      <c r="L60" s="27">
        <v>0</v>
      </c>
      <c r="M60" s="27">
        <f>N60-Q60</f>
        <v>1780</v>
      </c>
      <c r="N60" s="26">
        <v>1900</v>
      </c>
      <c r="O60" s="26">
        <v>2800</v>
      </c>
      <c r="P60" s="26">
        <v>1750</v>
      </c>
      <c r="Q60" s="26">
        <v>120</v>
      </c>
      <c r="R60" s="26">
        <v>2800</v>
      </c>
      <c r="S60" s="26">
        <v>20</v>
      </c>
      <c r="T60" s="26">
        <v>6500</v>
      </c>
      <c r="U60" s="26">
        <v>16</v>
      </c>
      <c r="V60" s="26">
        <v>40</v>
      </c>
      <c r="W60" s="26">
        <v>38</v>
      </c>
      <c r="X60" s="26">
        <v>38</v>
      </c>
      <c r="Y60" s="25" t="s">
        <v>73</v>
      </c>
      <c r="Z60" s="25" t="s">
        <v>335</v>
      </c>
      <c r="AA60" s="25" t="s">
        <v>73</v>
      </c>
      <c r="AB60" s="25" t="s">
        <v>78</v>
      </c>
      <c r="AC60" s="25" t="s">
        <v>73</v>
      </c>
      <c r="AD60" s="25" t="s">
        <v>336</v>
      </c>
      <c r="AE60" s="25"/>
      <c r="AF60" s="25"/>
      <c r="AG60" s="25" t="s">
        <v>75</v>
      </c>
      <c r="AH60" s="25" t="s">
        <v>80</v>
      </c>
      <c r="AI60" s="25"/>
      <c r="AJ60" s="25"/>
    </row>
    <row r="61" spans="1:36">
      <c r="A61" s="38">
        <v>59</v>
      </c>
      <c r="B61" s="38" t="s">
        <v>387</v>
      </c>
      <c r="C61" s="55">
        <v>4</v>
      </c>
      <c r="D61" s="55">
        <v>57333.599999999999</v>
      </c>
      <c r="E61" s="55">
        <v>57333.599999999999</v>
      </c>
      <c r="F61" s="55">
        <v>150000</v>
      </c>
      <c r="G61" s="55">
        <v>150000</v>
      </c>
      <c r="H61" s="60">
        <v>3500</v>
      </c>
      <c r="I61" s="60">
        <v>2100000</v>
      </c>
      <c r="J61" s="63">
        <v>2000</v>
      </c>
      <c r="K61" s="63">
        <v>2000</v>
      </c>
      <c r="L61" s="27">
        <v>0</v>
      </c>
      <c r="M61" s="27">
        <f t="shared" ref="M61:M124" si="1">N61-Q61</f>
        <v>1780</v>
      </c>
      <c r="N61" s="26">
        <v>1900</v>
      </c>
      <c r="O61" s="26">
        <v>2800</v>
      </c>
      <c r="P61" s="26">
        <v>1750</v>
      </c>
      <c r="Q61" s="26">
        <v>120</v>
      </c>
      <c r="R61" s="26">
        <v>2800</v>
      </c>
      <c r="S61" s="26">
        <v>20</v>
      </c>
      <c r="T61" s="26">
        <v>6358</v>
      </c>
      <c r="U61" s="26">
        <v>16</v>
      </c>
      <c r="V61" s="26">
        <v>40</v>
      </c>
      <c r="W61" s="26">
        <v>38</v>
      </c>
      <c r="X61" s="26">
        <v>38</v>
      </c>
      <c r="Y61" s="25" t="s">
        <v>73</v>
      </c>
      <c r="Z61" s="25" t="s">
        <v>335</v>
      </c>
      <c r="AA61" s="25" t="s">
        <v>73</v>
      </c>
      <c r="AB61" s="25" t="s">
        <v>78</v>
      </c>
      <c r="AC61" s="25" t="s">
        <v>73</v>
      </c>
      <c r="AD61" s="25" t="s">
        <v>336</v>
      </c>
      <c r="AE61" s="25"/>
      <c r="AF61" s="25"/>
      <c r="AG61" s="25" t="s">
        <v>75</v>
      </c>
      <c r="AH61" s="25" t="s">
        <v>80</v>
      </c>
      <c r="AI61" s="25"/>
      <c r="AJ61" s="25"/>
    </row>
    <row r="62" spans="1:36" s="39" customFormat="1">
      <c r="A62" s="37">
        <v>60</v>
      </c>
      <c r="B62" s="37" t="s">
        <v>388</v>
      </c>
      <c r="C62" s="54">
        <v>4</v>
      </c>
      <c r="D62" s="54">
        <v>60048</v>
      </c>
      <c r="E62" s="54">
        <v>60048</v>
      </c>
      <c r="F62" s="54">
        <v>150000</v>
      </c>
      <c r="G62" s="54">
        <v>150000</v>
      </c>
      <c r="H62" s="59">
        <v>3500</v>
      </c>
      <c r="I62" s="59">
        <v>2100000</v>
      </c>
      <c r="J62" s="62">
        <v>2000</v>
      </c>
      <c r="K62" s="62">
        <v>2000</v>
      </c>
      <c r="L62" s="33">
        <v>0</v>
      </c>
      <c r="M62" s="33">
        <f t="shared" si="1"/>
        <v>1780</v>
      </c>
      <c r="N62" s="34">
        <v>1900</v>
      </c>
      <c r="O62" s="34">
        <v>2800</v>
      </c>
      <c r="P62" s="34">
        <v>1750</v>
      </c>
      <c r="Q62" s="34">
        <v>120</v>
      </c>
      <c r="R62" s="34">
        <v>2800</v>
      </c>
      <c r="S62" s="34">
        <v>20</v>
      </c>
      <c r="T62" s="34">
        <v>6214</v>
      </c>
      <c r="U62" s="34">
        <v>16</v>
      </c>
      <c r="V62" s="34">
        <v>40</v>
      </c>
      <c r="W62" s="34">
        <v>38</v>
      </c>
      <c r="X62" s="34">
        <v>38</v>
      </c>
      <c r="Y62" s="35" t="s">
        <v>73</v>
      </c>
      <c r="Z62" s="35" t="s">
        <v>334</v>
      </c>
      <c r="AA62" s="35" t="s">
        <v>73</v>
      </c>
      <c r="AB62" s="35" t="s">
        <v>78</v>
      </c>
      <c r="AC62" s="35" t="s">
        <v>73</v>
      </c>
      <c r="AD62" s="35" t="s">
        <v>336</v>
      </c>
      <c r="AE62" s="35"/>
      <c r="AF62" s="35"/>
      <c r="AG62" s="35" t="s">
        <v>75</v>
      </c>
      <c r="AH62" s="35" t="s">
        <v>80</v>
      </c>
      <c r="AI62" s="35"/>
      <c r="AJ62" s="35"/>
    </row>
    <row r="63" spans="1:36">
      <c r="A63" s="38">
        <v>61</v>
      </c>
      <c r="B63" s="38" t="s">
        <v>389</v>
      </c>
      <c r="C63" s="55">
        <v>4</v>
      </c>
      <c r="D63" s="55">
        <v>62544</v>
      </c>
      <c r="E63" s="55">
        <v>62544</v>
      </c>
      <c r="F63" s="55">
        <v>150000</v>
      </c>
      <c r="G63" s="55">
        <v>150000</v>
      </c>
      <c r="H63" s="60">
        <v>3500</v>
      </c>
      <c r="I63" s="60">
        <v>2100000</v>
      </c>
      <c r="J63" s="63">
        <v>2000</v>
      </c>
      <c r="K63" s="63">
        <v>2000</v>
      </c>
      <c r="L63" s="27">
        <v>0</v>
      </c>
      <c r="M63" s="27">
        <f t="shared" si="1"/>
        <v>1780</v>
      </c>
      <c r="N63" s="26">
        <v>1900</v>
      </c>
      <c r="O63" s="26">
        <v>2800</v>
      </c>
      <c r="P63" s="26">
        <v>1750</v>
      </c>
      <c r="Q63" s="26">
        <v>120</v>
      </c>
      <c r="R63" s="26">
        <v>2800</v>
      </c>
      <c r="S63" s="26">
        <v>20</v>
      </c>
      <c r="T63" s="26">
        <v>6085</v>
      </c>
      <c r="U63" s="26">
        <v>16</v>
      </c>
      <c r="V63" s="26">
        <v>40</v>
      </c>
      <c r="W63" s="26">
        <v>35</v>
      </c>
      <c r="X63" s="26">
        <v>35</v>
      </c>
      <c r="Y63" s="25" t="s">
        <v>73</v>
      </c>
      <c r="Z63" s="25" t="s">
        <v>335</v>
      </c>
      <c r="AA63" s="25" t="s">
        <v>73</v>
      </c>
      <c r="AB63" s="25" t="s">
        <v>78</v>
      </c>
      <c r="AC63" s="25" t="s">
        <v>73</v>
      </c>
      <c r="AD63" s="25" t="s">
        <v>336</v>
      </c>
      <c r="AE63" s="25"/>
      <c r="AF63" s="25"/>
      <c r="AG63" s="25" t="s">
        <v>75</v>
      </c>
      <c r="AH63" s="25" t="s">
        <v>80</v>
      </c>
      <c r="AI63" s="25"/>
      <c r="AJ63" s="25"/>
    </row>
    <row r="64" spans="1:36">
      <c r="A64" s="38">
        <v>62</v>
      </c>
      <c r="B64" s="38" t="s">
        <v>390</v>
      </c>
      <c r="C64" s="55">
        <v>4</v>
      </c>
      <c r="D64" s="55">
        <v>65040</v>
      </c>
      <c r="E64" s="55">
        <v>65040</v>
      </c>
      <c r="F64" s="55">
        <v>150000</v>
      </c>
      <c r="G64" s="55">
        <v>150000</v>
      </c>
      <c r="H64" s="60">
        <v>3500</v>
      </c>
      <c r="I64" s="60">
        <v>2100000</v>
      </c>
      <c r="J64" s="63">
        <v>2000</v>
      </c>
      <c r="K64" s="63">
        <v>2000</v>
      </c>
      <c r="L64" s="27">
        <v>0</v>
      </c>
      <c r="M64" s="27">
        <f t="shared" si="1"/>
        <v>1780</v>
      </c>
      <c r="N64" s="26">
        <v>1900</v>
      </c>
      <c r="O64" s="26">
        <v>2800</v>
      </c>
      <c r="P64" s="26">
        <v>1750</v>
      </c>
      <c r="Q64" s="26">
        <v>120</v>
      </c>
      <c r="R64" s="26">
        <v>2800</v>
      </c>
      <c r="S64" s="26">
        <v>20</v>
      </c>
      <c r="T64" s="26">
        <v>5960</v>
      </c>
      <c r="U64" s="26">
        <v>16</v>
      </c>
      <c r="V64" s="26">
        <v>40</v>
      </c>
      <c r="W64" s="26">
        <v>35</v>
      </c>
      <c r="X64" s="26">
        <v>35</v>
      </c>
      <c r="Y64" s="25" t="s">
        <v>73</v>
      </c>
      <c r="Z64" s="25" t="s">
        <v>335</v>
      </c>
      <c r="AA64" s="25" t="s">
        <v>73</v>
      </c>
      <c r="AB64" s="25" t="s">
        <v>78</v>
      </c>
      <c r="AC64" s="25" t="s">
        <v>73</v>
      </c>
      <c r="AD64" s="25" t="s">
        <v>336</v>
      </c>
      <c r="AE64" s="25"/>
      <c r="AF64" s="25"/>
      <c r="AG64" s="25" t="s">
        <v>75</v>
      </c>
      <c r="AH64" s="25" t="s">
        <v>80</v>
      </c>
      <c r="AI64" s="25"/>
      <c r="AJ64" s="25"/>
    </row>
    <row r="65" spans="1:36">
      <c r="A65" s="38">
        <v>63</v>
      </c>
      <c r="B65" s="38" t="s">
        <v>391</v>
      </c>
      <c r="C65" s="55">
        <v>4</v>
      </c>
      <c r="D65" s="55">
        <v>67536</v>
      </c>
      <c r="E65" s="55">
        <v>67536</v>
      </c>
      <c r="F65" s="55">
        <v>150000</v>
      </c>
      <c r="G65" s="55">
        <v>150000</v>
      </c>
      <c r="H65" s="60">
        <v>3500</v>
      </c>
      <c r="I65" s="60">
        <v>2100000</v>
      </c>
      <c r="J65" s="63">
        <v>2000</v>
      </c>
      <c r="K65" s="63">
        <v>2000</v>
      </c>
      <c r="L65" s="27">
        <v>0</v>
      </c>
      <c r="M65" s="27">
        <f t="shared" si="1"/>
        <v>1780</v>
      </c>
      <c r="N65" s="26">
        <v>1900</v>
      </c>
      <c r="O65" s="26">
        <v>2800</v>
      </c>
      <c r="P65" s="26">
        <v>1750</v>
      </c>
      <c r="Q65" s="26">
        <v>120</v>
      </c>
      <c r="R65" s="26">
        <v>2800</v>
      </c>
      <c r="S65" s="26">
        <v>20</v>
      </c>
      <c r="T65" s="26">
        <v>5839</v>
      </c>
      <c r="U65" s="26">
        <v>16</v>
      </c>
      <c r="V65" s="26">
        <v>40</v>
      </c>
      <c r="W65" s="26">
        <v>35</v>
      </c>
      <c r="X65" s="26">
        <v>35</v>
      </c>
      <c r="Y65" s="25" t="s">
        <v>73</v>
      </c>
      <c r="Z65" s="25" t="s">
        <v>335</v>
      </c>
      <c r="AA65" s="25" t="s">
        <v>73</v>
      </c>
      <c r="AB65" s="25" t="s">
        <v>78</v>
      </c>
      <c r="AC65" s="25" t="s">
        <v>73</v>
      </c>
      <c r="AD65" s="25" t="s">
        <v>336</v>
      </c>
      <c r="AE65" s="25"/>
      <c r="AF65" s="25"/>
      <c r="AG65" s="25" t="s">
        <v>75</v>
      </c>
      <c r="AH65" s="25" t="s">
        <v>80</v>
      </c>
      <c r="AI65" s="25"/>
      <c r="AJ65" s="25"/>
    </row>
    <row r="66" spans="1:36" s="39" customFormat="1">
      <c r="A66" s="37">
        <v>64</v>
      </c>
      <c r="B66" s="37" t="s">
        <v>392</v>
      </c>
      <c r="C66" s="54">
        <v>4</v>
      </c>
      <c r="D66" s="54">
        <v>70032</v>
      </c>
      <c r="E66" s="54">
        <v>70032</v>
      </c>
      <c r="F66" s="54">
        <v>150000</v>
      </c>
      <c r="G66" s="54">
        <v>150000</v>
      </c>
      <c r="H66" s="59">
        <v>3500</v>
      </c>
      <c r="I66" s="59">
        <v>2100000</v>
      </c>
      <c r="J66" s="62">
        <v>2000</v>
      </c>
      <c r="K66" s="62">
        <v>2000</v>
      </c>
      <c r="L66" s="33">
        <v>0</v>
      </c>
      <c r="M66" s="33">
        <f t="shared" si="1"/>
        <v>1780</v>
      </c>
      <c r="N66" s="34">
        <v>1900</v>
      </c>
      <c r="O66" s="34">
        <v>2800</v>
      </c>
      <c r="P66" s="34">
        <v>1750</v>
      </c>
      <c r="Q66" s="34">
        <v>120</v>
      </c>
      <c r="R66" s="34">
        <v>2800</v>
      </c>
      <c r="S66" s="34">
        <v>20</v>
      </c>
      <c r="T66" s="34">
        <v>5722</v>
      </c>
      <c r="U66" s="34">
        <v>16</v>
      </c>
      <c r="V66" s="34">
        <v>40</v>
      </c>
      <c r="W66" s="34">
        <v>35</v>
      </c>
      <c r="X66" s="34">
        <v>35</v>
      </c>
      <c r="Y66" s="35" t="s">
        <v>73</v>
      </c>
      <c r="Z66" s="35" t="s">
        <v>334</v>
      </c>
      <c r="AA66" s="35" t="s">
        <v>73</v>
      </c>
      <c r="AB66" s="35" t="s">
        <v>78</v>
      </c>
      <c r="AC66" s="35" t="s">
        <v>73</v>
      </c>
      <c r="AD66" s="35" t="s">
        <v>336</v>
      </c>
      <c r="AE66" s="35"/>
      <c r="AF66" s="35"/>
      <c r="AG66" s="35" t="s">
        <v>75</v>
      </c>
      <c r="AH66" s="35" t="s">
        <v>80</v>
      </c>
      <c r="AI66" s="35"/>
      <c r="AJ66" s="35"/>
    </row>
    <row r="67" spans="1:36">
      <c r="A67" s="38">
        <v>65</v>
      </c>
      <c r="B67" s="38" t="s">
        <v>393</v>
      </c>
      <c r="C67" s="55">
        <v>4</v>
      </c>
      <c r="D67" s="55">
        <v>72528</v>
      </c>
      <c r="E67" s="55">
        <v>72528</v>
      </c>
      <c r="F67" s="55">
        <v>150000</v>
      </c>
      <c r="G67" s="55">
        <v>150000</v>
      </c>
      <c r="H67" s="60">
        <v>3500</v>
      </c>
      <c r="I67" s="60">
        <v>2100000</v>
      </c>
      <c r="J67" s="63">
        <v>2000</v>
      </c>
      <c r="K67" s="63">
        <v>2000</v>
      </c>
      <c r="L67" s="27">
        <v>0</v>
      </c>
      <c r="M67" s="27">
        <f t="shared" si="1"/>
        <v>1780</v>
      </c>
      <c r="N67" s="26">
        <v>1900</v>
      </c>
      <c r="O67" s="26">
        <v>2800</v>
      </c>
      <c r="P67" s="26">
        <v>1750</v>
      </c>
      <c r="Q67" s="26">
        <v>120</v>
      </c>
      <c r="R67" s="26">
        <v>2800</v>
      </c>
      <c r="S67" s="26">
        <v>20</v>
      </c>
      <c r="T67" s="26">
        <v>5608</v>
      </c>
      <c r="U67" s="26">
        <v>16</v>
      </c>
      <c r="V67" s="26">
        <v>40</v>
      </c>
      <c r="W67" s="26">
        <v>35</v>
      </c>
      <c r="X67" s="26">
        <v>35</v>
      </c>
      <c r="Y67" s="25" t="s">
        <v>73</v>
      </c>
      <c r="Z67" s="25" t="s">
        <v>335</v>
      </c>
      <c r="AA67" s="25" t="s">
        <v>73</v>
      </c>
      <c r="AB67" s="25" t="s">
        <v>78</v>
      </c>
      <c r="AC67" s="25" t="s">
        <v>73</v>
      </c>
      <c r="AD67" s="25" t="s">
        <v>336</v>
      </c>
      <c r="AE67" s="25"/>
      <c r="AF67" s="25"/>
      <c r="AG67" s="25" t="s">
        <v>75</v>
      </c>
      <c r="AH67" s="25" t="s">
        <v>80</v>
      </c>
      <c r="AI67" s="25"/>
      <c r="AJ67" s="25"/>
    </row>
    <row r="68" spans="1:36">
      <c r="A68" s="38">
        <v>66</v>
      </c>
      <c r="B68" s="38" t="s">
        <v>394</v>
      </c>
      <c r="C68" s="55">
        <v>4</v>
      </c>
      <c r="D68" s="55">
        <v>75024</v>
      </c>
      <c r="E68" s="55">
        <v>75024</v>
      </c>
      <c r="F68" s="55">
        <v>150000</v>
      </c>
      <c r="G68" s="55">
        <v>150000</v>
      </c>
      <c r="H68" s="60">
        <v>3500</v>
      </c>
      <c r="I68" s="60">
        <v>2100000</v>
      </c>
      <c r="J68" s="63">
        <v>2000</v>
      </c>
      <c r="K68" s="63">
        <v>2000</v>
      </c>
      <c r="L68" s="27">
        <v>0</v>
      </c>
      <c r="M68" s="27">
        <f t="shared" si="1"/>
        <v>1780</v>
      </c>
      <c r="N68" s="26">
        <v>1900</v>
      </c>
      <c r="O68" s="26">
        <v>2800</v>
      </c>
      <c r="P68" s="26">
        <v>1750</v>
      </c>
      <c r="Q68" s="26">
        <v>120</v>
      </c>
      <c r="R68" s="26">
        <v>2800</v>
      </c>
      <c r="S68" s="26">
        <v>20</v>
      </c>
      <c r="T68" s="26">
        <v>5499</v>
      </c>
      <c r="U68" s="26">
        <v>16</v>
      </c>
      <c r="V68" s="26">
        <v>40</v>
      </c>
      <c r="W68" s="26">
        <v>35</v>
      </c>
      <c r="X68" s="26">
        <v>35</v>
      </c>
      <c r="Y68" s="25" t="s">
        <v>73</v>
      </c>
      <c r="Z68" s="25" t="s">
        <v>335</v>
      </c>
      <c r="AA68" s="25" t="s">
        <v>73</v>
      </c>
      <c r="AB68" s="25" t="s">
        <v>78</v>
      </c>
      <c r="AC68" s="25" t="s">
        <v>73</v>
      </c>
      <c r="AD68" s="25" t="s">
        <v>336</v>
      </c>
      <c r="AE68" s="25"/>
      <c r="AF68" s="25"/>
      <c r="AG68" s="25" t="s">
        <v>75</v>
      </c>
      <c r="AH68" s="25" t="s">
        <v>80</v>
      </c>
      <c r="AI68" s="25"/>
      <c r="AJ68" s="25"/>
    </row>
    <row r="69" spans="1:36">
      <c r="A69" s="38">
        <v>67</v>
      </c>
      <c r="B69" s="38" t="s">
        <v>395</v>
      </c>
      <c r="C69" s="55">
        <v>4</v>
      </c>
      <c r="D69" s="55">
        <v>77520</v>
      </c>
      <c r="E69" s="55">
        <v>77520</v>
      </c>
      <c r="F69" s="55">
        <v>150000</v>
      </c>
      <c r="G69" s="55">
        <v>150000</v>
      </c>
      <c r="H69" s="60">
        <v>3500</v>
      </c>
      <c r="I69" s="60">
        <v>2100000</v>
      </c>
      <c r="J69" s="63">
        <v>2000</v>
      </c>
      <c r="K69" s="63">
        <v>2000</v>
      </c>
      <c r="L69" s="27">
        <v>0</v>
      </c>
      <c r="M69" s="27">
        <f t="shared" si="1"/>
        <v>1780</v>
      </c>
      <c r="N69" s="26">
        <v>1900</v>
      </c>
      <c r="O69" s="26">
        <v>2800</v>
      </c>
      <c r="P69" s="26">
        <v>1750</v>
      </c>
      <c r="Q69" s="26">
        <v>120</v>
      </c>
      <c r="R69" s="26">
        <v>2800</v>
      </c>
      <c r="S69" s="26">
        <v>20</v>
      </c>
      <c r="T69" s="26">
        <v>5393</v>
      </c>
      <c r="U69" s="26">
        <v>16</v>
      </c>
      <c r="V69" s="26">
        <v>40</v>
      </c>
      <c r="W69" s="26">
        <v>35</v>
      </c>
      <c r="X69" s="26">
        <v>35</v>
      </c>
      <c r="Y69" s="25" t="s">
        <v>73</v>
      </c>
      <c r="Z69" s="25" t="s">
        <v>335</v>
      </c>
      <c r="AA69" s="25" t="s">
        <v>73</v>
      </c>
      <c r="AB69" s="25" t="s">
        <v>78</v>
      </c>
      <c r="AC69" s="25" t="s">
        <v>73</v>
      </c>
      <c r="AD69" s="25" t="s">
        <v>336</v>
      </c>
      <c r="AE69" s="25"/>
      <c r="AF69" s="25"/>
      <c r="AG69" s="25" t="s">
        <v>75</v>
      </c>
      <c r="AH69" s="25" t="s">
        <v>80</v>
      </c>
      <c r="AI69" s="25"/>
      <c r="AJ69" s="25"/>
    </row>
    <row r="70" spans="1:36" s="39" customFormat="1">
      <c r="A70" s="37">
        <v>68</v>
      </c>
      <c r="B70" s="37" t="s">
        <v>396</v>
      </c>
      <c r="C70" s="54">
        <v>4</v>
      </c>
      <c r="D70" s="54">
        <v>80016</v>
      </c>
      <c r="E70" s="54">
        <v>80016</v>
      </c>
      <c r="F70" s="54">
        <v>150000</v>
      </c>
      <c r="G70" s="54">
        <v>150000</v>
      </c>
      <c r="H70" s="59">
        <v>3500</v>
      </c>
      <c r="I70" s="59">
        <v>2100000</v>
      </c>
      <c r="J70" s="62">
        <v>2000</v>
      </c>
      <c r="K70" s="62">
        <v>2000</v>
      </c>
      <c r="L70" s="33">
        <v>0</v>
      </c>
      <c r="M70" s="33">
        <f t="shared" si="1"/>
        <v>1780</v>
      </c>
      <c r="N70" s="34">
        <v>1900</v>
      </c>
      <c r="O70" s="34">
        <v>2800</v>
      </c>
      <c r="P70" s="34">
        <v>1750</v>
      </c>
      <c r="Q70" s="34">
        <v>120</v>
      </c>
      <c r="R70" s="34">
        <v>2800</v>
      </c>
      <c r="S70" s="34">
        <v>20</v>
      </c>
      <c r="T70" s="34">
        <v>5292</v>
      </c>
      <c r="U70" s="34">
        <v>16</v>
      </c>
      <c r="V70" s="34">
        <v>40</v>
      </c>
      <c r="W70" s="34">
        <v>35</v>
      </c>
      <c r="X70" s="34">
        <v>35</v>
      </c>
      <c r="Y70" s="35" t="s">
        <v>73</v>
      </c>
      <c r="Z70" s="35" t="s">
        <v>334</v>
      </c>
      <c r="AA70" s="35" t="s">
        <v>73</v>
      </c>
      <c r="AB70" s="35" t="s">
        <v>78</v>
      </c>
      <c r="AC70" s="35" t="s">
        <v>73</v>
      </c>
      <c r="AD70" s="35" t="s">
        <v>336</v>
      </c>
      <c r="AE70" s="35"/>
      <c r="AF70" s="35"/>
      <c r="AG70" s="35" t="s">
        <v>75</v>
      </c>
      <c r="AH70" s="35" t="s">
        <v>80</v>
      </c>
      <c r="AI70" s="35"/>
      <c r="AJ70" s="35"/>
    </row>
    <row r="71" spans="1:36">
      <c r="A71" s="38">
        <v>69</v>
      </c>
      <c r="B71" s="38" t="s">
        <v>397</v>
      </c>
      <c r="C71" s="55">
        <v>4</v>
      </c>
      <c r="D71" s="55">
        <v>82512</v>
      </c>
      <c r="E71" s="55">
        <v>82512</v>
      </c>
      <c r="F71" s="55">
        <v>150000</v>
      </c>
      <c r="G71" s="55">
        <v>150000</v>
      </c>
      <c r="H71" s="60">
        <v>3500</v>
      </c>
      <c r="I71" s="60">
        <v>2100000</v>
      </c>
      <c r="J71" s="63">
        <v>2000</v>
      </c>
      <c r="K71" s="63">
        <v>2000</v>
      </c>
      <c r="L71" s="27">
        <v>0</v>
      </c>
      <c r="M71" s="27">
        <f t="shared" si="1"/>
        <v>1780</v>
      </c>
      <c r="N71" s="26">
        <v>1900</v>
      </c>
      <c r="O71" s="26">
        <v>2800</v>
      </c>
      <c r="P71" s="26">
        <v>1750</v>
      </c>
      <c r="Q71" s="26">
        <v>120</v>
      </c>
      <c r="R71" s="26">
        <v>2800</v>
      </c>
      <c r="S71" s="26">
        <v>20</v>
      </c>
      <c r="T71" s="26">
        <v>5194</v>
      </c>
      <c r="U71" s="26">
        <v>16</v>
      </c>
      <c r="V71" s="26">
        <v>35</v>
      </c>
      <c r="W71" s="26">
        <v>22</v>
      </c>
      <c r="X71" s="26">
        <v>22</v>
      </c>
      <c r="Y71" s="25" t="s">
        <v>73</v>
      </c>
      <c r="Z71" s="25" t="s">
        <v>335</v>
      </c>
      <c r="AA71" s="25" t="s">
        <v>73</v>
      </c>
      <c r="AB71" s="25" t="s">
        <v>78</v>
      </c>
      <c r="AC71" s="25" t="s">
        <v>73</v>
      </c>
      <c r="AD71" s="25" t="s">
        <v>336</v>
      </c>
      <c r="AE71" s="25"/>
      <c r="AF71" s="25"/>
      <c r="AG71" s="25" t="s">
        <v>75</v>
      </c>
      <c r="AH71" s="25" t="s">
        <v>80</v>
      </c>
      <c r="AI71" s="25"/>
      <c r="AJ71" s="25"/>
    </row>
    <row r="72" spans="1:36">
      <c r="A72" s="38">
        <v>70</v>
      </c>
      <c r="B72" s="38" t="s">
        <v>398</v>
      </c>
      <c r="C72" s="55">
        <v>4</v>
      </c>
      <c r="D72" s="55">
        <v>85008</v>
      </c>
      <c r="E72" s="55">
        <v>85008</v>
      </c>
      <c r="F72" s="55">
        <v>150000</v>
      </c>
      <c r="G72" s="55">
        <v>150000</v>
      </c>
      <c r="H72" s="60">
        <v>3500</v>
      </c>
      <c r="I72" s="60">
        <v>2100000</v>
      </c>
      <c r="J72" s="63">
        <v>2000</v>
      </c>
      <c r="K72" s="63">
        <v>2000</v>
      </c>
      <c r="L72" s="27">
        <v>0</v>
      </c>
      <c r="M72" s="27">
        <f t="shared" si="1"/>
        <v>1780</v>
      </c>
      <c r="N72" s="26">
        <v>1900</v>
      </c>
      <c r="O72" s="26">
        <v>2800</v>
      </c>
      <c r="P72" s="26">
        <v>1750</v>
      </c>
      <c r="Q72" s="26">
        <v>120</v>
      </c>
      <c r="R72" s="26">
        <v>2800</v>
      </c>
      <c r="S72" s="26">
        <v>20</v>
      </c>
      <c r="T72" s="26">
        <v>5100</v>
      </c>
      <c r="U72" s="26">
        <v>16</v>
      </c>
      <c r="V72" s="26">
        <v>35</v>
      </c>
      <c r="W72" s="26">
        <v>22</v>
      </c>
      <c r="X72" s="26">
        <v>22</v>
      </c>
      <c r="Y72" s="25" t="s">
        <v>73</v>
      </c>
      <c r="Z72" s="25" t="s">
        <v>335</v>
      </c>
      <c r="AA72" s="25" t="s">
        <v>73</v>
      </c>
      <c r="AB72" s="25" t="s">
        <v>78</v>
      </c>
      <c r="AC72" s="25" t="s">
        <v>73</v>
      </c>
      <c r="AD72" s="25" t="s">
        <v>336</v>
      </c>
      <c r="AE72" s="25"/>
      <c r="AF72" s="25"/>
      <c r="AG72" s="25" t="s">
        <v>75</v>
      </c>
      <c r="AH72" s="25" t="s">
        <v>80</v>
      </c>
      <c r="AI72" s="25"/>
      <c r="AJ72" s="25"/>
    </row>
    <row r="73" spans="1:36">
      <c r="A73" s="38">
        <v>71</v>
      </c>
      <c r="B73" s="38" t="s">
        <v>399</v>
      </c>
      <c r="C73" s="55">
        <v>4</v>
      </c>
      <c r="D73" s="55">
        <v>87504</v>
      </c>
      <c r="E73" s="55">
        <v>87504</v>
      </c>
      <c r="F73" s="55">
        <v>150000</v>
      </c>
      <c r="G73" s="55">
        <v>150000</v>
      </c>
      <c r="H73" s="60">
        <v>3500</v>
      </c>
      <c r="I73" s="60">
        <v>2100000</v>
      </c>
      <c r="J73" s="63">
        <v>2000</v>
      </c>
      <c r="K73" s="63">
        <v>2000</v>
      </c>
      <c r="L73" s="27">
        <v>0</v>
      </c>
      <c r="M73" s="27">
        <f t="shared" si="1"/>
        <v>1780</v>
      </c>
      <c r="N73" s="26">
        <v>1900</v>
      </c>
      <c r="O73" s="26">
        <v>2800</v>
      </c>
      <c r="P73" s="26">
        <v>1750</v>
      </c>
      <c r="Q73" s="26">
        <v>120</v>
      </c>
      <c r="R73" s="26">
        <v>2800</v>
      </c>
      <c r="S73" s="26">
        <v>20</v>
      </c>
      <c r="T73" s="26">
        <v>5010</v>
      </c>
      <c r="U73" s="26">
        <v>16</v>
      </c>
      <c r="V73" s="26">
        <v>35</v>
      </c>
      <c r="W73" s="26">
        <v>22</v>
      </c>
      <c r="X73" s="26">
        <v>22</v>
      </c>
      <c r="Y73" s="25" t="s">
        <v>73</v>
      </c>
      <c r="Z73" s="25" t="s">
        <v>335</v>
      </c>
      <c r="AA73" s="25" t="s">
        <v>73</v>
      </c>
      <c r="AB73" s="25" t="s">
        <v>78</v>
      </c>
      <c r="AC73" s="25" t="s">
        <v>73</v>
      </c>
      <c r="AD73" s="25" t="s">
        <v>336</v>
      </c>
      <c r="AE73" s="25"/>
      <c r="AF73" s="25"/>
      <c r="AG73" s="25" t="s">
        <v>75</v>
      </c>
      <c r="AH73" s="25" t="s">
        <v>80</v>
      </c>
      <c r="AI73" s="25"/>
      <c r="AJ73" s="25"/>
    </row>
    <row r="74" spans="1:36">
      <c r="A74" s="37">
        <v>72</v>
      </c>
      <c r="B74" s="37" t="s">
        <v>400</v>
      </c>
      <c r="C74" s="54">
        <v>5</v>
      </c>
      <c r="D74" s="54">
        <v>90000</v>
      </c>
      <c r="E74" s="54">
        <v>90000</v>
      </c>
      <c r="F74" s="54">
        <v>150000</v>
      </c>
      <c r="G74" s="54">
        <v>150000</v>
      </c>
      <c r="H74" s="59">
        <v>3500</v>
      </c>
      <c r="I74" s="59">
        <v>2100000</v>
      </c>
      <c r="J74" s="62">
        <v>2000</v>
      </c>
      <c r="K74" s="62">
        <v>2000</v>
      </c>
      <c r="L74" s="33">
        <v>0</v>
      </c>
      <c r="M74" s="33">
        <f t="shared" si="1"/>
        <v>1780</v>
      </c>
      <c r="N74" s="34">
        <v>1900</v>
      </c>
      <c r="O74" s="34">
        <v>2800</v>
      </c>
      <c r="P74" s="34">
        <v>1750</v>
      </c>
      <c r="Q74" s="34">
        <v>120</v>
      </c>
      <c r="R74" s="34">
        <v>2800</v>
      </c>
      <c r="S74" s="34">
        <v>20</v>
      </c>
      <c r="T74" s="34">
        <v>4923</v>
      </c>
      <c r="U74" s="34">
        <v>16</v>
      </c>
      <c r="V74" s="34">
        <v>35</v>
      </c>
      <c r="W74" s="34">
        <v>22</v>
      </c>
      <c r="X74" s="34">
        <v>22</v>
      </c>
      <c r="Y74" s="35" t="s">
        <v>73</v>
      </c>
      <c r="Z74" s="35" t="s">
        <v>334</v>
      </c>
      <c r="AA74" s="35" t="s">
        <v>73</v>
      </c>
      <c r="AB74" s="35" t="s">
        <v>78</v>
      </c>
      <c r="AC74" s="35" t="s">
        <v>73</v>
      </c>
      <c r="AD74" s="35" t="s">
        <v>336</v>
      </c>
      <c r="AE74" s="25"/>
      <c r="AF74" s="25"/>
      <c r="AG74" s="25" t="s">
        <v>75</v>
      </c>
      <c r="AH74" s="25" t="s">
        <v>80</v>
      </c>
      <c r="AI74" s="25"/>
      <c r="AJ74" s="25"/>
    </row>
    <row r="75" spans="1:36">
      <c r="A75" s="38">
        <v>73</v>
      </c>
      <c r="B75" s="38" t="s">
        <v>401</v>
      </c>
      <c r="C75" s="55">
        <v>5</v>
      </c>
      <c r="D75" s="55">
        <v>90000</v>
      </c>
      <c r="E75" s="55">
        <v>90000</v>
      </c>
      <c r="F75" s="55">
        <v>150000</v>
      </c>
      <c r="G75" s="55">
        <v>150000</v>
      </c>
      <c r="H75" s="60">
        <v>3500</v>
      </c>
      <c r="I75" s="60">
        <v>2100000</v>
      </c>
      <c r="J75" s="63">
        <v>2000</v>
      </c>
      <c r="K75" s="63">
        <v>2000</v>
      </c>
      <c r="L75" s="27">
        <v>0</v>
      </c>
      <c r="M75" s="27">
        <f t="shared" si="1"/>
        <v>1780</v>
      </c>
      <c r="N75" s="26">
        <v>1900</v>
      </c>
      <c r="O75" s="26">
        <v>2800</v>
      </c>
      <c r="P75" s="26">
        <v>1750</v>
      </c>
      <c r="Q75" s="26">
        <v>120</v>
      </c>
      <c r="R75" s="26">
        <v>2800</v>
      </c>
      <c r="S75" s="26">
        <v>20</v>
      </c>
      <c r="T75" s="26">
        <v>4841</v>
      </c>
      <c r="U75" s="26">
        <v>16</v>
      </c>
      <c r="V75" s="26">
        <v>35</v>
      </c>
      <c r="W75" s="26">
        <v>22</v>
      </c>
      <c r="X75" s="26">
        <v>22</v>
      </c>
      <c r="Y75" s="25" t="s">
        <v>73</v>
      </c>
      <c r="Z75" s="25" t="s">
        <v>335</v>
      </c>
      <c r="AA75" s="25" t="s">
        <v>73</v>
      </c>
      <c r="AB75" s="25" t="s">
        <v>78</v>
      </c>
      <c r="AC75" s="25" t="s">
        <v>73</v>
      </c>
      <c r="AD75" s="25" t="s">
        <v>336</v>
      </c>
      <c r="AE75" s="25"/>
      <c r="AF75" s="25"/>
      <c r="AG75" s="25" t="s">
        <v>75</v>
      </c>
      <c r="AH75" s="25" t="s">
        <v>80</v>
      </c>
      <c r="AI75" s="25"/>
      <c r="AJ75" s="25"/>
    </row>
    <row r="76" spans="1:36">
      <c r="A76" s="38">
        <v>74</v>
      </c>
      <c r="B76" s="38" t="s">
        <v>402</v>
      </c>
      <c r="C76" s="55">
        <v>5</v>
      </c>
      <c r="D76" s="55">
        <v>90000</v>
      </c>
      <c r="E76" s="55">
        <v>90000</v>
      </c>
      <c r="F76" s="55">
        <v>150000</v>
      </c>
      <c r="G76" s="55">
        <v>150000</v>
      </c>
      <c r="H76" s="60">
        <v>3500</v>
      </c>
      <c r="I76" s="60">
        <v>2100000</v>
      </c>
      <c r="J76" s="63">
        <v>2000</v>
      </c>
      <c r="K76" s="63">
        <v>2000</v>
      </c>
      <c r="L76" s="27">
        <v>0</v>
      </c>
      <c r="M76" s="27">
        <f t="shared" si="1"/>
        <v>1780</v>
      </c>
      <c r="N76" s="26">
        <v>1900</v>
      </c>
      <c r="O76" s="26">
        <v>2800</v>
      </c>
      <c r="P76" s="26">
        <v>1750</v>
      </c>
      <c r="Q76" s="26">
        <v>120</v>
      </c>
      <c r="R76" s="26">
        <v>2800</v>
      </c>
      <c r="S76" s="26">
        <v>20</v>
      </c>
      <c r="T76" s="26">
        <v>4762</v>
      </c>
      <c r="U76" s="26">
        <v>16</v>
      </c>
      <c r="V76" s="26">
        <v>35</v>
      </c>
      <c r="W76" s="26">
        <v>22</v>
      </c>
      <c r="X76" s="26">
        <v>22</v>
      </c>
      <c r="Y76" s="25" t="s">
        <v>73</v>
      </c>
      <c r="Z76" s="25" t="s">
        <v>335</v>
      </c>
      <c r="AA76" s="25" t="s">
        <v>73</v>
      </c>
      <c r="AB76" s="25" t="s">
        <v>78</v>
      </c>
      <c r="AC76" s="25" t="s">
        <v>73</v>
      </c>
      <c r="AD76" s="25" t="s">
        <v>336</v>
      </c>
      <c r="AE76" s="25"/>
      <c r="AF76" s="25"/>
      <c r="AG76" s="25" t="s">
        <v>75</v>
      </c>
      <c r="AH76" s="25" t="s">
        <v>80</v>
      </c>
      <c r="AI76" s="25"/>
      <c r="AJ76" s="25"/>
    </row>
    <row r="77" spans="1:36">
      <c r="A77" s="38">
        <v>75</v>
      </c>
      <c r="B77" s="38" t="s">
        <v>403</v>
      </c>
      <c r="C77" s="55">
        <v>5</v>
      </c>
      <c r="D77" s="55">
        <v>90000</v>
      </c>
      <c r="E77" s="55">
        <v>90000</v>
      </c>
      <c r="F77" s="55">
        <v>150000</v>
      </c>
      <c r="G77" s="55">
        <v>150000</v>
      </c>
      <c r="H77" s="60">
        <v>3500</v>
      </c>
      <c r="I77" s="60">
        <v>2100000</v>
      </c>
      <c r="J77" s="63">
        <v>2000</v>
      </c>
      <c r="K77" s="63">
        <v>2000</v>
      </c>
      <c r="L77" s="27">
        <v>0</v>
      </c>
      <c r="M77" s="27">
        <f t="shared" si="1"/>
        <v>1780</v>
      </c>
      <c r="N77" s="26">
        <v>1900</v>
      </c>
      <c r="O77" s="26">
        <v>2800</v>
      </c>
      <c r="P77" s="26">
        <v>1750</v>
      </c>
      <c r="Q77" s="26">
        <v>120</v>
      </c>
      <c r="R77" s="26">
        <v>2800</v>
      </c>
      <c r="S77" s="26">
        <v>20</v>
      </c>
      <c r="T77" s="26">
        <v>4687</v>
      </c>
      <c r="U77" s="26">
        <v>16</v>
      </c>
      <c r="V77" s="26">
        <v>35</v>
      </c>
      <c r="W77" s="26">
        <v>22</v>
      </c>
      <c r="X77" s="26">
        <v>22</v>
      </c>
      <c r="Y77" s="25" t="s">
        <v>73</v>
      </c>
      <c r="Z77" s="25" t="s">
        <v>335</v>
      </c>
      <c r="AA77" s="25" t="s">
        <v>73</v>
      </c>
      <c r="AB77" s="25" t="s">
        <v>78</v>
      </c>
      <c r="AC77" s="25" t="s">
        <v>73</v>
      </c>
      <c r="AD77" s="25" t="s">
        <v>336</v>
      </c>
      <c r="AE77" s="25"/>
      <c r="AF77" s="25"/>
      <c r="AG77" s="25" t="s">
        <v>75</v>
      </c>
      <c r="AH77" s="25" t="s">
        <v>80</v>
      </c>
      <c r="AI77" s="25"/>
      <c r="AJ77" s="25"/>
    </row>
    <row r="78" spans="1:36">
      <c r="A78" s="37">
        <v>76</v>
      </c>
      <c r="B78" s="37" t="s">
        <v>404</v>
      </c>
      <c r="C78" s="54">
        <v>5</v>
      </c>
      <c r="D78" s="54">
        <v>90000</v>
      </c>
      <c r="E78" s="54">
        <v>90000</v>
      </c>
      <c r="F78" s="54">
        <v>150000</v>
      </c>
      <c r="G78" s="54">
        <v>150000</v>
      </c>
      <c r="H78" s="59">
        <v>3500</v>
      </c>
      <c r="I78" s="59">
        <v>2100000</v>
      </c>
      <c r="J78" s="62">
        <v>2000</v>
      </c>
      <c r="K78" s="62">
        <v>2000</v>
      </c>
      <c r="L78" s="33">
        <v>0</v>
      </c>
      <c r="M78" s="33">
        <f t="shared" si="1"/>
        <v>1780</v>
      </c>
      <c r="N78" s="34">
        <v>1900</v>
      </c>
      <c r="O78" s="34">
        <v>2800</v>
      </c>
      <c r="P78" s="34">
        <v>1750</v>
      </c>
      <c r="Q78" s="34">
        <v>120</v>
      </c>
      <c r="R78" s="34">
        <v>2800</v>
      </c>
      <c r="S78" s="34">
        <v>20</v>
      </c>
      <c r="T78" s="34">
        <v>4616</v>
      </c>
      <c r="U78" s="34">
        <v>16</v>
      </c>
      <c r="V78" s="34">
        <v>35</v>
      </c>
      <c r="W78" s="34">
        <v>22</v>
      </c>
      <c r="X78" s="34">
        <v>22</v>
      </c>
      <c r="Y78" s="35" t="s">
        <v>73</v>
      </c>
      <c r="Z78" s="35" t="s">
        <v>334</v>
      </c>
      <c r="AA78" s="35" t="s">
        <v>73</v>
      </c>
      <c r="AB78" s="35" t="s">
        <v>78</v>
      </c>
      <c r="AC78" s="35" t="s">
        <v>73</v>
      </c>
      <c r="AD78" s="35" t="s">
        <v>336</v>
      </c>
      <c r="AE78" s="25"/>
      <c r="AF78" s="25"/>
      <c r="AG78" s="25" t="s">
        <v>75</v>
      </c>
      <c r="AH78" s="25" t="s">
        <v>80</v>
      </c>
      <c r="AI78" s="25"/>
      <c r="AJ78" s="25"/>
    </row>
    <row r="79" spans="1:36">
      <c r="A79" s="38">
        <v>77</v>
      </c>
      <c r="B79" s="38" t="s">
        <v>405</v>
      </c>
      <c r="C79" s="55">
        <v>5</v>
      </c>
      <c r="D79" s="55">
        <v>90000</v>
      </c>
      <c r="E79" s="55">
        <v>90000</v>
      </c>
      <c r="F79" s="55">
        <v>150000</v>
      </c>
      <c r="G79" s="55">
        <v>150000</v>
      </c>
      <c r="H79" s="60">
        <v>3500</v>
      </c>
      <c r="I79" s="60">
        <v>2100000</v>
      </c>
      <c r="J79" s="63">
        <v>2000</v>
      </c>
      <c r="K79" s="63">
        <v>2000</v>
      </c>
      <c r="L79" s="27">
        <v>0</v>
      </c>
      <c r="M79" s="27">
        <f t="shared" si="1"/>
        <v>1780</v>
      </c>
      <c r="N79" s="26">
        <v>1900</v>
      </c>
      <c r="O79" s="26">
        <v>2800</v>
      </c>
      <c r="P79" s="26">
        <v>1750</v>
      </c>
      <c r="Q79" s="26">
        <v>120</v>
      </c>
      <c r="R79" s="26">
        <v>2800</v>
      </c>
      <c r="S79" s="26">
        <v>20</v>
      </c>
      <c r="T79" s="26">
        <v>4550</v>
      </c>
      <c r="U79" s="26">
        <v>16</v>
      </c>
      <c r="V79" s="26">
        <v>35</v>
      </c>
      <c r="W79" s="26">
        <v>22</v>
      </c>
      <c r="X79" s="26">
        <v>22</v>
      </c>
      <c r="Y79" s="25" t="s">
        <v>73</v>
      </c>
      <c r="Z79" s="25" t="s">
        <v>335</v>
      </c>
      <c r="AA79" s="25" t="s">
        <v>73</v>
      </c>
      <c r="AB79" s="25" t="s">
        <v>78</v>
      </c>
      <c r="AC79" s="25" t="s">
        <v>73</v>
      </c>
      <c r="AD79" s="25" t="s">
        <v>336</v>
      </c>
      <c r="AE79" s="25"/>
      <c r="AF79" s="25"/>
      <c r="AG79" s="25" t="s">
        <v>75</v>
      </c>
      <c r="AH79" s="25" t="s">
        <v>80</v>
      </c>
      <c r="AI79" s="25"/>
      <c r="AJ79" s="25"/>
    </row>
    <row r="80" spans="1:36">
      <c r="A80" s="38">
        <v>78</v>
      </c>
      <c r="B80" s="38" t="s">
        <v>406</v>
      </c>
      <c r="C80" s="55">
        <v>5</v>
      </c>
      <c r="D80" s="55">
        <v>90000</v>
      </c>
      <c r="E80" s="55">
        <v>90000</v>
      </c>
      <c r="F80" s="55">
        <v>150000</v>
      </c>
      <c r="G80" s="55">
        <v>150000</v>
      </c>
      <c r="H80" s="60">
        <v>3500</v>
      </c>
      <c r="I80" s="60">
        <v>2100000</v>
      </c>
      <c r="J80" s="63">
        <v>2000</v>
      </c>
      <c r="K80" s="63">
        <v>2000</v>
      </c>
      <c r="L80" s="27">
        <v>0</v>
      </c>
      <c r="M80" s="27">
        <f t="shared" si="1"/>
        <v>1780</v>
      </c>
      <c r="N80" s="26">
        <v>1900</v>
      </c>
      <c r="O80" s="26">
        <v>2800</v>
      </c>
      <c r="P80" s="26">
        <v>1750</v>
      </c>
      <c r="Q80" s="26">
        <v>120</v>
      </c>
      <c r="R80" s="26">
        <v>2800</v>
      </c>
      <c r="S80" s="26">
        <v>20</v>
      </c>
      <c r="T80" s="26">
        <v>4486</v>
      </c>
      <c r="U80" s="26">
        <v>16</v>
      </c>
      <c r="V80" s="26">
        <v>35</v>
      </c>
      <c r="W80" s="26">
        <v>22</v>
      </c>
      <c r="X80" s="26">
        <v>22</v>
      </c>
      <c r="Y80" s="25" t="s">
        <v>73</v>
      </c>
      <c r="Z80" s="25" t="s">
        <v>335</v>
      </c>
      <c r="AA80" s="25" t="s">
        <v>73</v>
      </c>
      <c r="AB80" s="25" t="s">
        <v>78</v>
      </c>
      <c r="AC80" s="25" t="s">
        <v>73</v>
      </c>
      <c r="AD80" s="25" t="s">
        <v>336</v>
      </c>
      <c r="AE80" s="25"/>
      <c r="AF80" s="25"/>
      <c r="AG80" s="25" t="s">
        <v>75</v>
      </c>
      <c r="AH80" s="25" t="s">
        <v>80</v>
      </c>
      <c r="AI80" s="25"/>
      <c r="AJ80" s="25"/>
    </row>
    <row r="81" spans="1:36">
      <c r="A81" s="38">
        <v>79</v>
      </c>
      <c r="B81" s="38" t="s">
        <v>407</v>
      </c>
      <c r="C81" s="55">
        <v>5</v>
      </c>
      <c r="D81" s="55">
        <v>90000</v>
      </c>
      <c r="E81" s="55">
        <v>90000</v>
      </c>
      <c r="F81" s="55">
        <v>150000</v>
      </c>
      <c r="G81" s="55">
        <v>150000</v>
      </c>
      <c r="H81" s="60">
        <v>3500</v>
      </c>
      <c r="I81" s="60">
        <v>2100000</v>
      </c>
      <c r="J81" s="63">
        <v>2000</v>
      </c>
      <c r="K81" s="63">
        <v>2000</v>
      </c>
      <c r="L81" s="27">
        <v>0</v>
      </c>
      <c r="M81" s="27">
        <f t="shared" si="1"/>
        <v>1780</v>
      </c>
      <c r="N81" s="26">
        <v>1900</v>
      </c>
      <c r="O81" s="26">
        <v>2800</v>
      </c>
      <c r="P81" s="26">
        <v>1750</v>
      </c>
      <c r="Q81" s="26">
        <v>120</v>
      </c>
      <c r="R81" s="26">
        <v>2800</v>
      </c>
      <c r="S81" s="26">
        <v>20</v>
      </c>
      <c r="T81" s="26">
        <v>4427</v>
      </c>
      <c r="U81" s="26">
        <v>16</v>
      </c>
      <c r="V81" s="26">
        <v>35</v>
      </c>
      <c r="W81" s="26">
        <v>22</v>
      </c>
      <c r="X81" s="26">
        <v>22</v>
      </c>
      <c r="Y81" s="25" t="s">
        <v>73</v>
      </c>
      <c r="Z81" s="25" t="s">
        <v>335</v>
      </c>
      <c r="AA81" s="25" t="s">
        <v>73</v>
      </c>
      <c r="AB81" s="25" t="s">
        <v>78</v>
      </c>
      <c r="AC81" s="25" t="s">
        <v>73</v>
      </c>
      <c r="AD81" s="25" t="s">
        <v>336</v>
      </c>
      <c r="AE81" s="25"/>
      <c r="AF81" s="25"/>
      <c r="AG81" s="25" t="s">
        <v>75</v>
      </c>
      <c r="AH81" s="25" t="s">
        <v>80</v>
      </c>
      <c r="AI81" s="25"/>
      <c r="AJ81" s="25"/>
    </row>
    <row r="82" spans="1:36">
      <c r="A82" s="37">
        <v>80</v>
      </c>
      <c r="B82" s="37" t="s">
        <v>408</v>
      </c>
      <c r="C82" s="54">
        <v>5</v>
      </c>
      <c r="D82" s="54">
        <v>90000</v>
      </c>
      <c r="E82" s="54">
        <v>90000</v>
      </c>
      <c r="F82" s="54">
        <v>150000</v>
      </c>
      <c r="G82" s="54">
        <v>150000</v>
      </c>
      <c r="H82" s="59">
        <v>3500</v>
      </c>
      <c r="I82" s="59">
        <v>2100000</v>
      </c>
      <c r="J82" s="62">
        <v>2000</v>
      </c>
      <c r="K82" s="62">
        <v>2000</v>
      </c>
      <c r="L82" s="33">
        <v>0</v>
      </c>
      <c r="M82" s="33">
        <f t="shared" si="1"/>
        <v>1780</v>
      </c>
      <c r="N82" s="34">
        <v>1900</v>
      </c>
      <c r="O82" s="34">
        <v>2800</v>
      </c>
      <c r="P82" s="34">
        <v>1750</v>
      </c>
      <c r="Q82" s="34">
        <v>120</v>
      </c>
      <c r="R82" s="34">
        <v>2800</v>
      </c>
      <c r="S82" s="34">
        <v>20</v>
      </c>
      <c r="T82" s="34">
        <v>4372</v>
      </c>
      <c r="U82" s="34">
        <v>16</v>
      </c>
      <c r="V82" s="34">
        <v>35</v>
      </c>
      <c r="W82" s="34">
        <v>22</v>
      </c>
      <c r="X82" s="34">
        <v>22</v>
      </c>
      <c r="Y82" s="35" t="s">
        <v>73</v>
      </c>
      <c r="Z82" s="35" t="s">
        <v>334</v>
      </c>
      <c r="AA82" s="35" t="s">
        <v>73</v>
      </c>
      <c r="AB82" s="35" t="s">
        <v>78</v>
      </c>
      <c r="AC82" s="35" t="s">
        <v>73</v>
      </c>
      <c r="AD82" s="35" t="s">
        <v>336</v>
      </c>
      <c r="AE82" s="25"/>
      <c r="AF82" s="25"/>
      <c r="AG82" s="25" t="s">
        <v>75</v>
      </c>
      <c r="AH82" s="25" t="s">
        <v>80</v>
      </c>
      <c r="AI82" s="25"/>
      <c r="AJ82" s="25"/>
    </row>
    <row r="83" spans="1:36">
      <c r="A83" s="38">
        <v>81</v>
      </c>
      <c r="B83" s="38" t="s">
        <v>409</v>
      </c>
      <c r="C83" s="55">
        <v>5</v>
      </c>
      <c r="D83" s="55">
        <v>90000</v>
      </c>
      <c r="E83" s="55">
        <v>90000</v>
      </c>
      <c r="F83" s="55">
        <v>150000</v>
      </c>
      <c r="G83" s="55">
        <v>150000</v>
      </c>
      <c r="H83" s="60">
        <v>3500</v>
      </c>
      <c r="I83" s="60">
        <v>2100000</v>
      </c>
      <c r="J83" s="63">
        <v>2000</v>
      </c>
      <c r="K83" s="63">
        <v>2000</v>
      </c>
      <c r="L83" s="27">
        <v>0</v>
      </c>
      <c r="M83" s="27">
        <f t="shared" si="1"/>
        <v>1780</v>
      </c>
      <c r="N83" s="26">
        <v>1900</v>
      </c>
      <c r="O83" s="26">
        <v>2800</v>
      </c>
      <c r="P83" s="26">
        <v>1750</v>
      </c>
      <c r="Q83" s="26">
        <v>120</v>
      </c>
      <c r="R83" s="26">
        <v>2800</v>
      </c>
      <c r="S83" s="26">
        <v>20</v>
      </c>
      <c r="T83" s="26">
        <v>4320</v>
      </c>
      <c r="U83" s="26">
        <v>16</v>
      </c>
      <c r="V83" s="26">
        <v>35</v>
      </c>
      <c r="W83" s="26">
        <v>22</v>
      </c>
      <c r="X83" s="26">
        <v>22</v>
      </c>
      <c r="Y83" s="25" t="s">
        <v>73</v>
      </c>
      <c r="Z83" s="25" t="s">
        <v>335</v>
      </c>
      <c r="AA83" s="25" t="s">
        <v>73</v>
      </c>
      <c r="AB83" s="25" t="s">
        <v>78</v>
      </c>
      <c r="AC83" s="25" t="s">
        <v>73</v>
      </c>
      <c r="AD83" s="25" t="s">
        <v>336</v>
      </c>
      <c r="AE83" s="25"/>
      <c r="AF83" s="25"/>
      <c r="AG83" s="25" t="s">
        <v>75</v>
      </c>
      <c r="AH83" s="25" t="s">
        <v>80</v>
      </c>
      <c r="AI83" s="25"/>
      <c r="AJ83" s="25"/>
    </row>
    <row r="84" spans="1:36">
      <c r="A84" s="38">
        <v>82</v>
      </c>
      <c r="B84" s="38" t="s">
        <v>410</v>
      </c>
      <c r="C84" s="55">
        <v>5</v>
      </c>
      <c r="D84" s="55">
        <v>90000</v>
      </c>
      <c r="E84" s="55">
        <v>90000</v>
      </c>
      <c r="F84" s="55">
        <v>150000</v>
      </c>
      <c r="G84" s="55">
        <v>150000</v>
      </c>
      <c r="H84" s="60">
        <v>3500</v>
      </c>
      <c r="I84" s="60">
        <v>2100000</v>
      </c>
      <c r="J84" s="63">
        <v>2000</v>
      </c>
      <c r="K84" s="63">
        <v>2000</v>
      </c>
      <c r="L84" s="27">
        <v>0</v>
      </c>
      <c r="M84" s="27">
        <f t="shared" si="1"/>
        <v>1780</v>
      </c>
      <c r="N84" s="26">
        <v>1900</v>
      </c>
      <c r="O84" s="26">
        <v>2800</v>
      </c>
      <c r="P84" s="26">
        <v>1750</v>
      </c>
      <c r="Q84" s="26">
        <v>120</v>
      </c>
      <c r="R84" s="26">
        <v>2800</v>
      </c>
      <c r="S84" s="26">
        <v>20</v>
      </c>
      <c r="T84" s="26">
        <v>4272</v>
      </c>
      <c r="U84" s="26">
        <v>16</v>
      </c>
      <c r="V84" s="26">
        <v>35</v>
      </c>
      <c r="W84" s="26">
        <v>22</v>
      </c>
      <c r="X84" s="26">
        <v>22</v>
      </c>
      <c r="Y84" s="25" t="s">
        <v>73</v>
      </c>
      <c r="Z84" s="25" t="s">
        <v>335</v>
      </c>
      <c r="AA84" s="25" t="s">
        <v>73</v>
      </c>
      <c r="AB84" s="25" t="s">
        <v>78</v>
      </c>
      <c r="AC84" s="25" t="s">
        <v>73</v>
      </c>
      <c r="AD84" s="25" t="s">
        <v>336</v>
      </c>
      <c r="AE84" s="25"/>
      <c r="AF84" s="25"/>
      <c r="AG84" s="25" t="s">
        <v>75</v>
      </c>
      <c r="AH84" s="25" t="s">
        <v>80</v>
      </c>
      <c r="AI84" s="25"/>
      <c r="AJ84" s="25"/>
    </row>
    <row r="85" spans="1:36">
      <c r="A85" s="38">
        <v>83</v>
      </c>
      <c r="B85" s="38" t="s">
        <v>411</v>
      </c>
      <c r="C85" s="55">
        <v>5</v>
      </c>
      <c r="D85" s="55">
        <v>90000</v>
      </c>
      <c r="E85" s="55">
        <v>90000</v>
      </c>
      <c r="F85" s="55">
        <v>150000</v>
      </c>
      <c r="G85" s="55">
        <v>150000</v>
      </c>
      <c r="H85" s="60">
        <v>3500</v>
      </c>
      <c r="I85" s="60">
        <v>2100000</v>
      </c>
      <c r="J85" s="63">
        <v>2000</v>
      </c>
      <c r="K85" s="63">
        <v>2000</v>
      </c>
      <c r="L85" s="27">
        <v>0</v>
      </c>
      <c r="M85" s="27">
        <f t="shared" si="1"/>
        <v>1780</v>
      </c>
      <c r="N85" s="26">
        <v>1900</v>
      </c>
      <c r="O85" s="26">
        <v>2800</v>
      </c>
      <c r="P85" s="26">
        <v>1750</v>
      </c>
      <c r="Q85" s="26">
        <v>120</v>
      </c>
      <c r="R85" s="26">
        <v>2800</v>
      </c>
      <c r="S85" s="26">
        <v>20</v>
      </c>
      <c r="T85" s="26">
        <v>4228</v>
      </c>
      <c r="U85" s="26">
        <v>16</v>
      </c>
      <c r="V85" s="26">
        <v>35</v>
      </c>
      <c r="W85" s="26">
        <v>22</v>
      </c>
      <c r="X85" s="26">
        <v>22</v>
      </c>
      <c r="Y85" s="25" t="s">
        <v>73</v>
      </c>
      <c r="Z85" s="25" t="s">
        <v>335</v>
      </c>
      <c r="AA85" s="25" t="s">
        <v>73</v>
      </c>
      <c r="AB85" s="25" t="s">
        <v>78</v>
      </c>
      <c r="AC85" s="25" t="s">
        <v>73</v>
      </c>
      <c r="AD85" s="25" t="s">
        <v>336</v>
      </c>
      <c r="AE85" s="25"/>
      <c r="AF85" s="25"/>
      <c r="AG85" s="25" t="s">
        <v>75</v>
      </c>
      <c r="AH85" s="25" t="s">
        <v>80</v>
      </c>
      <c r="AI85" s="25"/>
      <c r="AJ85" s="25"/>
    </row>
    <row r="86" spans="1:36">
      <c r="A86" s="37">
        <v>84</v>
      </c>
      <c r="B86" s="37" t="s">
        <v>412</v>
      </c>
      <c r="C86" s="54">
        <v>5</v>
      </c>
      <c r="D86" s="54">
        <v>90000</v>
      </c>
      <c r="E86" s="54">
        <v>90000</v>
      </c>
      <c r="F86" s="54">
        <v>150000</v>
      </c>
      <c r="G86" s="54">
        <v>150000</v>
      </c>
      <c r="H86" s="59">
        <v>3500</v>
      </c>
      <c r="I86" s="59">
        <v>2100000</v>
      </c>
      <c r="J86" s="62">
        <v>2000</v>
      </c>
      <c r="K86" s="62">
        <v>2000</v>
      </c>
      <c r="L86" s="33">
        <v>0</v>
      </c>
      <c r="M86" s="33">
        <f t="shared" si="1"/>
        <v>1780</v>
      </c>
      <c r="N86" s="34">
        <v>1900</v>
      </c>
      <c r="O86" s="34">
        <v>2800</v>
      </c>
      <c r="P86" s="34">
        <v>1750</v>
      </c>
      <c r="Q86" s="34">
        <v>120</v>
      </c>
      <c r="R86" s="34">
        <v>2800</v>
      </c>
      <c r="S86" s="34">
        <v>20</v>
      </c>
      <c r="T86" s="34">
        <v>4188</v>
      </c>
      <c r="U86" s="34">
        <v>16</v>
      </c>
      <c r="V86" s="34">
        <v>35</v>
      </c>
      <c r="W86" s="34">
        <v>22</v>
      </c>
      <c r="X86" s="34">
        <v>22</v>
      </c>
      <c r="Y86" s="35" t="s">
        <v>73</v>
      </c>
      <c r="Z86" s="35" t="s">
        <v>334</v>
      </c>
      <c r="AA86" s="35" t="s">
        <v>73</v>
      </c>
      <c r="AB86" s="35" t="s">
        <v>78</v>
      </c>
      <c r="AC86" s="35" t="s">
        <v>73</v>
      </c>
      <c r="AD86" s="35" t="s">
        <v>336</v>
      </c>
      <c r="AE86" s="25"/>
      <c r="AF86" s="25"/>
      <c r="AG86" s="25" t="s">
        <v>75</v>
      </c>
      <c r="AH86" s="25" t="s">
        <v>80</v>
      </c>
      <c r="AI86" s="25"/>
      <c r="AJ86" s="25"/>
    </row>
    <row r="87" spans="1:36">
      <c r="A87" s="38">
        <v>85</v>
      </c>
      <c r="B87" s="38" t="s">
        <v>413</v>
      </c>
      <c r="C87" s="55">
        <v>5</v>
      </c>
      <c r="D87" s="55">
        <v>90000</v>
      </c>
      <c r="E87" s="55">
        <v>90000</v>
      </c>
      <c r="F87" s="55">
        <v>150000</v>
      </c>
      <c r="G87" s="55">
        <v>150000</v>
      </c>
      <c r="H87" s="60">
        <v>3500</v>
      </c>
      <c r="I87" s="60">
        <v>2100000</v>
      </c>
      <c r="J87" s="63">
        <v>2000</v>
      </c>
      <c r="K87" s="63">
        <v>2000</v>
      </c>
      <c r="L87" s="27">
        <v>0</v>
      </c>
      <c r="M87" s="27">
        <f t="shared" si="1"/>
        <v>1780</v>
      </c>
      <c r="N87" s="26">
        <v>1900</v>
      </c>
      <c r="O87" s="26">
        <v>2800</v>
      </c>
      <c r="P87" s="26">
        <v>1750</v>
      </c>
      <c r="Q87" s="26">
        <v>120</v>
      </c>
      <c r="R87" s="26">
        <v>2800</v>
      </c>
      <c r="S87" s="26">
        <v>20</v>
      </c>
      <c r="T87" s="26">
        <v>4152</v>
      </c>
      <c r="U87" s="26">
        <v>16</v>
      </c>
      <c r="V87" s="26">
        <v>35</v>
      </c>
      <c r="W87" s="26">
        <v>22</v>
      </c>
      <c r="X87" s="26">
        <v>22</v>
      </c>
      <c r="Y87" s="25" t="s">
        <v>73</v>
      </c>
      <c r="Z87" s="25" t="s">
        <v>335</v>
      </c>
      <c r="AA87" s="25" t="s">
        <v>73</v>
      </c>
      <c r="AB87" s="25" t="s">
        <v>78</v>
      </c>
      <c r="AC87" s="25" t="s">
        <v>73</v>
      </c>
      <c r="AD87" s="25" t="s">
        <v>336</v>
      </c>
      <c r="AE87" s="25"/>
      <c r="AF87" s="25"/>
      <c r="AG87" s="25" t="s">
        <v>75</v>
      </c>
      <c r="AH87" s="25" t="s">
        <v>80</v>
      </c>
      <c r="AI87" s="25"/>
      <c r="AJ87" s="25"/>
    </row>
    <row r="88" spans="1:36">
      <c r="A88" s="38">
        <v>86</v>
      </c>
      <c r="B88" s="38" t="s">
        <v>414</v>
      </c>
      <c r="C88" s="55">
        <v>5</v>
      </c>
      <c r="D88" s="55">
        <v>90000</v>
      </c>
      <c r="E88" s="55">
        <v>90000</v>
      </c>
      <c r="F88" s="55">
        <v>150000</v>
      </c>
      <c r="G88" s="55">
        <v>150000</v>
      </c>
      <c r="H88" s="60">
        <v>3500</v>
      </c>
      <c r="I88" s="60">
        <v>2100000</v>
      </c>
      <c r="J88" s="63">
        <v>2000</v>
      </c>
      <c r="K88" s="63">
        <v>2000</v>
      </c>
      <c r="L88" s="27">
        <v>0</v>
      </c>
      <c r="M88" s="27">
        <f t="shared" si="1"/>
        <v>1780</v>
      </c>
      <c r="N88" s="26">
        <v>1900</v>
      </c>
      <c r="O88" s="26">
        <v>2800</v>
      </c>
      <c r="P88" s="26">
        <v>1750</v>
      </c>
      <c r="Q88" s="26">
        <v>120</v>
      </c>
      <c r="R88" s="26">
        <v>2800</v>
      </c>
      <c r="S88" s="26">
        <v>20</v>
      </c>
      <c r="T88" s="26">
        <v>4120</v>
      </c>
      <c r="U88" s="26">
        <v>16</v>
      </c>
      <c r="V88" s="26">
        <v>35</v>
      </c>
      <c r="W88" s="26">
        <v>22</v>
      </c>
      <c r="X88" s="26">
        <v>22</v>
      </c>
      <c r="Y88" s="25" t="s">
        <v>73</v>
      </c>
      <c r="Z88" s="25" t="s">
        <v>335</v>
      </c>
      <c r="AA88" s="25" t="s">
        <v>73</v>
      </c>
      <c r="AB88" s="25" t="s">
        <v>78</v>
      </c>
      <c r="AC88" s="25" t="s">
        <v>73</v>
      </c>
      <c r="AD88" s="25" t="s">
        <v>336</v>
      </c>
      <c r="AE88" s="25"/>
      <c r="AF88" s="25"/>
      <c r="AG88" s="25" t="s">
        <v>75</v>
      </c>
      <c r="AH88" s="25" t="s">
        <v>80</v>
      </c>
      <c r="AI88" s="25"/>
      <c r="AJ88" s="25"/>
    </row>
    <row r="89" spans="1:36">
      <c r="A89" s="38">
        <v>87</v>
      </c>
      <c r="B89" s="38" t="s">
        <v>415</v>
      </c>
      <c r="C89" s="55">
        <v>5</v>
      </c>
      <c r="D89" s="55">
        <v>90000</v>
      </c>
      <c r="E89" s="55">
        <v>90000</v>
      </c>
      <c r="F89" s="55">
        <v>150000</v>
      </c>
      <c r="G89" s="55">
        <v>150000</v>
      </c>
      <c r="H89" s="60">
        <v>3500</v>
      </c>
      <c r="I89" s="60">
        <v>2100000</v>
      </c>
      <c r="J89" s="63">
        <v>2000</v>
      </c>
      <c r="K89" s="63">
        <v>2000</v>
      </c>
      <c r="L89" s="27">
        <v>0</v>
      </c>
      <c r="M89" s="27">
        <f t="shared" si="1"/>
        <v>1780</v>
      </c>
      <c r="N89" s="26">
        <v>1900</v>
      </c>
      <c r="O89" s="26">
        <v>2800</v>
      </c>
      <c r="P89" s="26">
        <v>1750</v>
      </c>
      <c r="Q89" s="26">
        <v>120</v>
      </c>
      <c r="R89" s="26">
        <v>2800</v>
      </c>
      <c r="S89" s="26">
        <v>20</v>
      </c>
      <c r="T89" s="26">
        <v>4091</v>
      </c>
      <c r="U89" s="26">
        <v>16</v>
      </c>
      <c r="V89" s="26">
        <v>35</v>
      </c>
      <c r="W89" s="26">
        <v>22</v>
      </c>
      <c r="X89" s="26">
        <v>22</v>
      </c>
      <c r="Y89" s="25" t="s">
        <v>73</v>
      </c>
      <c r="Z89" s="25" t="s">
        <v>335</v>
      </c>
      <c r="AA89" s="25" t="s">
        <v>73</v>
      </c>
      <c r="AB89" s="25" t="s">
        <v>78</v>
      </c>
      <c r="AC89" s="25" t="s">
        <v>73</v>
      </c>
      <c r="AD89" s="25" t="s">
        <v>336</v>
      </c>
      <c r="AE89" s="25"/>
      <c r="AF89" s="25"/>
      <c r="AG89" s="25" t="s">
        <v>75</v>
      </c>
      <c r="AH89" s="25" t="s">
        <v>80</v>
      </c>
      <c r="AI89" s="25"/>
      <c r="AJ89" s="25"/>
    </row>
    <row r="90" spans="1:36">
      <c r="A90" s="37">
        <v>88</v>
      </c>
      <c r="B90" s="37" t="s">
        <v>416</v>
      </c>
      <c r="C90" s="54">
        <v>5</v>
      </c>
      <c r="D90" s="54">
        <v>90000</v>
      </c>
      <c r="E90" s="54">
        <v>90000</v>
      </c>
      <c r="F90" s="54">
        <v>150000</v>
      </c>
      <c r="G90" s="54">
        <v>150000</v>
      </c>
      <c r="H90" s="59">
        <v>3500</v>
      </c>
      <c r="I90" s="59">
        <v>2100000</v>
      </c>
      <c r="J90" s="62">
        <v>2000</v>
      </c>
      <c r="K90" s="62">
        <v>2000</v>
      </c>
      <c r="L90" s="33">
        <v>0</v>
      </c>
      <c r="M90" s="33">
        <f t="shared" si="1"/>
        <v>1780</v>
      </c>
      <c r="N90" s="34">
        <v>1900</v>
      </c>
      <c r="O90" s="34">
        <v>2800</v>
      </c>
      <c r="P90" s="34">
        <v>1750</v>
      </c>
      <c r="Q90" s="34">
        <v>120</v>
      </c>
      <c r="R90" s="34">
        <v>2800</v>
      </c>
      <c r="S90" s="34">
        <v>20</v>
      </c>
      <c r="T90" s="34">
        <v>4067</v>
      </c>
      <c r="U90" s="34">
        <v>16</v>
      </c>
      <c r="V90" s="34">
        <v>40</v>
      </c>
      <c r="W90" s="34">
        <v>35</v>
      </c>
      <c r="X90" s="34">
        <v>35</v>
      </c>
      <c r="Y90" s="35" t="s">
        <v>73</v>
      </c>
      <c r="Z90" s="35" t="s">
        <v>334</v>
      </c>
      <c r="AA90" s="35" t="s">
        <v>73</v>
      </c>
      <c r="AB90" s="35" t="s">
        <v>78</v>
      </c>
      <c r="AC90" s="35" t="s">
        <v>73</v>
      </c>
      <c r="AD90" s="35" t="s">
        <v>336</v>
      </c>
      <c r="AE90" s="25"/>
      <c r="AF90" s="25"/>
      <c r="AG90" s="25" t="s">
        <v>75</v>
      </c>
      <c r="AH90" s="25" t="s">
        <v>80</v>
      </c>
      <c r="AI90" s="25"/>
      <c r="AJ90" s="25"/>
    </row>
    <row r="91" spans="1:36">
      <c r="A91" s="38">
        <v>89</v>
      </c>
      <c r="B91" s="38" t="s">
        <v>417</v>
      </c>
      <c r="C91" s="55">
        <v>5</v>
      </c>
      <c r="D91" s="55">
        <v>90000</v>
      </c>
      <c r="E91" s="55">
        <v>90000</v>
      </c>
      <c r="F91" s="55">
        <v>150000</v>
      </c>
      <c r="G91" s="55">
        <v>150000</v>
      </c>
      <c r="H91" s="60">
        <v>3500</v>
      </c>
      <c r="I91" s="60">
        <v>2100000</v>
      </c>
      <c r="J91" s="63">
        <v>2000</v>
      </c>
      <c r="K91" s="63">
        <v>2000</v>
      </c>
      <c r="L91" s="27">
        <v>0</v>
      </c>
      <c r="M91" s="27">
        <f t="shared" si="1"/>
        <v>1780</v>
      </c>
      <c r="N91" s="26">
        <v>1900</v>
      </c>
      <c r="O91" s="26">
        <v>2800</v>
      </c>
      <c r="P91" s="26">
        <v>1750</v>
      </c>
      <c r="Q91" s="26">
        <v>120</v>
      </c>
      <c r="R91" s="26">
        <v>2800</v>
      </c>
      <c r="S91" s="26">
        <v>20</v>
      </c>
      <c r="T91" s="26">
        <v>4046</v>
      </c>
      <c r="U91" s="26">
        <v>16</v>
      </c>
      <c r="V91" s="26">
        <v>40</v>
      </c>
      <c r="W91" s="26">
        <v>35</v>
      </c>
      <c r="X91" s="26">
        <v>35</v>
      </c>
      <c r="Y91" s="25" t="s">
        <v>73</v>
      </c>
      <c r="Z91" s="25" t="s">
        <v>335</v>
      </c>
      <c r="AA91" s="25" t="s">
        <v>73</v>
      </c>
      <c r="AB91" s="25" t="s">
        <v>78</v>
      </c>
      <c r="AC91" s="25" t="s">
        <v>73</v>
      </c>
      <c r="AD91" s="25" t="s">
        <v>336</v>
      </c>
      <c r="AE91" s="25"/>
      <c r="AF91" s="25"/>
      <c r="AG91" s="25" t="s">
        <v>75</v>
      </c>
      <c r="AH91" s="25" t="s">
        <v>80</v>
      </c>
      <c r="AI91" s="25"/>
      <c r="AJ91" s="25"/>
    </row>
    <row r="92" spans="1:36">
      <c r="A92" s="38">
        <v>90</v>
      </c>
      <c r="B92" s="38" t="s">
        <v>418</v>
      </c>
      <c r="C92" s="55">
        <v>5</v>
      </c>
      <c r="D92" s="55">
        <v>90000</v>
      </c>
      <c r="E92" s="55">
        <v>90000</v>
      </c>
      <c r="F92" s="55">
        <v>150000</v>
      </c>
      <c r="G92" s="55">
        <v>150000</v>
      </c>
      <c r="H92" s="60">
        <v>3500</v>
      </c>
      <c r="I92" s="60">
        <v>2100000</v>
      </c>
      <c r="J92" s="63">
        <v>2000</v>
      </c>
      <c r="K92" s="63">
        <v>2000</v>
      </c>
      <c r="L92" s="27">
        <v>0</v>
      </c>
      <c r="M92" s="27">
        <f t="shared" si="1"/>
        <v>1780</v>
      </c>
      <c r="N92" s="26">
        <v>1900</v>
      </c>
      <c r="O92" s="26">
        <v>2800</v>
      </c>
      <c r="P92" s="26">
        <v>1750</v>
      </c>
      <c r="Q92" s="26">
        <v>120</v>
      </c>
      <c r="R92" s="26">
        <v>2800</v>
      </c>
      <c r="S92" s="26">
        <v>20</v>
      </c>
      <c r="T92" s="26">
        <v>4029</v>
      </c>
      <c r="U92" s="26">
        <v>16</v>
      </c>
      <c r="V92" s="26">
        <v>40</v>
      </c>
      <c r="W92" s="26">
        <v>35</v>
      </c>
      <c r="X92" s="26">
        <v>35</v>
      </c>
      <c r="Y92" s="25" t="s">
        <v>73</v>
      </c>
      <c r="Z92" s="25" t="s">
        <v>335</v>
      </c>
      <c r="AA92" s="25" t="s">
        <v>73</v>
      </c>
      <c r="AB92" s="25" t="s">
        <v>78</v>
      </c>
      <c r="AC92" s="25" t="s">
        <v>73</v>
      </c>
      <c r="AD92" s="25" t="s">
        <v>336</v>
      </c>
      <c r="AE92" s="25"/>
      <c r="AF92" s="25"/>
      <c r="AG92" s="25" t="s">
        <v>75</v>
      </c>
      <c r="AH92" s="25" t="s">
        <v>80</v>
      </c>
      <c r="AI92" s="25"/>
      <c r="AJ92" s="25"/>
    </row>
    <row r="93" spans="1:36">
      <c r="A93" s="38">
        <v>91</v>
      </c>
      <c r="B93" s="38" t="s">
        <v>419</v>
      </c>
      <c r="C93" s="55">
        <v>5</v>
      </c>
      <c r="D93" s="55">
        <v>90000</v>
      </c>
      <c r="E93" s="55">
        <v>90000</v>
      </c>
      <c r="F93" s="55">
        <v>150000</v>
      </c>
      <c r="G93" s="55">
        <v>150000</v>
      </c>
      <c r="H93" s="60">
        <v>3500</v>
      </c>
      <c r="I93" s="60">
        <v>2100000</v>
      </c>
      <c r="J93" s="63">
        <v>2000</v>
      </c>
      <c r="K93" s="63">
        <v>2000</v>
      </c>
      <c r="L93" s="27">
        <v>0</v>
      </c>
      <c r="M93" s="27">
        <f t="shared" si="1"/>
        <v>1780</v>
      </c>
      <c r="N93" s="26">
        <v>1900</v>
      </c>
      <c r="O93" s="26">
        <v>2800</v>
      </c>
      <c r="P93" s="26">
        <v>1750</v>
      </c>
      <c r="Q93" s="26">
        <v>120</v>
      </c>
      <c r="R93" s="26">
        <v>2800</v>
      </c>
      <c r="S93" s="26">
        <v>20</v>
      </c>
      <c r="T93" s="26">
        <v>4016</v>
      </c>
      <c r="U93" s="26">
        <v>16</v>
      </c>
      <c r="V93" s="26">
        <v>40</v>
      </c>
      <c r="W93" s="26">
        <v>35</v>
      </c>
      <c r="X93" s="26">
        <v>35</v>
      </c>
      <c r="Y93" s="25" t="s">
        <v>73</v>
      </c>
      <c r="Z93" s="25" t="s">
        <v>335</v>
      </c>
      <c r="AA93" s="25" t="s">
        <v>73</v>
      </c>
      <c r="AB93" s="25" t="s">
        <v>78</v>
      </c>
      <c r="AC93" s="25" t="s">
        <v>73</v>
      </c>
      <c r="AD93" s="25" t="s">
        <v>336</v>
      </c>
      <c r="AE93" s="25"/>
      <c r="AF93" s="25"/>
      <c r="AG93" s="25" t="s">
        <v>75</v>
      </c>
      <c r="AH93" s="25" t="s">
        <v>80</v>
      </c>
      <c r="AI93" s="25"/>
      <c r="AJ93" s="25"/>
    </row>
    <row r="94" spans="1:36">
      <c r="A94" s="37">
        <v>92</v>
      </c>
      <c r="B94" s="37" t="s">
        <v>420</v>
      </c>
      <c r="C94" s="54">
        <v>5</v>
      </c>
      <c r="D94" s="54">
        <v>90000</v>
      </c>
      <c r="E94" s="54">
        <v>90000</v>
      </c>
      <c r="F94" s="54">
        <v>150000</v>
      </c>
      <c r="G94" s="54">
        <v>150000</v>
      </c>
      <c r="H94" s="59">
        <v>3500</v>
      </c>
      <c r="I94" s="59">
        <v>2100000</v>
      </c>
      <c r="J94" s="62">
        <v>2000</v>
      </c>
      <c r="K94" s="62">
        <v>2000</v>
      </c>
      <c r="L94" s="33">
        <v>0</v>
      </c>
      <c r="M94" s="33">
        <f t="shared" si="1"/>
        <v>1780</v>
      </c>
      <c r="N94" s="34">
        <v>1900</v>
      </c>
      <c r="O94" s="34">
        <v>2800</v>
      </c>
      <c r="P94" s="34">
        <v>1750</v>
      </c>
      <c r="Q94" s="34">
        <v>120</v>
      </c>
      <c r="R94" s="34">
        <v>2800</v>
      </c>
      <c r="S94" s="34">
        <v>20</v>
      </c>
      <c r="T94" s="34">
        <v>4007</v>
      </c>
      <c r="U94" s="34">
        <v>16</v>
      </c>
      <c r="V94" s="34">
        <v>42</v>
      </c>
      <c r="W94" s="34">
        <v>38</v>
      </c>
      <c r="X94" s="34">
        <v>38</v>
      </c>
      <c r="Y94" s="35" t="s">
        <v>73</v>
      </c>
      <c r="Z94" s="35" t="s">
        <v>334</v>
      </c>
      <c r="AA94" s="35" t="s">
        <v>73</v>
      </c>
      <c r="AB94" s="35" t="s">
        <v>78</v>
      </c>
      <c r="AC94" s="35" t="s">
        <v>73</v>
      </c>
      <c r="AD94" s="35" t="s">
        <v>336</v>
      </c>
      <c r="AE94" s="25"/>
      <c r="AF94" s="25"/>
      <c r="AG94" s="25" t="s">
        <v>75</v>
      </c>
      <c r="AH94" s="25" t="s">
        <v>80</v>
      </c>
      <c r="AI94" s="25"/>
      <c r="AJ94" s="25"/>
    </row>
    <row r="95" spans="1:36">
      <c r="A95" s="38">
        <v>93</v>
      </c>
      <c r="B95" s="38" t="s">
        <v>421</v>
      </c>
      <c r="C95" s="55">
        <v>5</v>
      </c>
      <c r="D95" s="55">
        <v>90000</v>
      </c>
      <c r="E95" s="55">
        <v>90000</v>
      </c>
      <c r="F95" s="55">
        <v>150000</v>
      </c>
      <c r="G95" s="55">
        <v>150000</v>
      </c>
      <c r="H95" s="60">
        <v>3500</v>
      </c>
      <c r="I95" s="60">
        <v>2100000</v>
      </c>
      <c r="J95" s="63">
        <v>2000</v>
      </c>
      <c r="K95" s="63">
        <v>2000</v>
      </c>
      <c r="L95" s="27">
        <v>0</v>
      </c>
      <c r="M95" s="27">
        <f t="shared" si="1"/>
        <v>1780</v>
      </c>
      <c r="N95" s="26">
        <v>1900</v>
      </c>
      <c r="O95" s="26">
        <v>2800</v>
      </c>
      <c r="P95" s="26">
        <v>1750</v>
      </c>
      <c r="Q95" s="26">
        <v>120</v>
      </c>
      <c r="R95" s="26">
        <v>2800</v>
      </c>
      <c r="S95" s="26">
        <v>20</v>
      </c>
      <c r="T95" s="26">
        <v>4002</v>
      </c>
      <c r="U95" s="26">
        <v>16</v>
      </c>
      <c r="V95" s="26">
        <v>42</v>
      </c>
      <c r="W95" s="26">
        <v>38</v>
      </c>
      <c r="X95" s="26">
        <v>38</v>
      </c>
      <c r="Y95" s="25" t="s">
        <v>73</v>
      </c>
      <c r="Z95" s="25" t="s">
        <v>335</v>
      </c>
      <c r="AA95" s="25" t="s">
        <v>73</v>
      </c>
      <c r="AB95" s="25" t="s">
        <v>78</v>
      </c>
      <c r="AC95" s="25" t="s">
        <v>73</v>
      </c>
      <c r="AD95" s="25" t="s">
        <v>336</v>
      </c>
      <c r="AE95" s="25"/>
      <c r="AF95" s="25"/>
      <c r="AG95" s="25" t="s">
        <v>75</v>
      </c>
      <c r="AH95" s="25" t="s">
        <v>80</v>
      </c>
      <c r="AI95" s="25"/>
      <c r="AJ95" s="25"/>
    </row>
    <row r="96" spans="1:36">
      <c r="A96" s="38">
        <v>94</v>
      </c>
      <c r="B96" s="38" t="s">
        <v>422</v>
      </c>
      <c r="C96" s="55">
        <v>5</v>
      </c>
      <c r="D96" s="55">
        <v>90000</v>
      </c>
      <c r="E96" s="55">
        <v>90000</v>
      </c>
      <c r="F96" s="55">
        <v>150000</v>
      </c>
      <c r="G96" s="55">
        <v>150000</v>
      </c>
      <c r="H96" s="60">
        <v>3500</v>
      </c>
      <c r="I96" s="60">
        <v>2100000</v>
      </c>
      <c r="J96" s="63">
        <v>2000</v>
      </c>
      <c r="K96" s="63">
        <v>2000</v>
      </c>
      <c r="L96" s="27">
        <v>0</v>
      </c>
      <c r="M96" s="27">
        <f t="shared" si="1"/>
        <v>1780</v>
      </c>
      <c r="N96" s="26">
        <v>1900</v>
      </c>
      <c r="O96" s="26">
        <v>2800</v>
      </c>
      <c r="P96" s="26">
        <v>1750</v>
      </c>
      <c r="Q96" s="26">
        <v>120</v>
      </c>
      <c r="R96" s="26">
        <v>2800</v>
      </c>
      <c r="S96" s="26">
        <v>20</v>
      </c>
      <c r="T96" s="26">
        <v>4000</v>
      </c>
      <c r="U96" s="26">
        <v>16</v>
      </c>
      <c r="V96" s="26">
        <v>42</v>
      </c>
      <c r="W96" s="26">
        <v>38</v>
      </c>
      <c r="X96" s="26">
        <v>38</v>
      </c>
      <c r="Y96" s="25" t="s">
        <v>73</v>
      </c>
      <c r="Z96" s="25" t="s">
        <v>335</v>
      </c>
      <c r="AA96" s="25" t="s">
        <v>73</v>
      </c>
      <c r="AB96" s="25" t="s">
        <v>78</v>
      </c>
      <c r="AC96" s="25" t="s">
        <v>73</v>
      </c>
      <c r="AD96" s="25" t="s">
        <v>336</v>
      </c>
      <c r="AE96" s="25"/>
      <c r="AF96" s="25"/>
      <c r="AG96" s="25" t="s">
        <v>75</v>
      </c>
      <c r="AH96" s="25" t="s">
        <v>80</v>
      </c>
      <c r="AI96" s="25"/>
      <c r="AJ96" s="25"/>
    </row>
    <row r="97" spans="1:36">
      <c r="A97" s="38">
        <v>95</v>
      </c>
      <c r="B97" s="38" t="s">
        <v>423</v>
      </c>
      <c r="C97" s="55">
        <v>5</v>
      </c>
      <c r="D97" s="55">
        <v>90000</v>
      </c>
      <c r="E97" s="55">
        <v>90000</v>
      </c>
      <c r="F97" s="55">
        <v>150000</v>
      </c>
      <c r="G97" s="55">
        <v>150000</v>
      </c>
      <c r="H97" s="60">
        <v>3500</v>
      </c>
      <c r="I97" s="60">
        <v>2100000</v>
      </c>
      <c r="J97" s="63">
        <v>2000</v>
      </c>
      <c r="K97" s="63">
        <v>2000</v>
      </c>
      <c r="L97" s="27">
        <v>0</v>
      </c>
      <c r="M97" s="27">
        <f t="shared" si="1"/>
        <v>1780</v>
      </c>
      <c r="N97" s="26">
        <v>1900</v>
      </c>
      <c r="O97" s="26">
        <v>2800</v>
      </c>
      <c r="P97" s="26">
        <v>1750</v>
      </c>
      <c r="Q97" s="26">
        <v>120</v>
      </c>
      <c r="R97" s="26">
        <v>2800</v>
      </c>
      <c r="S97" s="26">
        <v>20</v>
      </c>
      <c r="T97" s="26">
        <v>4002</v>
      </c>
      <c r="U97" s="26">
        <v>16</v>
      </c>
      <c r="V97" s="26">
        <v>42</v>
      </c>
      <c r="W97" s="26">
        <v>38</v>
      </c>
      <c r="X97" s="26">
        <v>38</v>
      </c>
      <c r="Y97" s="25" t="s">
        <v>73</v>
      </c>
      <c r="Z97" s="25" t="s">
        <v>335</v>
      </c>
      <c r="AA97" s="25" t="s">
        <v>73</v>
      </c>
      <c r="AB97" s="25" t="s">
        <v>78</v>
      </c>
      <c r="AC97" s="25" t="s">
        <v>73</v>
      </c>
      <c r="AD97" s="25" t="s">
        <v>336</v>
      </c>
      <c r="AE97" s="25"/>
      <c r="AF97" s="25"/>
      <c r="AG97" s="25" t="s">
        <v>75</v>
      </c>
      <c r="AH97" s="25" t="s">
        <v>80</v>
      </c>
      <c r="AI97" s="25"/>
      <c r="AJ97" s="25"/>
    </row>
    <row r="98" spans="1:36" s="39" customFormat="1">
      <c r="A98" s="37">
        <v>96</v>
      </c>
      <c r="B98" s="37" t="s">
        <v>424</v>
      </c>
      <c r="C98" s="54">
        <v>5</v>
      </c>
      <c r="D98" s="54">
        <v>90000</v>
      </c>
      <c r="E98" s="54">
        <v>90000</v>
      </c>
      <c r="F98" s="54">
        <v>150000</v>
      </c>
      <c r="G98" s="54">
        <v>150000</v>
      </c>
      <c r="H98" s="59">
        <v>3500</v>
      </c>
      <c r="I98" s="59">
        <v>2100000</v>
      </c>
      <c r="J98" s="62">
        <v>2000</v>
      </c>
      <c r="K98" s="62">
        <v>2000</v>
      </c>
      <c r="L98" s="33">
        <v>0</v>
      </c>
      <c r="M98" s="33">
        <f t="shared" si="1"/>
        <v>1780</v>
      </c>
      <c r="N98" s="34">
        <v>1900</v>
      </c>
      <c r="O98" s="34">
        <v>2800</v>
      </c>
      <c r="P98" s="34">
        <v>1750</v>
      </c>
      <c r="Q98" s="34">
        <v>120</v>
      </c>
      <c r="R98" s="34">
        <v>2800</v>
      </c>
      <c r="S98" s="34">
        <v>20</v>
      </c>
      <c r="T98" s="34">
        <v>4007</v>
      </c>
      <c r="U98" s="34">
        <v>16</v>
      </c>
      <c r="V98" s="34">
        <v>42</v>
      </c>
      <c r="W98" s="34">
        <v>38</v>
      </c>
      <c r="X98" s="34">
        <v>38</v>
      </c>
      <c r="Y98" s="35" t="s">
        <v>73</v>
      </c>
      <c r="Z98" s="35" t="s">
        <v>334</v>
      </c>
      <c r="AA98" s="35" t="s">
        <v>73</v>
      </c>
      <c r="AB98" s="35" t="s">
        <v>78</v>
      </c>
      <c r="AC98" s="35" t="s">
        <v>73</v>
      </c>
      <c r="AD98" s="35" t="s">
        <v>336</v>
      </c>
      <c r="AE98" s="35"/>
      <c r="AF98" s="35"/>
      <c r="AG98" s="35" t="s">
        <v>75</v>
      </c>
      <c r="AH98" s="35" t="s">
        <v>80</v>
      </c>
      <c r="AI98" s="35"/>
      <c r="AJ98" s="35"/>
    </row>
    <row r="99" spans="1:36">
      <c r="A99" s="38">
        <v>97</v>
      </c>
      <c r="B99" s="38" t="s">
        <v>425</v>
      </c>
      <c r="C99" s="55">
        <v>5</v>
      </c>
      <c r="D99" s="55">
        <v>90000</v>
      </c>
      <c r="E99" s="55">
        <v>90000</v>
      </c>
      <c r="F99" s="55">
        <v>150000</v>
      </c>
      <c r="G99" s="55">
        <v>150000</v>
      </c>
      <c r="H99" s="60">
        <v>3500</v>
      </c>
      <c r="I99" s="60">
        <v>2100000</v>
      </c>
      <c r="J99" s="63">
        <v>2000</v>
      </c>
      <c r="K99" s="63">
        <v>2000</v>
      </c>
      <c r="L99" s="27">
        <v>0</v>
      </c>
      <c r="M99" s="27">
        <f t="shared" si="1"/>
        <v>1780</v>
      </c>
      <c r="N99" s="26">
        <v>1900</v>
      </c>
      <c r="O99" s="26">
        <v>2800</v>
      </c>
      <c r="P99" s="26">
        <v>1750</v>
      </c>
      <c r="Q99" s="26">
        <v>120</v>
      </c>
      <c r="R99" s="26">
        <v>2800</v>
      </c>
      <c r="S99" s="26">
        <v>20</v>
      </c>
      <c r="T99" s="26">
        <v>4016</v>
      </c>
      <c r="U99" s="26">
        <v>16</v>
      </c>
      <c r="V99" s="26">
        <v>42</v>
      </c>
      <c r="W99" s="26">
        <v>38</v>
      </c>
      <c r="X99" s="26">
        <v>38</v>
      </c>
      <c r="Y99" s="25" t="s">
        <v>73</v>
      </c>
      <c r="Z99" s="25" t="s">
        <v>335</v>
      </c>
      <c r="AA99" s="25" t="s">
        <v>73</v>
      </c>
      <c r="AB99" s="25" t="s">
        <v>78</v>
      </c>
      <c r="AC99" s="25" t="s">
        <v>73</v>
      </c>
      <c r="AD99" s="25" t="s">
        <v>336</v>
      </c>
      <c r="AE99" s="25"/>
      <c r="AF99" s="25"/>
      <c r="AG99" s="25" t="s">
        <v>75</v>
      </c>
      <c r="AH99" s="25" t="s">
        <v>80</v>
      </c>
      <c r="AI99" s="25"/>
      <c r="AJ99" s="25"/>
    </row>
    <row r="100" spans="1:36">
      <c r="A100" s="38">
        <v>98</v>
      </c>
      <c r="B100" s="38" t="s">
        <v>426</v>
      </c>
      <c r="C100" s="55">
        <v>5</v>
      </c>
      <c r="D100" s="55">
        <v>90000</v>
      </c>
      <c r="E100" s="55">
        <v>90000</v>
      </c>
      <c r="F100" s="55">
        <v>150000</v>
      </c>
      <c r="G100" s="55">
        <v>150000</v>
      </c>
      <c r="H100" s="60">
        <v>3500</v>
      </c>
      <c r="I100" s="60">
        <v>2100000</v>
      </c>
      <c r="J100" s="63">
        <v>2000</v>
      </c>
      <c r="K100" s="63">
        <v>2000</v>
      </c>
      <c r="L100" s="27">
        <v>0</v>
      </c>
      <c r="M100" s="27">
        <f t="shared" si="1"/>
        <v>1780</v>
      </c>
      <c r="N100" s="26">
        <v>1900</v>
      </c>
      <c r="O100" s="26">
        <v>2800</v>
      </c>
      <c r="P100" s="26">
        <v>1750</v>
      </c>
      <c r="Q100" s="26">
        <v>120</v>
      </c>
      <c r="R100" s="26">
        <v>2800</v>
      </c>
      <c r="S100" s="26">
        <v>20</v>
      </c>
      <c r="T100" s="26">
        <v>4029</v>
      </c>
      <c r="U100" s="26">
        <v>16</v>
      </c>
      <c r="V100" s="26">
        <v>42</v>
      </c>
      <c r="W100" s="26">
        <v>38</v>
      </c>
      <c r="X100" s="26">
        <v>38</v>
      </c>
      <c r="Y100" s="25" t="s">
        <v>73</v>
      </c>
      <c r="Z100" s="25" t="s">
        <v>335</v>
      </c>
      <c r="AA100" s="25" t="s">
        <v>73</v>
      </c>
      <c r="AB100" s="25" t="s">
        <v>78</v>
      </c>
      <c r="AC100" s="25" t="s">
        <v>73</v>
      </c>
      <c r="AD100" s="25" t="s">
        <v>336</v>
      </c>
      <c r="AE100" s="25"/>
      <c r="AF100" s="25"/>
      <c r="AG100" s="25" t="s">
        <v>75</v>
      </c>
      <c r="AH100" s="25" t="s">
        <v>80</v>
      </c>
      <c r="AI100" s="25"/>
      <c r="AJ100" s="25"/>
    </row>
    <row r="101" spans="1:36">
      <c r="A101" s="38">
        <v>99</v>
      </c>
      <c r="B101" s="38" t="s">
        <v>427</v>
      </c>
      <c r="C101" s="55">
        <v>5</v>
      </c>
      <c r="D101" s="55">
        <v>90000</v>
      </c>
      <c r="E101" s="55">
        <v>90000</v>
      </c>
      <c r="F101" s="55">
        <v>150000</v>
      </c>
      <c r="G101" s="55">
        <v>150000</v>
      </c>
      <c r="H101" s="60">
        <v>3500</v>
      </c>
      <c r="I101" s="60">
        <v>2100000</v>
      </c>
      <c r="J101" s="63">
        <v>2000</v>
      </c>
      <c r="K101" s="63">
        <v>2000</v>
      </c>
      <c r="L101" s="27">
        <v>0</v>
      </c>
      <c r="M101" s="27">
        <f t="shared" si="1"/>
        <v>1780</v>
      </c>
      <c r="N101" s="26">
        <v>1900</v>
      </c>
      <c r="O101" s="26">
        <v>2800</v>
      </c>
      <c r="P101" s="26">
        <v>1750</v>
      </c>
      <c r="Q101" s="26">
        <v>120</v>
      </c>
      <c r="R101" s="26">
        <v>2800</v>
      </c>
      <c r="S101" s="26">
        <v>20</v>
      </c>
      <c r="T101" s="26">
        <v>4046</v>
      </c>
      <c r="U101" s="26">
        <v>16</v>
      </c>
      <c r="V101" s="26">
        <v>42</v>
      </c>
      <c r="W101" s="26">
        <v>38</v>
      </c>
      <c r="X101" s="26">
        <v>38</v>
      </c>
      <c r="Y101" s="25" t="s">
        <v>73</v>
      </c>
      <c r="Z101" s="25" t="s">
        <v>335</v>
      </c>
      <c r="AA101" s="25" t="s">
        <v>73</v>
      </c>
      <c r="AB101" s="25" t="s">
        <v>78</v>
      </c>
      <c r="AC101" s="25" t="s">
        <v>73</v>
      </c>
      <c r="AD101" s="25" t="s">
        <v>336</v>
      </c>
      <c r="AE101" s="25"/>
      <c r="AF101" s="25"/>
      <c r="AG101" s="25" t="s">
        <v>75</v>
      </c>
      <c r="AH101" s="25" t="s">
        <v>80</v>
      </c>
      <c r="AI101" s="25"/>
      <c r="AJ101" s="25"/>
    </row>
    <row r="102" spans="1:36">
      <c r="A102" s="37">
        <v>100</v>
      </c>
      <c r="B102" s="37" t="s">
        <v>428</v>
      </c>
      <c r="C102" s="54">
        <v>5</v>
      </c>
      <c r="D102" s="54">
        <v>90000</v>
      </c>
      <c r="E102" s="54">
        <v>90000</v>
      </c>
      <c r="F102" s="54">
        <v>150000</v>
      </c>
      <c r="G102" s="54">
        <v>150000</v>
      </c>
      <c r="H102" s="59">
        <v>3500</v>
      </c>
      <c r="I102" s="59">
        <v>2100000</v>
      </c>
      <c r="J102" s="62">
        <v>2000</v>
      </c>
      <c r="K102" s="62">
        <v>2000</v>
      </c>
      <c r="L102" s="33">
        <v>0</v>
      </c>
      <c r="M102" s="33">
        <f t="shared" si="1"/>
        <v>1780</v>
      </c>
      <c r="N102" s="34">
        <v>1900</v>
      </c>
      <c r="O102" s="34">
        <v>2800</v>
      </c>
      <c r="P102" s="34">
        <v>1750</v>
      </c>
      <c r="Q102" s="34">
        <v>120</v>
      </c>
      <c r="R102" s="34">
        <v>2800</v>
      </c>
      <c r="S102" s="34">
        <v>20</v>
      </c>
      <c r="T102" s="34">
        <v>4067</v>
      </c>
      <c r="U102" s="34">
        <v>16</v>
      </c>
      <c r="V102" s="34">
        <v>42</v>
      </c>
      <c r="W102" s="34">
        <v>38</v>
      </c>
      <c r="X102" s="34">
        <v>38</v>
      </c>
      <c r="Y102" s="35" t="s">
        <v>73</v>
      </c>
      <c r="Z102" s="35" t="s">
        <v>334</v>
      </c>
      <c r="AA102" s="35" t="s">
        <v>73</v>
      </c>
      <c r="AB102" s="35" t="s">
        <v>78</v>
      </c>
      <c r="AC102" s="35" t="s">
        <v>73</v>
      </c>
      <c r="AD102" s="35" t="s">
        <v>336</v>
      </c>
      <c r="AE102" s="25"/>
      <c r="AF102" s="25"/>
      <c r="AG102" s="25" t="s">
        <v>75</v>
      </c>
      <c r="AH102" s="25" t="s">
        <v>80</v>
      </c>
      <c r="AI102" s="25"/>
      <c r="AJ102" s="25"/>
    </row>
    <row r="103" spans="1:36">
      <c r="A103" s="38">
        <v>101</v>
      </c>
      <c r="B103" s="38" t="s">
        <v>429</v>
      </c>
      <c r="C103" s="55">
        <v>5</v>
      </c>
      <c r="D103" s="55">
        <v>90000</v>
      </c>
      <c r="E103" s="55">
        <v>90000</v>
      </c>
      <c r="F103" s="55">
        <v>150000</v>
      </c>
      <c r="G103" s="55">
        <v>150000</v>
      </c>
      <c r="H103" s="60">
        <v>3500</v>
      </c>
      <c r="I103" s="60">
        <v>2100000</v>
      </c>
      <c r="J103" s="63">
        <v>2000</v>
      </c>
      <c r="K103" s="63">
        <v>2000</v>
      </c>
      <c r="L103" s="27">
        <v>0</v>
      </c>
      <c r="M103" s="27">
        <f t="shared" si="1"/>
        <v>1780</v>
      </c>
      <c r="N103" s="26">
        <v>1900</v>
      </c>
      <c r="O103" s="26">
        <v>2800</v>
      </c>
      <c r="P103" s="26">
        <v>1750</v>
      </c>
      <c r="Q103" s="26">
        <v>120</v>
      </c>
      <c r="R103" s="26">
        <v>2800</v>
      </c>
      <c r="S103" s="26">
        <v>20</v>
      </c>
      <c r="T103" s="26">
        <v>4091</v>
      </c>
      <c r="U103" s="26">
        <v>16</v>
      </c>
      <c r="V103" s="26">
        <v>40</v>
      </c>
      <c r="W103" s="26">
        <v>35</v>
      </c>
      <c r="X103" s="26">
        <v>35</v>
      </c>
      <c r="Y103" s="25" t="s">
        <v>73</v>
      </c>
      <c r="Z103" s="25" t="s">
        <v>335</v>
      </c>
      <c r="AA103" s="25" t="s">
        <v>73</v>
      </c>
      <c r="AB103" s="25" t="s">
        <v>78</v>
      </c>
      <c r="AC103" s="25" t="s">
        <v>73</v>
      </c>
      <c r="AD103" s="25" t="s">
        <v>336</v>
      </c>
      <c r="AE103" s="25"/>
      <c r="AF103" s="25"/>
      <c r="AG103" s="25" t="s">
        <v>75</v>
      </c>
      <c r="AH103" s="25" t="s">
        <v>80</v>
      </c>
      <c r="AI103" s="25"/>
      <c r="AJ103" s="25"/>
    </row>
    <row r="104" spans="1:36">
      <c r="A104" s="38">
        <v>102</v>
      </c>
      <c r="B104" s="38" t="s">
        <v>430</v>
      </c>
      <c r="C104" s="55">
        <v>5</v>
      </c>
      <c r="D104" s="55">
        <v>90000</v>
      </c>
      <c r="E104" s="55">
        <v>90000</v>
      </c>
      <c r="F104" s="55">
        <v>150000</v>
      </c>
      <c r="G104" s="55">
        <v>150000</v>
      </c>
      <c r="H104" s="60">
        <v>3500</v>
      </c>
      <c r="I104" s="60">
        <v>2100000</v>
      </c>
      <c r="J104" s="63">
        <v>2000</v>
      </c>
      <c r="K104" s="63">
        <v>2000</v>
      </c>
      <c r="L104" s="27">
        <v>0</v>
      </c>
      <c r="M104" s="27">
        <f t="shared" si="1"/>
        <v>1780</v>
      </c>
      <c r="N104" s="26">
        <v>1900</v>
      </c>
      <c r="O104" s="26">
        <v>2800</v>
      </c>
      <c r="P104" s="26">
        <v>1750</v>
      </c>
      <c r="Q104" s="26">
        <v>120</v>
      </c>
      <c r="R104" s="26">
        <v>2800</v>
      </c>
      <c r="S104" s="26">
        <v>20</v>
      </c>
      <c r="T104" s="26">
        <v>4120</v>
      </c>
      <c r="U104" s="26">
        <v>16</v>
      </c>
      <c r="V104" s="26">
        <v>40</v>
      </c>
      <c r="W104" s="26">
        <v>35</v>
      </c>
      <c r="X104" s="26">
        <v>35</v>
      </c>
      <c r="Y104" s="25" t="s">
        <v>73</v>
      </c>
      <c r="Z104" s="25" t="s">
        <v>335</v>
      </c>
      <c r="AA104" s="25" t="s">
        <v>73</v>
      </c>
      <c r="AB104" s="25" t="s">
        <v>78</v>
      </c>
      <c r="AC104" s="25" t="s">
        <v>73</v>
      </c>
      <c r="AD104" s="25" t="s">
        <v>336</v>
      </c>
      <c r="AE104" s="25"/>
      <c r="AF104" s="25"/>
      <c r="AG104" s="25" t="s">
        <v>75</v>
      </c>
      <c r="AH104" s="25" t="s">
        <v>80</v>
      </c>
      <c r="AI104" s="25"/>
      <c r="AJ104" s="25"/>
    </row>
    <row r="105" spans="1:36">
      <c r="A105" s="38">
        <v>103</v>
      </c>
      <c r="B105" s="38" t="s">
        <v>431</v>
      </c>
      <c r="C105" s="55">
        <v>5</v>
      </c>
      <c r="D105" s="55">
        <v>90000</v>
      </c>
      <c r="E105" s="55">
        <v>90000</v>
      </c>
      <c r="F105" s="55">
        <v>150000</v>
      </c>
      <c r="G105" s="55">
        <v>150000</v>
      </c>
      <c r="H105" s="60">
        <v>3500</v>
      </c>
      <c r="I105" s="60">
        <v>2100000</v>
      </c>
      <c r="J105" s="63">
        <v>2000</v>
      </c>
      <c r="K105" s="63">
        <v>2000</v>
      </c>
      <c r="L105" s="27">
        <v>0</v>
      </c>
      <c r="M105" s="27">
        <f t="shared" si="1"/>
        <v>1780</v>
      </c>
      <c r="N105" s="26">
        <v>1900</v>
      </c>
      <c r="O105" s="26">
        <v>2800</v>
      </c>
      <c r="P105" s="26">
        <v>1750</v>
      </c>
      <c r="Q105" s="26">
        <v>120</v>
      </c>
      <c r="R105" s="26">
        <v>2800</v>
      </c>
      <c r="S105" s="26">
        <v>20</v>
      </c>
      <c r="T105" s="26">
        <v>4152</v>
      </c>
      <c r="U105" s="26">
        <v>16</v>
      </c>
      <c r="V105" s="26">
        <v>40</v>
      </c>
      <c r="W105" s="26">
        <v>35</v>
      </c>
      <c r="X105" s="26">
        <v>35</v>
      </c>
      <c r="Y105" s="25" t="s">
        <v>73</v>
      </c>
      <c r="Z105" s="25" t="s">
        <v>335</v>
      </c>
      <c r="AA105" s="25" t="s">
        <v>73</v>
      </c>
      <c r="AB105" s="25" t="s">
        <v>78</v>
      </c>
      <c r="AC105" s="25" t="s">
        <v>73</v>
      </c>
      <c r="AD105" s="25" t="s">
        <v>336</v>
      </c>
      <c r="AE105" s="25"/>
      <c r="AF105" s="25"/>
      <c r="AG105" s="25" t="s">
        <v>75</v>
      </c>
      <c r="AH105" s="25" t="s">
        <v>80</v>
      </c>
      <c r="AI105" s="25"/>
      <c r="AJ105" s="25"/>
    </row>
    <row r="106" spans="1:36">
      <c r="A106" s="37">
        <v>104</v>
      </c>
      <c r="B106" s="37" t="s">
        <v>432</v>
      </c>
      <c r="C106" s="54">
        <v>5</v>
      </c>
      <c r="D106" s="54">
        <v>90000</v>
      </c>
      <c r="E106" s="54">
        <v>90000</v>
      </c>
      <c r="F106" s="54">
        <v>150000</v>
      </c>
      <c r="G106" s="54">
        <v>150000</v>
      </c>
      <c r="H106" s="59">
        <v>3500</v>
      </c>
      <c r="I106" s="59">
        <v>2100000</v>
      </c>
      <c r="J106" s="62">
        <v>2000</v>
      </c>
      <c r="K106" s="62">
        <v>2000</v>
      </c>
      <c r="L106" s="33">
        <v>0</v>
      </c>
      <c r="M106" s="33">
        <f t="shared" si="1"/>
        <v>1780</v>
      </c>
      <c r="N106" s="34">
        <v>1900</v>
      </c>
      <c r="O106" s="34">
        <v>2800</v>
      </c>
      <c r="P106" s="34">
        <v>1750</v>
      </c>
      <c r="Q106" s="34">
        <v>120</v>
      </c>
      <c r="R106" s="34">
        <v>2800</v>
      </c>
      <c r="S106" s="34">
        <v>20</v>
      </c>
      <c r="T106" s="34">
        <v>4188</v>
      </c>
      <c r="U106" s="34">
        <v>16</v>
      </c>
      <c r="V106" s="34">
        <v>40</v>
      </c>
      <c r="W106" s="34">
        <v>35</v>
      </c>
      <c r="X106" s="34">
        <v>35</v>
      </c>
      <c r="Y106" s="35" t="s">
        <v>73</v>
      </c>
      <c r="Z106" s="35" t="s">
        <v>334</v>
      </c>
      <c r="AA106" s="35" t="s">
        <v>73</v>
      </c>
      <c r="AB106" s="35" t="s">
        <v>78</v>
      </c>
      <c r="AC106" s="35" t="s">
        <v>73</v>
      </c>
      <c r="AD106" s="35" t="s">
        <v>336</v>
      </c>
      <c r="AE106" s="25"/>
      <c r="AF106" s="25"/>
      <c r="AG106" s="25" t="s">
        <v>75</v>
      </c>
      <c r="AH106" s="25" t="s">
        <v>80</v>
      </c>
      <c r="AI106" s="25"/>
      <c r="AJ106" s="25"/>
    </row>
    <row r="107" spans="1:36">
      <c r="A107" s="38">
        <v>105</v>
      </c>
      <c r="B107" s="38" t="s">
        <v>433</v>
      </c>
      <c r="C107" s="55">
        <v>5</v>
      </c>
      <c r="D107" s="55">
        <v>90000</v>
      </c>
      <c r="E107" s="55">
        <v>90000</v>
      </c>
      <c r="F107" s="55">
        <v>150000</v>
      </c>
      <c r="G107" s="55">
        <v>150000</v>
      </c>
      <c r="H107" s="60">
        <v>3500</v>
      </c>
      <c r="I107" s="60">
        <v>2100000</v>
      </c>
      <c r="J107" s="63">
        <v>2000</v>
      </c>
      <c r="K107" s="63">
        <v>2000</v>
      </c>
      <c r="L107" s="27">
        <v>0</v>
      </c>
      <c r="M107" s="27">
        <f t="shared" si="1"/>
        <v>1780</v>
      </c>
      <c r="N107" s="26">
        <v>1900</v>
      </c>
      <c r="O107" s="26">
        <v>2800</v>
      </c>
      <c r="P107" s="26">
        <v>1750</v>
      </c>
      <c r="Q107" s="26">
        <v>120</v>
      </c>
      <c r="R107" s="26">
        <v>2800</v>
      </c>
      <c r="S107" s="26">
        <v>20</v>
      </c>
      <c r="T107" s="26">
        <v>4228</v>
      </c>
      <c r="U107" s="26">
        <v>16</v>
      </c>
      <c r="V107" s="26">
        <v>35</v>
      </c>
      <c r="W107" s="26">
        <v>28</v>
      </c>
      <c r="X107" s="26">
        <v>28</v>
      </c>
      <c r="Y107" s="25" t="s">
        <v>73</v>
      </c>
      <c r="Z107" s="25" t="s">
        <v>335</v>
      </c>
      <c r="AA107" s="25" t="s">
        <v>73</v>
      </c>
      <c r="AB107" s="25" t="s">
        <v>78</v>
      </c>
      <c r="AC107" s="25" t="s">
        <v>73</v>
      </c>
      <c r="AD107" s="25" t="s">
        <v>336</v>
      </c>
      <c r="AE107" s="25"/>
      <c r="AF107" s="25"/>
      <c r="AG107" s="25" t="s">
        <v>75</v>
      </c>
      <c r="AH107" s="25" t="s">
        <v>80</v>
      </c>
      <c r="AI107" s="25"/>
      <c r="AJ107" s="25"/>
    </row>
    <row r="108" spans="1:36">
      <c r="A108" s="38">
        <v>106</v>
      </c>
      <c r="B108" s="38" t="s">
        <v>434</v>
      </c>
      <c r="C108" s="55">
        <v>5</v>
      </c>
      <c r="D108" s="55">
        <v>90000</v>
      </c>
      <c r="E108" s="55">
        <v>90000</v>
      </c>
      <c r="F108" s="55">
        <v>150000</v>
      </c>
      <c r="G108" s="55">
        <v>150000</v>
      </c>
      <c r="H108" s="60">
        <v>3500</v>
      </c>
      <c r="I108" s="60">
        <v>2100000</v>
      </c>
      <c r="J108" s="63">
        <v>2000</v>
      </c>
      <c r="K108" s="63">
        <v>2000</v>
      </c>
      <c r="L108" s="27">
        <v>0</v>
      </c>
      <c r="M108" s="27">
        <f t="shared" si="1"/>
        <v>1780</v>
      </c>
      <c r="N108" s="26">
        <v>1900</v>
      </c>
      <c r="O108" s="26">
        <v>2800</v>
      </c>
      <c r="P108" s="26">
        <v>1750</v>
      </c>
      <c r="Q108" s="26">
        <v>120</v>
      </c>
      <c r="R108" s="26">
        <v>2800</v>
      </c>
      <c r="S108" s="26">
        <v>20</v>
      </c>
      <c r="T108" s="26">
        <v>4272</v>
      </c>
      <c r="U108" s="26">
        <v>16</v>
      </c>
      <c r="V108" s="26">
        <v>35</v>
      </c>
      <c r="W108" s="26">
        <v>28</v>
      </c>
      <c r="X108" s="26">
        <v>28</v>
      </c>
      <c r="Y108" s="25" t="s">
        <v>73</v>
      </c>
      <c r="Z108" s="25" t="s">
        <v>335</v>
      </c>
      <c r="AA108" s="25" t="s">
        <v>73</v>
      </c>
      <c r="AB108" s="25" t="s">
        <v>78</v>
      </c>
      <c r="AC108" s="25" t="s">
        <v>73</v>
      </c>
      <c r="AD108" s="25" t="s">
        <v>336</v>
      </c>
      <c r="AE108" s="25"/>
      <c r="AF108" s="25"/>
      <c r="AG108" s="25" t="s">
        <v>75</v>
      </c>
      <c r="AH108" s="25" t="s">
        <v>80</v>
      </c>
      <c r="AI108" s="25"/>
      <c r="AJ108" s="25"/>
    </row>
    <row r="109" spans="1:36">
      <c r="A109" s="38">
        <v>107</v>
      </c>
      <c r="B109" s="38" t="s">
        <v>435</v>
      </c>
      <c r="C109" s="55">
        <v>5</v>
      </c>
      <c r="D109" s="55">
        <v>90000</v>
      </c>
      <c r="E109" s="55">
        <v>90000</v>
      </c>
      <c r="F109" s="55">
        <v>150000</v>
      </c>
      <c r="G109" s="55">
        <v>150000</v>
      </c>
      <c r="H109" s="60">
        <v>3500</v>
      </c>
      <c r="I109" s="60">
        <v>2100000</v>
      </c>
      <c r="J109" s="63">
        <v>2000</v>
      </c>
      <c r="K109" s="63">
        <v>2000</v>
      </c>
      <c r="L109" s="27">
        <v>0</v>
      </c>
      <c r="M109" s="27">
        <f t="shared" si="1"/>
        <v>1780</v>
      </c>
      <c r="N109" s="26">
        <v>1900</v>
      </c>
      <c r="O109" s="26">
        <v>2800</v>
      </c>
      <c r="P109" s="26">
        <v>1750</v>
      </c>
      <c r="Q109" s="26">
        <v>120</v>
      </c>
      <c r="R109" s="26">
        <v>2800</v>
      </c>
      <c r="S109" s="26">
        <v>20</v>
      </c>
      <c r="T109" s="26">
        <v>4320</v>
      </c>
      <c r="U109" s="26">
        <v>16</v>
      </c>
      <c r="V109" s="26">
        <v>35</v>
      </c>
      <c r="W109" s="26">
        <v>28</v>
      </c>
      <c r="X109" s="26">
        <v>28</v>
      </c>
      <c r="Y109" s="25" t="s">
        <v>73</v>
      </c>
      <c r="Z109" s="25" t="s">
        <v>335</v>
      </c>
      <c r="AA109" s="25" t="s">
        <v>73</v>
      </c>
      <c r="AB109" s="25" t="s">
        <v>78</v>
      </c>
      <c r="AC109" s="25" t="s">
        <v>73</v>
      </c>
      <c r="AD109" s="25" t="s">
        <v>336</v>
      </c>
      <c r="AE109" s="25"/>
      <c r="AF109" s="25"/>
      <c r="AG109" s="25" t="s">
        <v>75</v>
      </c>
      <c r="AH109" s="25" t="s">
        <v>80</v>
      </c>
      <c r="AI109" s="25"/>
      <c r="AJ109" s="25"/>
    </row>
    <row r="110" spans="1:36">
      <c r="A110" s="37">
        <v>108</v>
      </c>
      <c r="B110" s="37" t="s">
        <v>436</v>
      </c>
      <c r="C110" s="54">
        <v>5</v>
      </c>
      <c r="D110" s="54">
        <v>90000</v>
      </c>
      <c r="E110" s="54">
        <v>90000</v>
      </c>
      <c r="F110" s="54">
        <v>150000</v>
      </c>
      <c r="G110" s="54">
        <v>150000</v>
      </c>
      <c r="H110" s="59">
        <v>3500</v>
      </c>
      <c r="I110" s="59">
        <v>2100000</v>
      </c>
      <c r="J110" s="62">
        <v>2000</v>
      </c>
      <c r="K110" s="62">
        <v>2000</v>
      </c>
      <c r="L110" s="33">
        <v>0</v>
      </c>
      <c r="M110" s="33">
        <f t="shared" si="1"/>
        <v>1780</v>
      </c>
      <c r="N110" s="34">
        <v>1900</v>
      </c>
      <c r="O110" s="34">
        <v>2800</v>
      </c>
      <c r="P110" s="34">
        <v>1750</v>
      </c>
      <c r="Q110" s="34">
        <v>120</v>
      </c>
      <c r="R110" s="34">
        <v>2800</v>
      </c>
      <c r="S110" s="34">
        <v>20</v>
      </c>
      <c r="T110" s="34">
        <v>4372</v>
      </c>
      <c r="U110" s="34">
        <v>16</v>
      </c>
      <c r="V110" s="34">
        <v>35</v>
      </c>
      <c r="W110" s="34">
        <v>28</v>
      </c>
      <c r="X110" s="34">
        <v>28</v>
      </c>
      <c r="Y110" s="35" t="s">
        <v>73</v>
      </c>
      <c r="Z110" s="35" t="s">
        <v>334</v>
      </c>
      <c r="AA110" s="35" t="s">
        <v>73</v>
      </c>
      <c r="AB110" s="35" t="s">
        <v>78</v>
      </c>
      <c r="AC110" s="35" t="s">
        <v>73</v>
      </c>
      <c r="AD110" s="35" t="s">
        <v>336</v>
      </c>
      <c r="AE110" s="25"/>
      <c r="AF110" s="25"/>
      <c r="AG110" s="25" t="s">
        <v>75</v>
      </c>
      <c r="AH110" s="25" t="s">
        <v>80</v>
      </c>
      <c r="AI110" s="25"/>
      <c r="AJ110" s="25"/>
    </row>
    <row r="111" spans="1:36">
      <c r="A111" s="38">
        <v>109</v>
      </c>
      <c r="B111" s="38" t="s">
        <v>437</v>
      </c>
      <c r="C111" s="55">
        <v>5</v>
      </c>
      <c r="D111" s="55">
        <v>90000</v>
      </c>
      <c r="E111" s="55">
        <v>90000</v>
      </c>
      <c r="F111" s="55">
        <v>150000</v>
      </c>
      <c r="G111" s="55">
        <v>150000</v>
      </c>
      <c r="H111" s="60">
        <v>3500</v>
      </c>
      <c r="I111" s="60">
        <v>2100000</v>
      </c>
      <c r="J111" s="63">
        <v>2000</v>
      </c>
      <c r="K111" s="63">
        <v>2000</v>
      </c>
      <c r="L111" s="27">
        <v>0</v>
      </c>
      <c r="M111" s="27">
        <f t="shared" si="1"/>
        <v>1780</v>
      </c>
      <c r="N111" s="26">
        <v>1900</v>
      </c>
      <c r="O111" s="26">
        <v>2800</v>
      </c>
      <c r="P111" s="26">
        <v>1750</v>
      </c>
      <c r="Q111" s="26">
        <v>120</v>
      </c>
      <c r="R111" s="26">
        <v>2800</v>
      </c>
      <c r="S111" s="26">
        <v>20</v>
      </c>
      <c r="T111" s="26">
        <v>4427</v>
      </c>
      <c r="U111" s="26">
        <v>16</v>
      </c>
      <c r="V111" s="26">
        <v>35</v>
      </c>
      <c r="W111" s="26">
        <v>28</v>
      </c>
      <c r="X111" s="26">
        <v>28</v>
      </c>
      <c r="Y111" s="25" t="s">
        <v>73</v>
      </c>
      <c r="Z111" s="25" t="s">
        <v>335</v>
      </c>
      <c r="AA111" s="25" t="s">
        <v>73</v>
      </c>
      <c r="AB111" s="25" t="s">
        <v>78</v>
      </c>
      <c r="AC111" s="25" t="s">
        <v>73</v>
      </c>
      <c r="AD111" s="25" t="s">
        <v>336</v>
      </c>
      <c r="AE111" s="25"/>
      <c r="AF111" s="25"/>
      <c r="AG111" s="25" t="s">
        <v>75</v>
      </c>
      <c r="AH111" s="25" t="s">
        <v>80</v>
      </c>
      <c r="AI111" s="25"/>
      <c r="AJ111" s="25"/>
    </row>
    <row r="112" spans="1:36">
      <c r="A112" s="38">
        <v>110</v>
      </c>
      <c r="B112" s="38" t="s">
        <v>438</v>
      </c>
      <c r="C112" s="55">
        <v>5</v>
      </c>
      <c r="D112" s="55">
        <v>90000</v>
      </c>
      <c r="E112" s="55">
        <v>90000</v>
      </c>
      <c r="F112" s="55">
        <v>150000</v>
      </c>
      <c r="G112" s="55">
        <v>150000</v>
      </c>
      <c r="H112" s="60">
        <v>3500</v>
      </c>
      <c r="I112" s="60">
        <v>2100000</v>
      </c>
      <c r="J112" s="63">
        <v>2000</v>
      </c>
      <c r="K112" s="63">
        <v>2000</v>
      </c>
      <c r="L112" s="27">
        <v>0</v>
      </c>
      <c r="M112" s="27">
        <f t="shared" si="1"/>
        <v>1780</v>
      </c>
      <c r="N112" s="26">
        <v>1900</v>
      </c>
      <c r="O112" s="26">
        <v>2800</v>
      </c>
      <c r="P112" s="26">
        <v>1750</v>
      </c>
      <c r="Q112" s="26">
        <v>120</v>
      </c>
      <c r="R112" s="26">
        <v>2800</v>
      </c>
      <c r="S112" s="26">
        <v>20</v>
      </c>
      <c r="T112" s="26">
        <v>4486</v>
      </c>
      <c r="U112" s="26">
        <v>16</v>
      </c>
      <c r="V112" s="26">
        <v>35</v>
      </c>
      <c r="W112" s="26">
        <v>28</v>
      </c>
      <c r="X112" s="26">
        <v>28</v>
      </c>
      <c r="Y112" s="25" t="s">
        <v>73</v>
      </c>
      <c r="Z112" s="25" t="s">
        <v>335</v>
      </c>
      <c r="AA112" s="25" t="s">
        <v>73</v>
      </c>
      <c r="AB112" s="25" t="s">
        <v>78</v>
      </c>
      <c r="AC112" s="25" t="s">
        <v>73</v>
      </c>
      <c r="AD112" s="25" t="s">
        <v>336</v>
      </c>
      <c r="AE112" s="25"/>
      <c r="AF112" s="25"/>
      <c r="AG112" s="25" t="s">
        <v>75</v>
      </c>
      <c r="AH112" s="25" t="s">
        <v>80</v>
      </c>
      <c r="AI112" s="25"/>
      <c r="AJ112" s="25"/>
    </row>
    <row r="113" spans="1:36">
      <c r="A113" s="38">
        <v>111</v>
      </c>
      <c r="B113" s="38" t="s">
        <v>439</v>
      </c>
      <c r="C113" s="55">
        <v>5</v>
      </c>
      <c r="D113" s="55">
        <v>90000</v>
      </c>
      <c r="E113" s="55">
        <v>90000</v>
      </c>
      <c r="F113" s="55">
        <v>150000</v>
      </c>
      <c r="G113" s="55">
        <v>150000</v>
      </c>
      <c r="H113" s="60">
        <v>3500</v>
      </c>
      <c r="I113" s="60">
        <v>2100000</v>
      </c>
      <c r="J113" s="63">
        <v>2000</v>
      </c>
      <c r="K113" s="63">
        <v>2000</v>
      </c>
      <c r="L113" s="27">
        <v>0</v>
      </c>
      <c r="M113" s="27">
        <f t="shared" si="1"/>
        <v>1780</v>
      </c>
      <c r="N113" s="26">
        <v>1900</v>
      </c>
      <c r="O113" s="26">
        <v>2800</v>
      </c>
      <c r="P113" s="26">
        <v>1750</v>
      </c>
      <c r="Q113" s="26">
        <v>120</v>
      </c>
      <c r="R113" s="26">
        <v>2800</v>
      </c>
      <c r="S113" s="26">
        <v>20</v>
      </c>
      <c r="T113" s="26">
        <v>4550</v>
      </c>
      <c r="U113" s="26">
        <v>16</v>
      </c>
      <c r="V113" s="26">
        <v>35</v>
      </c>
      <c r="W113" s="26">
        <v>28</v>
      </c>
      <c r="X113" s="26">
        <v>28</v>
      </c>
      <c r="Y113" s="25" t="s">
        <v>73</v>
      </c>
      <c r="Z113" s="25" t="s">
        <v>335</v>
      </c>
      <c r="AA113" s="25" t="s">
        <v>73</v>
      </c>
      <c r="AB113" s="25" t="s">
        <v>78</v>
      </c>
      <c r="AC113" s="25" t="s">
        <v>73</v>
      </c>
      <c r="AD113" s="25" t="s">
        <v>336</v>
      </c>
      <c r="AE113" s="25"/>
      <c r="AF113" s="25"/>
      <c r="AG113" s="25" t="s">
        <v>75</v>
      </c>
      <c r="AH113" s="25" t="s">
        <v>80</v>
      </c>
      <c r="AI113" s="25"/>
      <c r="AJ113" s="25"/>
    </row>
    <row r="114" spans="1:36">
      <c r="A114" s="37">
        <v>112</v>
      </c>
      <c r="B114" s="37" t="s">
        <v>440</v>
      </c>
      <c r="C114" s="54">
        <v>5</v>
      </c>
      <c r="D114" s="54">
        <v>90000</v>
      </c>
      <c r="E114" s="54">
        <v>90000</v>
      </c>
      <c r="F114" s="54">
        <v>150000</v>
      </c>
      <c r="G114" s="54">
        <v>150000</v>
      </c>
      <c r="H114" s="59">
        <v>3500</v>
      </c>
      <c r="I114" s="59">
        <v>2100000</v>
      </c>
      <c r="J114" s="62">
        <v>2000</v>
      </c>
      <c r="K114" s="62">
        <v>2000</v>
      </c>
      <c r="L114" s="33">
        <v>0</v>
      </c>
      <c r="M114" s="33">
        <f t="shared" si="1"/>
        <v>1780</v>
      </c>
      <c r="N114" s="34">
        <v>1900</v>
      </c>
      <c r="O114" s="34">
        <v>2800</v>
      </c>
      <c r="P114" s="34">
        <v>1750</v>
      </c>
      <c r="Q114" s="34">
        <v>120</v>
      </c>
      <c r="R114" s="34">
        <v>2800</v>
      </c>
      <c r="S114" s="34">
        <v>20</v>
      </c>
      <c r="T114" s="34">
        <v>4616</v>
      </c>
      <c r="U114" s="34">
        <v>16</v>
      </c>
      <c r="V114" s="34">
        <v>35</v>
      </c>
      <c r="W114" s="34">
        <v>28</v>
      </c>
      <c r="X114" s="34">
        <v>28</v>
      </c>
      <c r="Y114" s="35" t="s">
        <v>73</v>
      </c>
      <c r="Z114" s="35" t="s">
        <v>334</v>
      </c>
      <c r="AA114" s="35" t="s">
        <v>73</v>
      </c>
      <c r="AB114" s="35" t="s">
        <v>78</v>
      </c>
      <c r="AC114" s="35" t="s">
        <v>73</v>
      </c>
      <c r="AD114" s="35" t="s">
        <v>336</v>
      </c>
      <c r="AE114" s="25"/>
      <c r="AF114" s="25"/>
      <c r="AG114" s="25" t="s">
        <v>75</v>
      </c>
      <c r="AH114" s="25" t="s">
        <v>80</v>
      </c>
      <c r="AI114" s="25"/>
      <c r="AJ114" s="25"/>
    </row>
    <row r="115" spans="1:36">
      <c r="A115" s="38">
        <v>113</v>
      </c>
      <c r="B115" s="38" t="s">
        <v>441</v>
      </c>
      <c r="C115" s="55">
        <v>5</v>
      </c>
      <c r="D115" s="55">
        <v>90000</v>
      </c>
      <c r="E115" s="55">
        <v>90000</v>
      </c>
      <c r="F115" s="55">
        <v>150000</v>
      </c>
      <c r="G115" s="55">
        <v>150000</v>
      </c>
      <c r="H115" s="60">
        <v>3500</v>
      </c>
      <c r="I115" s="60">
        <v>2100000</v>
      </c>
      <c r="J115" s="63">
        <v>2000</v>
      </c>
      <c r="K115" s="63">
        <v>2000</v>
      </c>
      <c r="L115" s="27">
        <v>0</v>
      </c>
      <c r="M115" s="27">
        <f t="shared" si="1"/>
        <v>1780</v>
      </c>
      <c r="N115" s="26">
        <v>1900</v>
      </c>
      <c r="O115" s="26">
        <v>2800</v>
      </c>
      <c r="P115" s="26">
        <v>1750</v>
      </c>
      <c r="Q115" s="26">
        <v>120</v>
      </c>
      <c r="R115" s="26">
        <v>2800</v>
      </c>
      <c r="S115" s="26">
        <v>20</v>
      </c>
      <c r="T115" s="26">
        <v>4687</v>
      </c>
      <c r="U115" s="26">
        <v>16</v>
      </c>
      <c r="V115" s="26">
        <v>35</v>
      </c>
      <c r="W115" s="26">
        <v>28</v>
      </c>
      <c r="X115" s="26">
        <v>28</v>
      </c>
      <c r="Y115" s="25" t="s">
        <v>73</v>
      </c>
      <c r="Z115" s="25" t="s">
        <v>335</v>
      </c>
      <c r="AA115" s="25" t="s">
        <v>73</v>
      </c>
      <c r="AB115" s="25" t="s">
        <v>78</v>
      </c>
      <c r="AC115" s="25" t="s">
        <v>73</v>
      </c>
      <c r="AD115" s="25" t="s">
        <v>336</v>
      </c>
      <c r="AE115" s="25"/>
      <c r="AF115" s="25"/>
      <c r="AG115" s="25" t="s">
        <v>75</v>
      </c>
      <c r="AH115" s="25" t="s">
        <v>80</v>
      </c>
      <c r="AI115" s="25"/>
      <c r="AJ115" s="25"/>
    </row>
    <row r="116" spans="1:36">
      <c r="A116" s="38">
        <v>114</v>
      </c>
      <c r="B116" s="38" t="s">
        <v>442</v>
      </c>
      <c r="C116" s="55">
        <v>5</v>
      </c>
      <c r="D116" s="55">
        <v>90000</v>
      </c>
      <c r="E116" s="55">
        <v>90000</v>
      </c>
      <c r="F116" s="55">
        <v>150000</v>
      </c>
      <c r="G116" s="55">
        <v>150000</v>
      </c>
      <c r="H116" s="60">
        <v>3500</v>
      </c>
      <c r="I116" s="60">
        <v>2100000</v>
      </c>
      <c r="J116" s="63">
        <v>2000</v>
      </c>
      <c r="K116" s="63">
        <v>2000</v>
      </c>
      <c r="L116" s="27">
        <v>0</v>
      </c>
      <c r="M116" s="27">
        <f t="shared" si="1"/>
        <v>1780</v>
      </c>
      <c r="N116" s="26">
        <v>1900</v>
      </c>
      <c r="O116" s="26">
        <v>2800</v>
      </c>
      <c r="P116" s="26">
        <v>1750</v>
      </c>
      <c r="Q116" s="26">
        <v>120</v>
      </c>
      <c r="R116" s="26">
        <v>2800</v>
      </c>
      <c r="S116" s="26">
        <v>20</v>
      </c>
      <c r="T116" s="26">
        <v>4762</v>
      </c>
      <c r="U116" s="26">
        <v>16</v>
      </c>
      <c r="V116" s="26">
        <v>35</v>
      </c>
      <c r="W116" s="26">
        <v>28</v>
      </c>
      <c r="X116" s="26">
        <v>28</v>
      </c>
      <c r="Y116" s="25" t="s">
        <v>73</v>
      </c>
      <c r="Z116" s="25" t="s">
        <v>335</v>
      </c>
      <c r="AA116" s="25" t="s">
        <v>73</v>
      </c>
      <c r="AB116" s="25" t="s">
        <v>78</v>
      </c>
      <c r="AC116" s="25" t="s">
        <v>73</v>
      </c>
      <c r="AD116" s="25" t="s">
        <v>336</v>
      </c>
      <c r="AE116" s="25"/>
      <c r="AF116" s="25"/>
      <c r="AG116" s="25" t="s">
        <v>75</v>
      </c>
      <c r="AH116" s="25" t="s">
        <v>80</v>
      </c>
      <c r="AI116" s="25"/>
      <c r="AJ116" s="25"/>
    </row>
    <row r="117" spans="1:36">
      <c r="A117" s="38">
        <v>115</v>
      </c>
      <c r="B117" s="38" t="s">
        <v>443</v>
      </c>
      <c r="C117" s="55">
        <v>5</v>
      </c>
      <c r="D117" s="55">
        <v>90000</v>
      </c>
      <c r="E117" s="55">
        <v>90000</v>
      </c>
      <c r="F117" s="55">
        <v>150000</v>
      </c>
      <c r="G117" s="55">
        <v>150000</v>
      </c>
      <c r="H117" s="60">
        <v>3500</v>
      </c>
      <c r="I117" s="60">
        <v>2100000</v>
      </c>
      <c r="J117" s="63">
        <v>2000</v>
      </c>
      <c r="K117" s="63">
        <v>2000</v>
      </c>
      <c r="L117" s="27">
        <v>0</v>
      </c>
      <c r="M117" s="27">
        <f t="shared" si="1"/>
        <v>1780</v>
      </c>
      <c r="N117" s="26">
        <v>1900</v>
      </c>
      <c r="O117" s="26">
        <v>2800</v>
      </c>
      <c r="P117" s="26">
        <v>1750</v>
      </c>
      <c r="Q117" s="26">
        <v>120</v>
      </c>
      <c r="R117" s="26">
        <v>2800</v>
      </c>
      <c r="S117" s="26">
        <v>20</v>
      </c>
      <c r="T117" s="26">
        <v>4841</v>
      </c>
      <c r="U117" s="26">
        <v>16</v>
      </c>
      <c r="V117" s="26">
        <v>35</v>
      </c>
      <c r="W117" s="26">
        <v>28</v>
      </c>
      <c r="X117" s="26">
        <v>28</v>
      </c>
      <c r="Y117" s="25" t="s">
        <v>73</v>
      </c>
      <c r="Z117" s="25" t="s">
        <v>335</v>
      </c>
      <c r="AA117" s="25" t="s">
        <v>73</v>
      </c>
      <c r="AB117" s="25" t="s">
        <v>78</v>
      </c>
      <c r="AC117" s="25" t="s">
        <v>73</v>
      </c>
      <c r="AD117" s="25" t="s">
        <v>336</v>
      </c>
      <c r="AE117" s="25"/>
      <c r="AF117" s="25"/>
      <c r="AG117" s="25" t="s">
        <v>75</v>
      </c>
      <c r="AH117" s="25" t="s">
        <v>80</v>
      </c>
      <c r="AI117" s="25"/>
      <c r="AJ117" s="25"/>
    </row>
    <row r="118" spans="1:36">
      <c r="A118" s="37">
        <v>116</v>
      </c>
      <c r="B118" s="37" t="s">
        <v>444</v>
      </c>
      <c r="C118" s="54">
        <v>5</v>
      </c>
      <c r="D118" s="54">
        <v>90000</v>
      </c>
      <c r="E118" s="54">
        <v>90000</v>
      </c>
      <c r="F118" s="54">
        <v>150000</v>
      </c>
      <c r="G118" s="54">
        <v>150000</v>
      </c>
      <c r="H118" s="59">
        <v>3500</v>
      </c>
      <c r="I118" s="59">
        <v>2100000</v>
      </c>
      <c r="J118" s="62">
        <v>2000</v>
      </c>
      <c r="K118" s="62">
        <v>2000</v>
      </c>
      <c r="L118" s="33">
        <v>0</v>
      </c>
      <c r="M118" s="33">
        <f t="shared" si="1"/>
        <v>1780</v>
      </c>
      <c r="N118" s="34">
        <v>1900</v>
      </c>
      <c r="O118" s="34">
        <v>2800</v>
      </c>
      <c r="P118" s="34">
        <v>1750</v>
      </c>
      <c r="Q118" s="34">
        <v>120</v>
      </c>
      <c r="R118" s="34">
        <v>2800</v>
      </c>
      <c r="S118" s="34">
        <v>20</v>
      </c>
      <c r="T118" s="34">
        <v>4923</v>
      </c>
      <c r="U118" s="34">
        <v>16</v>
      </c>
      <c r="V118" s="34">
        <v>42</v>
      </c>
      <c r="W118" s="34">
        <v>35</v>
      </c>
      <c r="X118" s="34">
        <v>35</v>
      </c>
      <c r="Y118" s="35" t="s">
        <v>73</v>
      </c>
      <c r="Z118" s="35" t="s">
        <v>334</v>
      </c>
      <c r="AA118" s="35" t="s">
        <v>73</v>
      </c>
      <c r="AB118" s="35" t="s">
        <v>78</v>
      </c>
      <c r="AC118" s="35" t="s">
        <v>73</v>
      </c>
      <c r="AD118" s="35" t="s">
        <v>336</v>
      </c>
      <c r="AE118" s="25"/>
      <c r="AF118" s="25"/>
      <c r="AG118" s="25" t="s">
        <v>75</v>
      </c>
      <c r="AH118" s="25" t="s">
        <v>80</v>
      </c>
      <c r="AI118" s="25"/>
      <c r="AJ118" s="25"/>
    </row>
    <row r="119" spans="1:36">
      <c r="A119" s="38">
        <v>117</v>
      </c>
      <c r="B119" s="38" t="s">
        <v>445</v>
      </c>
      <c r="C119" s="55">
        <v>6</v>
      </c>
      <c r="D119" s="55">
        <v>87398.373983739832</v>
      </c>
      <c r="E119" s="55">
        <v>87398.373983739832</v>
      </c>
      <c r="F119" s="55">
        <v>150000</v>
      </c>
      <c r="G119" s="55">
        <v>150000</v>
      </c>
      <c r="H119" s="60">
        <v>3500</v>
      </c>
      <c r="I119" s="60">
        <v>2100000</v>
      </c>
      <c r="J119" s="63">
        <v>2000</v>
      </c>
      <c r="K119" s="63">
        <v>2000</v>
      </c>
      <c r="L119" s="27">
        <v>0</v>
      </c>
      <c r="M119" s="27">
        <f t="shared" si="1"/>
        <v>1780</v>
      </c>
      <c r="N119" s="26">
        <v>1900</v>
      </c>
      <c r="O119" s="26">
        <v>2800</v>
      </c>
      <c r="P119" s="26">
        <v>1750</v>
      </c>
      <c r="Q119" s="26">
        <v>120</v>
      </c>
      <c r="R119" s="26">
        <v>2800</v>
      </c>
      <c r="S119" s="26">
        <v>20</v>
      </c>
      <c r="T119" s="26">
        <v>5010</v>
      </c>
      <c r="U119" s="26">
        <v>16</v>
      </c>
      <c r="V119" s="26">
        <v>42</v>
      </c>
      <c r="W119" s="26">
        <v>35</v>
      </c>
      <c r="X119" s="26">
        <v>35</v>
      </c>
      <c r="Y119" s="25" t="s">
        <v>73</v>
      </c>
      <c r="Z119" s="25" t="s">
        <v>335</v>
      </c>
      <c r="AA119" s="25" t="s">
        <v>73</v>
      </c>
      <c r="AB119" s="25" t="s">
        <v>78</v>
      </c>
      <c r="AC119" s="25" t="s">
        <v>73</v>
      </c>
      <c r="AD119" s="25" t="s">
        <v>336</v>
      </c>
      <c r="AE119" s="25"/>
      <c r="AF119" s="25"/>
      <c r="AG119" s="25" t="s">
        <v>75</v>
      </c>
      <c r="AH119" s="25" t="s">
        <v>80</v>
      </c>
      <c r="AI119" s="25"/>
      <c r="AJ119" s="25"/>
    </row>
    <row r="120" spans="1:36">
      <c r="A120" s="38">
        <v>118</v>
      </c>
      <c r="B120" s="38" t="s">
        <v>446</v>
      </c>
      <c r="C120" s="55">
        <v>6</v>
      </c>
      <c r="D120" s="55">
        <v>84796.747967479678</v>
      </c>
      <c r="E120" s="55">
        <v>84796.747967479678</v>
      </c>
      <c r="F120" s="55">
        <v>150000</v>
      </c>
      <c r="G120" s="55">
        <v>150000</v>
      </c>
      <c r="H120" s="60">
        <v>3500</v>
      </c>
      <c r="I120" s="60">
        <v>2100000</v>
      </c>
      <c r="J120" s="63">
        <v>2000</v>
      </c>
      <c r="K120" s="63">
        <v>2000</v>
      </c>
      <c r="L120" s="27">
        <v>0</v>
      </c>
      <c r="M120" s="27">
        <f t="shared" si="1"/>
        <v>1780</v>
      </c>
      <c r="N120" s="26">
        <v>1900</v>
      </c>
      <c r="O120" s="26">
        <v>2800</v>
      </c>
      <c r="P120" s="26">
        <v>1750</v>
      </c>
      <c r="Q120" s="26">
        <v>120</v>
      </c>
      <c r="R120" s="26">
        <v>2800</v>
      </c>
      <c r="S120" s="26">
        <v>20</v>
      </c>
      <c r="T120" s="26">
        <v>5100</v>
      </c>
      <c r="U120" s="26">
        <v>16</v>
      </c>
      <c r="V120" s="26">
        <v>42</v>
      </c>
      <c r="W120" s="26">
        <v>35</v>
      </c>
      <c r="X120" s="26">
        <v>35</v>
      </c>
      <c r="Y120" s="25" t="s">
        <v>73</v>
      </c>
      <c r="Z120" s="25" t="s">
        <v>335</v>
      </c>
      <c r="AA120" s="25" t="s">
        <v>73</v>
      </c>
      <c r="AB120" s="25" t="s">
        <v>78</v>
      </c>
      <c r="AC120" s="25" t="s">
        <v>73</v>
      </c>
      <c r="AD120" s="25" t="s">
        <v>336</v>
      </c>
      <c r="AE120" s="25"/>
      <c r="AF120" s="25"/>
      <c r="AG120" s="25" t="s">
        <v>75</v>
      </c>
      <c r="AH120" s="25" t="s">
        <v>80</v>
      </c>
      <c r="AI120" s="25"/>
      <c r="AJ120" s="25"/>
    </row>
    <row r="121" spans="1:36">
      <c r="A121" s="38">
        <v>119</v>
      </c>
      <c r="B121" s="38" t="s">
        <v>447</v>
      </c>
      <c r="C121" s="55">
        <v>6</v>
      </c>
      <c r="D121" s="55">
        <v>82195.121951219509</v>
      </c>
      <c r="E121" s="55">
        <v>82195.121951219509</v>
      </c>
      <c r="F121" s="55">
        <v>150000</v>
      </c>
      <c r="G121" s="55">
        <v>150000</v>
      </c>
      <c r="H121" s="60">
        <v>3500</v>
      </c>
      <c r="I121" s="60">
        <v>2100000</v>
      </c>
      <c r="J121" s="63">
        <v>2000</v>
      </c>
      <c r="K121" s="63">
        <v>2000</v>
      </c>
      <c r="L121" s="27">
        <v>0</v>
      </c>
      <c r="M121" s="27">
        <f t="shared" si="1"/>
        <v>1780</v>
      </c>
      <c r="N121" s="26">
        <v>1900</v>
      </c>
      <c r="O121" s="26">
        <v>2800</v>
      </c>
      <c r="P121" s="26">
        <v>1750</v>
      </c>
      <c r="Q121" s="26">
        <v>120</v>
      </c>
      <c r="R121" s="26">
        <v>2800</v>
      </c>
      <c r="S121" s="26">
        <v>20</v>
      </c>
      <c r="T121" s="26">
        <v>5194</v>
      </c>
      <c r="U121" s="26">
        <v>16</v>
      </c>
      <c r="V121" s="26">
        <v>42</v>
      </c>
      <c r="W121" s="26">
        <v>35</v>
      </c>
      <c r="X121" s="26">
        <v>35</v>
      </c>
      <c r="Y121" s="25" t="s">
        <v>73</v>
      </c>
      <c r="Z121" s="25" t="s">
        <v>335</v>
      </c>
      <c r="AA121" s="25" t="s">
        <v>73</v>
      </c>
      <c r="AB121" s="25" t="s">
        <v>78</v>
      </c>
      <c r="AC121" s="25" t="s">
        <v>73</v>
      </c>
      <c r="AD121" s="25" t="s">
        <v>336</v>
      </c>
      <c r="AE121" s="25"/>
      <c r="AF121" s="25"/>
      <c r="AG121" s="25" t="s">
        <v>75</v>
      </c>
      <c r="AH121" s="25" t="s">
        <v>80</v>
      </c>
      <c r="AI121" s="25"/>
      <c r="AJ121" s="25"/>
    </row>
    <row r="122" spans="1:36">
      <c r="A122" s="37">
        <v>120</v>
      </c>
      <c r="B122" s="37" t="s">
        <v>448</v>
      </c>
      <c r="C122" s="54">
        <v>6</v>
      </c>
      <c r="D122" s="54">
        <v>79593.495934959356</v>
      </c>
      <c r="E122" s="54">
        <v>79593.495934959356</v>
      </c>
      <c r="F122" s="54">
        <v>150000</v>
      </c>
      <c r="G122" s="54">
        <v>150000</v>
      </c>
      <c r="H122" s="59">
        <v>3500</v>
      </c>
      <c r="I122" s="59">
        <v>2100000</v>
      </c>
      <c r="J122" s="62">
        <v>2000</v>
      </c>
      <c r="K122" s="62">
        <v>2000</v>
      </c>
      <c r="L122" s="33">
        <v>0</v>
      </c>
      <c r="M122" s="33">
        <f t="shared" si="1"/>
        <v>1780</v>
      </c>
      <c r="N122" s="34">
        <v>1900</v>
      </c>
      <c r="O122" s="34">
        <v>2800</v>
      </c>
      <c r="P122" s="34">
        <v>1750</v>
      </c>
      <c r="Q122" s="34">
        <v>120</v>
      </c>
      <c r="R122" s="34">
        <v>2800</v>
      </c>
      <c r="S122" s="34">
        <v>20</v>
      </c>
      <c r="T122" s="34">
        <v>5292</v>
      </c>
      <c r="U122" s="34">
        <v>16</v>
      </c>
      <c r="V122" s="34">
        <v>42</v>
      </c>
      <c r="W122" s="34">
        <v>35</v>
      </c>
      <c r="X122" s="34">
        <v>35</v>
      </c>
      <c r="Y122" s="35" t="s">
        <v>73</v>
      </c>
      <c r="Z122" s="35" t="s">
        <v>334</v>
      </c>
      <c r="AA122" s="35" t="s">
        <v>73</v>
      </c>
      <c r="AB122" s="35" t="s">
        <v>78</v>
      </c>
      <c r="AC122" s="35" t="s">
        <v>73</v>
      </c>
      <c r="AD122" s="35" t="s">
        <v>336</v>
      </c>
      <c r="AE122" s="25"/>
      <c r="AF122" s="25"/>
      <c r="AG122" s="25" t="s">
        <v>75</v>
      </c>
      <c r="AH122" s="25" t="s">
        <v>80</v>
      </c>
      <c r="AI122" s="25"/>
      <c r="AJ122" s="25"/>
    </row>
    <row r="123" spans="1:36">
      <c r="A123" s="38">
        <v>121</v>
      </c>
      <c r="B123" s="38" t="s">
        <v>449</v>
      </c>
      <c r="C123" s="55">
        <v>6</v>
      </c>
      <c r="D123" s="55">
        <v>76991.869918699187</v>
      </c>
      <c r="E123" s="55">
        <v>76991.869918699187</v>
      </c>
      <c r="F123" s="55">
        <v>150000</v>
      </c>
      <c r="G123" s="55">
        <v>150000</v>
      </c>
      <c r="H123" s="60">
        <v>3500</v>
      </c>
      <c r="I123" s="60">
        <v>2100000</v>
      </c>
      <c r="J123" s="63">
        <v>2000</v>
      </c>
      <c r="K123" s="63">
        <v>2000</v>
      </c>
      <c r="L123" s="27">
        <v>0</v>
      </c>
      <c r="M123" s="27">
        <f t="shared" si="1"/>
        <v>1780</v>
      </c>
      <c r="N123" s="26">
        <v>1900</v>
      </c>
      <c r="O123" s="26">
        <v>2800</v>
      </c>
      <c r="P123" s="26">
        <v>1750</v>
      </c>
      <c r="Q123" s="26">
        <v>120</v>
      </c>
      <c r="R123" s="26">
        <v>2800</v>
      </c>
      <c r="S123" s="26">
        <v>20</v>
      </c>
      <c r="T123" s="26">
        <v>5393</v>
      </c>
      <c r="U123" s="26">
        <v>16</v>
      </c>
      <c r="V123" s="26">
        <v>42</v>
      </c>
      <c r="W123" s="26">
        <v>35</v>
      </c>
      <c r="X123" s="26">
        <v>35</v>
      </c>
      <c r="Y123" s="25" t="s">
        <v>73</v>
      </c>
      <c r="Z123" s="25" t="s">
        <v>335</v>
      </c>
      <c r="AA123" s="25" t="s">
        <v>73</v>
      </c>
      <c r="AB123" s="25" t="s">
        <v>78</v>
      </c>
      <c r="AC123" s="25" t="s">
        <v>73</v>
      </c>
      <c r="AD123" s="25" t="s">
        <v>336</v>
      </c>
      <c r="AE123" s="25"/>
      <c r="AF123" s="25"/>
      <c r="AG123" s="25" t="s">
        <v>75</v>
      </c>
      <c r="AH123" s="25" t="s">
        <v>80</v>
      </c>
      <c r="AI123" s="25"/>
      <c r="AJ123" s="25"/>
    </row>
    <row r="124" spans="1:36">
      <c r="A124" s="38">
        <v>122</v>
      </c>
      <c r="B124" s="38" t="s">
        <v>450</v>
      </c>
      <c r="C124" s="55">
        <v>6</v>
      </c>
      <c r="D124" s="55">
        <v>74390.243902439019</v>
      </c>
      <c r="E124" s="55">
        <v>74390.243902439019</v>
      </c>
      <c r="F124" s="55">
        <v>150000</v>
      </c>
      <c r="G124" s="55">
        <v>150000</v>
      </c>
      <c r="H124" s="60">
        <v>3500</v>
      </c>
      <c r="I124" s="60">
        <v>2100000</v>
      </c>
      <c r="J124" s="63">
        <v>2000</v>
      </c>
      <c r="K124" s="63">
        <v>2000</v>
      </c>
      <c r="L124" s="27">
        <v>0</v>
      </c>
      <c r="M124" s="27">
        <f t="shared" si="1"/>
        <v>1780</v>
      </c>
      <c r="N124" s="26">
        <v>1900</v>
      </c>
      <c r="O124" s="26">
        <v>2800</v>
      </c>
      <c r="P124" s="26">
        <v>1750</v>
      </c>
      <c r="Q124" s="26">
        <v>120</v>
      </c>
      <c r="R124" s="26">
        <v>2800</v>
      </c>
      <c r="S124" s="26">
        <v>20</v>
      </c>
      <c r="T124" s="26">
        <v>5499</v>
      </c>
      <c r="U124" s="26">
        <v>16</v>
      </c>
      <c r="V124" s="26">
        <v>42</v>
      </c>
      <c r="W124" s="26">
        <v>35</v>
      </c>
      <c r="X124" s="26">
        <v>35</v>
      </c>
      <c r="Y124" s="25" t="s">
        <v>73</v>
      </c>
      <c r="Z124" s="25" t="s">
        <v>335</v>
      </c>
      <c r="AA124" s="25" t="s">
        <v>73</v>
      </c>
      <c r="AB124" s="25" t="s">
        <v>78</v>
      </c>
      <c r="AC124" s="25" t="s">
        <v>73</v>
      </c>
      <c r="AD124" s="25" t="s">
        <v>336</v>
      </c>
      <c r="AE124" s="25"/>
      <c r="AF124" s="25"/>
      <c r="AG124" s="25" t="s">
        <v>75</v>
      </c>
      <c r="AH124" s="25" t="s">
        <v>80</v>
      </c>
      <c r="AI124" s="25"/>
      <c r="AJ124" s="25"/>
    </row>
    <row r="125" spans="1:36">
      <c r="A125" s="38">
        <v>123</v>
      </c>
      <c r="B125" s="38" t="s">
        <v>451</v>
      </c>
      <c r="C125" s="55">
        <v>6</v>
      </c>
      <c r="D125" s="55">
        <v>71788.617886178865</v>
      </c>
      <c r="E125" s="55">
        <v>71788.617886178865</v>
      </c>
      <c r="F125" s="55">
        <v>150000</v>
      </c>
      <c r="G125" s="55">
        <v>150000</v>
      </c>
      <c r="H125" s="60">
        <v>3500</v>
      </c>
      <c r="I125" s="60">
        <v>2100000</v>
      </c>
      <c r="J125" s="63">
        <v>2000</v>
      </c>
      <c r="K125" s="63">
        <v>2000</v>
      </c>
      <c r="L125" s="27">
        <v>0</v>
      </c>
      <c r="M125" s="27">
        <f t="shared" ref="M125:M188" si="2">N125-Q125</f>
        <v>1780</v>
      </c>
      <c r="N125" s="26">
        <v>1900</v>
      </c>
      <c r="O125" s="26">
        <v>2800</v>
      </c>
      <c r="P125" s="26">
        <v>1750</v>
      </c>
      <c r="Q125" s="26">
        <v>120</v>
      </c>
      <c r="R125" s="26">
        <v>2800</v>
      </c>
      <c r="S125" s="26">
        <v>20</v>
      </c>
      <c r="T125" s="26">
        <v>5608</v>
      </c>
      <c r="U125" s="26">
        <v>16</v>
      </c>
      <c r="V125" s="26">
        <v>42</v>
      </c>
      <c r="W125" s="26">
        <v>35</v>
      </c>
      <c r="X125" s="26">
        <v>35</v>
      </c>
      <c r="Y125" s="25" t="s">
        <v>73</v>
      </c>
      <c r="Z125" s="25" t="s">
        <v>335</v>
      </c>
      <c r="AA125" s="25" t="s">
        <v>73</v>
      </c>
      <c r="AB125" s="25" t="s">
        <v>78</v>
      </c>
      <c r="AC125" s="25" t="s">
        <v>73</v>
      </c>
      <c r="AD125" s="25" t="s">
        <v>336</v>
      </c>
      <c r="AE125" s="25"/>
      <c r="AF125" s="25"/>
      <c r="AG125" s="25" t="s">
        <v>75</v>
      </c>
      <c r="AH125" s="25" t="s">
        <v>80</v>
      </c>
      <c r="AI125" s="25"/>
      <c r="AJ125" s="25"/>
    </row>
    <row r="126" spans="1:36">
      <c r="A126" s="37">
        <v>124</v>
      </c>
      <c r="B126" s="37" t="s">
        <v>452</v>
      </c>
      <c r="C126" s="54">
        <v>6</v>
      </c>
      <c r="D126" s="54">
        <v>69186.991869918696</v>
      </c>
      <c r="E126" s="54">
        <v>69186.991869918696</v>
      </c>
      <c r="F126" s="54">
        <v>150000</v>
      </c>
      <c r="G126" s="54">
        <v>150000</v>
      </c>
      <c r="H126" s="59">
        <v>3500</v>
      </c>
      <c r="I126" s="59">
        <v>2100000</v>
      </c>
      <c r="J126" s="62">
        <v>2000</v>
      </c>
      <c r="K126" s="62">
        <v>2000</v>
      </c>
      <c r="L126" s="33">
        <v>0</v>
      </c>
      <c r="M126" s="33">
        <f t="shared" si="2"/>
        <v>1780</v>
      </c>
      <c r="N126" s="34">
        <v>1900</v>
      </c>
      <c r="O126" s="34">
        <v>2800</v>
      </c>
      <c r="P126" s="34">
        <v>1750</v>
      </c>
      <c r="Q126" s="34">
        <v>120</v>
      </c>
      <c r="R126" s="34">
        <v>2800</v>
      </c>
      <c r="S126" s="34">
        <v>20</v>
      </c>
      <c r="T126" s="34">
        <v>5722</v>
      </c>
      <c r="U126" s="34">
        <v>16</v>
      </c>
      <c r="V126" s="34">
        <v>42</v>
      </c>
      <c r="W126" s="34">
        <v>35</v>
      </c>
      <c r="X126" s="34">
        <v>35</v>
      </c>
      <c r="Y126" s="35" t="s">
        <v>73</v>
      </c>
      <c r="Z126" s="35" t="s">
        <v>334</v>
      </c>
      <c r="AA126" s="35" t="s">
        <v>73</v>
      </c>
      <c r="AB126" s="35" t="s">
        <v>78</v>
      </c>
      <c r="AC126" s="35" t="s">
        <v>73</v>
      </c>
      <c r="AD126" s="35" t="s">
        <v>336</v>
      </c>
      <c r="AE126" s="25"/>
      <c r="AF126" s="25"/>
      <c r="AG126" s="25" t="s">
        <v>75</v>
      </c>
      <c r="AH126" s="25" t="s">
        <v>80</v>
      </c>
      <c r="AI126" s="25"/>
      <c r="AJ126" s="25"/>
    </row>
    <row r="127" spans="1:36">
      <c r="A127" s="38">
        <v>125</v>
      </c>
      <c r="B127" s="38" t="s">
        <v>453</v>
      </c>
      <c r="C127" s="55">
        <v>6</v>
      </c>
      <c r="D127" s="55">
        <v>66585.365853658528</v>
      </c>
      <c r="E127" s="55">
        <v>66585.365853658528</v>
      </c>
      <c r="F127" s="55">
        <v>150000</v>
      </c>
      <c r="G127" s="55">
        <v>150000</v>
      </c>
      <c r="H127" s="60">
        <v>3500</v>
      </c>
      <c r="I127" s="60">
        <v>2100000</v>
      </c>
      <c r="J127" s="63">
        <v>2000</v>
      </c>
      <c r="K127" s="63">
        <v>2000</v>
      </c>
      <c r="L127" s="27">
        <v>0</v>
      </c>
      <c r="M127" s="27">
        <f t="shared" si="2"/>
        <v>1780</v>
      </c>
      <c r="N127" s="26">
        <v>1900</v>
      </c>
      <c r="O127" s="26">
        <v>2800</v>
      </c>
      <c r="P127" s="26">
        <v>1750</v>
      </c>
      <c r="Q127" s="26">
        <v>120</v>
      </c>
      <c r="R127" s="26">
        <v>2800</v>
      </c>
      <c r="S127" s="26">
        <v>20</v>
      </c>
      <c r="T127" s="26">
        <v>5839</v>
      </c>
      <c r="U127" s="26">
        <v>16</v>
      </c>
      <c r="V127" s="26">
        <v>42</v>
      </c>
      <c r="W127" s="26">
        <v>35</v>
      </c>
      <c r="X127" s="26">
        <v>35</v>
      </c>
      <c r="Y127" s="25" t="s">
        <v>73</v>
      </c>
      <c r="Z127" s="25" t="s">
        <v>335</v>
      </c>
      <c r="AA127" s="25" t="s">
        <v>73</v>
      </c>
      <c r="AB127" s="25" t="s">
        <v>78</v>
      </c>
      <c r="AC127" s="25" t="s">
        <v>73</v>
      </c>
      <c r="AD127" s="25" t="s">
        <v>336</v>
      </c>
      <c r="AE127" s="25"/>
      <c r="AF127" s="25"/>
      <c r="AG127" s="25" t="s">
        <v>75</v>
      </c>
      <c r="AH127" s="25" t="s">
        <v>80</v>
      </c>
      <c r="AI127" s="25"/>
      <c r="AJ127" s="25"/>
    </row>
    <row r="128" spans="1:36">
      <c r="A128" s="38">
        <v>126</v>
      </c>
      <c r="B128" s="38" t="s">
        <v>454</v>
      </c>
      <c r="C128" s="55">
        <v>6</v>
      </c>
      <c r="D128" s="55">
        <v>63983.739837398374</v>
      </c>
      <c r="E128" s="55">
        <v>63983.739837398374</v>
      </c>
      <c r="F128" s="55">
        <v>150000</v>
      </c>
      <c r="G128" s="55">
        <v>150000</v>
      </c>
      <c r="H128" s="60">
        <v>3500</v>
      </c>
      <c r="I128" s="60">
        <v>2100000</v>
      </c>
      <c r="J128" s="63">
        <v>2000</v>
      </c>
      <c r="K128" s="63">
        <v>2000</v>
      </c>
      <c r="L128" s="27">
        <v>0</v>
      </c>
      <c r="M128" s="27">
        <f t="shared" si="2"/>
        <v>1780</v>
      </c>
      <c r="N128" s="26">
        <v>1900</v>
      </c>
      <c r="O128" s="26">
        <v>2800</v>
      </c>
      <c r="P128" s="26">
        <v>1750</v>
      </c>
      <c r="Q128" s="26">
        <v>120</v>
      </c>
      <c r="R128" s="26">
        <v>2800</v>
      </c>
      <c r="S128" s="26">
        <v>20</v>
      </c>
      <c r="T128" s="26">
        <v>5960</v>
      </c>
      <c r="U128" s="26">
        <v>16</v>
      </c>
      <c r="V128" s="26">
        <v>42</v>
      </c>
      <c r="W128" s="26">
        <v>35</v>
      </c>
      <c r="X128" s="26">
        <v>35</v>
      </c>
      <c r="Y128" s="25" t="s">
        <v>73</v>
      </c>
      <c r="Z128" s="25" t="s">
        <v>335</v>
      </c>
      <c r="AA128" s="25" t="s">
        <v>73</v>
      </c>
      <c r="AB128" s="25" t="s">
        <v>78</v>
      </c>
      <c r="AC128" s="25" t="s">
        <v>73</v>
      </c>
      <c r="AD128" s="25" t="s">
        <v>336</v>
      </c>
      <c r="AE128" s="25"/>
      <c r="AF128" s="25"/>
      <c r="AG128" s="25" t="s">
        <v>75</v>
      </c>
      <c r="AH128" s="25" t="s">
        <v>80</v>
      </c>
      <c r="AI128" s="25"/>
      <c r="AJ128" s="25"/>
    </row>
    <row r="129" spans="1:36">
      <c r="A129" s="38">
        <v>127</v>
      </c>
      <c r="B129" s="38" t="s">
        <v>455</v>
      </c>
      <c r="C129" s="55">
        <v>6</v>
      </c>
      <c r="D129" s="55">
        <v>61642.276422764233</v>
      </c>
      <c r="E129" s="55">
        <v>61642.276422764233</v>
      </c>
      <c r="F129" s="55">
        <v>150000</v>
      </c>
      <c r="G129" s="55">
        <v>150000</v>
      </c>
      <c r="H129" s="60">
        <v>3500</v>
      </c>
      <c r="I129" s="60">
        <v>2100000</v>
      </c>
      <c r="J129" s="63">
        <v>2000</v>
      </c>
      <c r="K129" s="63">
        <v>2000</v>
      </c>
      <c r="L129" s="27">
        <v>0</v>
      </c>
      <c r="M129" s="27">
        <f t="shared" si="2"/>
        <v>1780</v>
      </c>
      <c r="N129" s="26">
        <v>1900</v>
      </c>
      <c r="O129" s="26">
        <v>2800</v>
      </c>
      <c r="P129" s="26">
        <v>1750</v>
      </c>
      <c r="Q129" s="26">
        <v>120</v>
      </c>
      <c r="R129" s="26">
        <v>2800</v>
      </c>
      <c r="S129" s="26">
        <v>20</v>
      </c>
      <c r="T129" s="26">
        <v>6085</v>
      </c>
      <c r="U129" s="26">
        <v>16</v>
      </c>
      <c r="V129" s="26">
        <v>42</v>
      </c>
      <c r="W129" s="26">
        <v>35</v>
      </c>
      <c r="X129" s="26">
        <v>35</v>
      </c>
      <c r="Y129" s="25" t="s">
        <v>73</v>
      </c>
      <c r="Z129" s="25" t="s">
        <v>335</v>
      </c>
      <c r="AA129" s="25" t="s">
        <v>73</v>
      </c>
      <c r="AB129" s="25" t="s">
        <v>78</v>
      </c>
      <c r="AC129" s="25" t="s">
        <v>73</v>
      </c>
      <c r="AD129" s="25" t="s">
        <v>336</v>
      </c>
      <c r="AE129" s="25"/>
      <c r="AF129" s="25"/>
      <c r="AG129" s="25" t="s">
        <v>75</v>
      </c>
      <c r="AH129" s="25" t="s">
        <v>80</v>
      </c>
      <c r="AI129" s="25"/>
      <c r="AJ129" s="25"/>
    </row>
    <row r="130" spans="1:36">
      <c r="A130" s="37">
        <v>128</v>
      </c>
      <c r="B130" s="37" t="s">
        <v>456</v>
      </c>
      <c r="C130" s="54">
        <v>6</v>
      </c>
      <c r="D130" s="54">
        <v>59040.650406504064</v>
      </c>
      <c r="E130" s="54">
        <v>59040.650406504064</v>
      </c>
      <c r="F130" s="54">
        <v>150000</v>
      </c>
      <c r="G130" s="54">
        <v>150000</v>
      </c>
      <c r="H130" s="59">
        <v>3500</v>
      </c>
      <c r="I130" s="59">
        <v>2100000</v>
      </c>
      <c r="J130" s="62">
        <v>2000</v>
      </c>
      <c r="K130" s="62">
        <v>2000</v>
      </c>
      <c r="L130" s="33">
        <v>0</v>
      </c>
      <c r="M130" s="33">
        <f t="shared" si="2"/>
        <v>1780</v>
      </c>
      <c r="N130" s="34">
        <v>1900</v>
      </c>
      <c r="O130" s="34">
        <v>2800</v>
      </c>
      <c r="P130" s="34">
        <v>1750</v>
      </c>
      <c r="Q130" s="34">
        <v>120</v>
      </c>
      <c r="R130" s="34">
        <v>2800</v>
      </c>
      <c r="S130" s="34">
        <v>20</v>
      </c>
      <c r="T130" s="34">
        <v>6214</v>
      </c>
      <c r="U130" s="34">
        <v>16</v>
      </c>
      <c r="V130" s="34">
        <v>42</v>
      </c>
      <c r="W130" s="34">
        <v>38</v>
      </c>
      <c r="X130" s="34">
        <v>38</v>
      </c>
      <c r="Y130" s="35" t="s">
        <v>73</v>
      </c>
      <c r="Z130" s="35" t="s">
        <v>334</v>
      </c>
      <c r="AA130" s="35" t="s">
        <v>73</v>
      </c>
      <c r="AB130" s="35" t="s">
        <v>78</v>
      </c>
      <c r="AC130" s="35" t="s">
        <v>73</v>
      </c>
      <c r="AD130" s="35" t="s">
        <v>336</v>
      </c>
      <c r="AE130" s="25"/>
      <c r="AF130" s="25"/>
      <c r="AG130" s="25" t="s">
        <v>75</v>
      </c>
      <c r="AH130" s="25" t="s">
        <v>80</v>
      </c>
      <c r="AI130" s="25"/>
      <c r="AJ130" s="25"/>
    </row>
    <row r="131" spans="1:36">
      <c r="A131" s="38">
        <v>129</v>
      </c>
      <c r="B131" s="38" t="s">
        <v>457</v>
      </c>
      <c r="C131" s="55">
        <v>6</v>
      </c>
      <c r="D131" s="55">
        <v>56439.024390243903</v>
      </c>
      <c r="E131" s="55">
        <v>56439.024390243903</v>
      </c>
      <c r="F131" s="55">
        <v>150000</v>
      </c>
      <c r="G131" s="55">
        <v>150000</v>
      </c>
      <c r="H131" s="60">
        <v>3500</v>
      </c>
      <c r="I131" s="60">
        <v>2100000</v>
      </c>
      <c r="J131" s="63">
        <v>2000</v>
      </c>
      <c r="K131" s="63">
        <v>2000</v>
      </c>
      <c r="L131" s="27">
        <v>0</v>
      </c>
      <c r="M131" s="27">
        <f t="shared" si="2"/>
        <v>1780</v>
      </c>
      <c r="N131" s="26">
        <v>1900</v>
      </c>
      <c r="O131" s="26">
        <v>2800</v>
      </c>
      <c r="P131" s="26">
        <v>1750</v>
      </c>
      <c r="Q131" s="26">
        <v>120</v>
      </c>
      <c r="R131" s="26">
        <v>2800</v>
      </c>
      <c r="S131" s="26">
        <v>20</v>
      </c>
      <c r="T131" s="26">
        <v>6358</v>
      </c>
      <c r="U131" s="26">
        <v>16</v>
      </c>
      <c r="V131" s="26">
        <v>42</v>
      </c>
      <c r="W131" s="26">
        <v>38</v>
      </c>
      <c r="X131" s="26">
        <v>38</v>
      </c>
      <c r="Y131" s="25" t="s">
        <v>73</v>
      </c>
      <c r="Z131" s="25" t="s">
        <v>335</v>
      </c>
      <c r="AA131" s="25" t="s">
        <v>73</v>
      </c>
      <c r="AB131" s="25" t="s">
        <v>78</v>
      </c>
      <c r="AC131" s="25" t="s">
        <v>73</v>
      </c>
      <c r="AD131" s="25" t="s">
        <v>336</v>
      </c>
      <c r="AE131" s="25"/>
      <c r="AF131" s="25"/>
      <c r="AG131" s="25" t="s">
        <v>75</v>
      </c>
      <c r="AH131" s="25" t="s">
        <v>80</v>
      </c>
      <c r="AI131" s="25"/>
      <c r="AJ131" s="25"/>
    </row>
    <row r="132" spans="1:36">
      <c r="A132" s="38">
        <v>130</v>
      </c>
      <c r="B132" s="38" t="s">
        <v>458</v>
      </c>
      <c r="C132" s="55">
        <v>6</v>
      </c>
      <c r="D132" s="55">
        <v>54227.642276422768</v>
      </c>
      <c r="E132" s="55">
        <v>54227.642276422768</v>
      </c>
      <c r="F132" s="55">
        <v>150000</v>
      </c>
      <c r="G132" s="55">
        <v>150000</v>
      </c>
      <c r="H132" s="60">
        <v>3500</v>
      </c>
      <c r="I132" s="60">
        <v>2100000</v>
      </c>
      <c r="J132" s="63">
        <v>2000</v>
      </c>
      <c r="K132" s="63">
        <v>2000</v>
      </c>
      <c r="L132" s="27">
        <v>0</v>
      </c>
      <c r="M132" s="27">
        <f t="shared" si="2"/>
        <v>1780</v>
      </c>
      <c r="N132" s="26">
        <v>1900</v>
      </c>
      <c r="O132" s="26">
        <v>2800</v>
      </c>
      <c r="P132" s="26">
        <v>1750</v>
      </c>
      <c r="Q132" s="26">
        <v>120</v>
      </c>
      <c r="R132" s="26">
        <v>2800</v>
      </c>
      <c r="S132" s="26">
        <v>20</v>
      </c>
      <c r="T132" s="26">
        <v>6500</v>
      </c>
      <c r="U132" s="26">
        <v>16</v>
      </c>
      <c r="V132" s="26">
        <v>42</v>
      </c>
      <c r="W132" s="26">
        <v>38</v>
      </c>
      <c r="X132" s="26">
        <v>38</v>
      </c>
      <c r="Y132" s="25" t="s">
        <v>73</v>
      </c>
      <c r="Z132" s="25" t="s">
        <v>335</v>
      </c>
      <c r="AA132" s="25" t="s">
        <v>73</v>
      </c>
      <c r="AB132" s="25" t="s">
        <v>78</v>
      </c>
      <c r="AC132" s="25" t="s">
        <v>73</v>
      </c>
      <c r="AD132" s="25" t="s">
        <v>336</v>
      </c>
      <c r="AE132" s="25"/>
      <c r="AF132" s="25"/>
      <c r="AG132" s="25" t="s">
        <v>75</v>
      </c>
      <c r="AH132" s="25" t="s">
        <v>80</v>
      </c>
      <c r="AI132" s="25"/>
      <c r="AJ132" s="25"/>
    </row>
    <row r="133" spans="1:36">
      <c r="A133" s="36">
        <v>131</v>
      </c>
      <c r="B133" s="36" t="s">
        <v>459</v>
      </c>
      <c r="C133" s="53">
        <v>7</v>
      </c>
      <c r="D133" s="53">
        <v>50000</v>
      </c>
      <c r="E133" s="53">
        <v>50000</v>
      </c>
      <c r="F133" s="53">
        <v>125000</v>
      </c>
      <c r="G133" s="53">
        <v>125000</v>
      </c>
      <c r="H133" s="58">
        <v>3500</v>
      </c>
      <c r="I133" s="58">
        <v>2100000</v>
      </c>
      <c r="J133" s="61">
        <v>2000</v>
      </c>
      <c r="K133" s="61">
        <v>2000</v>
      </c>
      <c r="L133" s="30">
        <v>0</v>
      </c>
      <c r="M133" s="30">
        <f t="shared" si="2"/>
        <v>1780</v>
      </c>
      <c r="N133" s="31">
        <v>1900</v>
      </c>
      <c r="O133" s="31">
        <v>2800</v>
      </c>
      <c r="P133" s="31">
        <v>1750</v>
      </c>
      <c r="Q133" s="31">
        <v>120</v>
      </c>
      <c r="R133" s="31">
        <v>2800</v>
      </c>
      <c r="S133" s="31">
        <v>20</v>
      </c>
      <c r="T133" s="31">
        <v>6500</v>
      </c>
      <c r="U133" s="31">
        <v>16</v>
      </c>
      <c r="V133" s="31">
        <v>42</v>
      </c>
      <c r="W133" s="31">
        <v>38</v>
      </c>
      <c r="X133" s="31">
        <v>38</v>
      </c>
      <c r="Y133" s="25" t="s">
        <v>73</v>
      </c>
      <c r="Z133" s="25" t="s">
        <v>335</v>
      </c>
      <c r="AA133" s="25" t="s">
        <v>73</v>
      </c>
      <c r="AB133" s="25" t="s">
        <v>78</v>
      </c>
      <c r="AC133" s="25" t="s">
        <v>73</v>
      </c>
      <c r="AD133" s="25" t="s">
        <v>336</v>
      </c>
      <c r="AE133" s="25"/>
      <c r="AF133" s="25"/>
      <c r="AG133" s="25" t="s">
        <v>75</v>
      </c>
      <c r="AH133" s="25" t="s">
        <v>80</v>
      </c>
      <c r="AI133" s="25"/>
      <c r="AJ133" s="25"/>
    </row>
    <row r="134" spans="1:36">
      <c r="A134" s="38">
        <v>132</v>
      </c>
      <c r="B134" s="38" t="s">
        <v>460</v>
      </c>
      <c r="C134" s="55">
        <v>8</v>
      </c>
      <c r="D134" s="55">
        <v>51364.705882352944</v>
      </c>
      <c r="E134" s="55">
        <v>51364.705882352944</v>
      </c>
      <c r="F134" s="55">
        <v>100000</v>
      </c>
      <c r="G134" s="55">
        <v>100000</v>
      </c>
      <c r="H134" s="60">
        <v>3500</v>
      </c>
      <c r="I134" s="60">
        <v>2100000</v>
      </c>
      <c r="J134" s="63">
        <v>2000</v>
      </c>
      <c r="K134" s="63">
        <v>2000</v>
      </c>
      <c r="L134" s="27">
        <v>0</v>
      </c>
      <c r="M134" s="27">
        <f t="shared" si="2"/>
        <v>1780</v>
      </c>
      <c r="N134" s="26">
        <v>1900</v>
      </c>
      <c r="O134" s="26">
        <v>2800</v>
      </c>
      <c r="P134" s="26">
        <v>1750</v>
      </c>
      <c r="Q134" s="26">
        <v>120</v>
      </c>
      <c r="R134" s="26">
        <v>2800</v>
      </c>
      <c r="S134" s="26">
        <v>20</v>
      </c>
      <c r="T134" s="26">
        <v>6500</v>
      </c>
      <c r="U134" s="26">
        <v>16</v>
      </c>
      <c r="V134" s="26">
        <v>42</v>
      </c>
      <c r="W134" s="26">
        <v>38</v>
      </c>
      <c r="X134" s="26">
        <v>38</v>
      </c>
      <c r="Y134" s="25" t="s">
        <v>73</v>
      </c>
      <c r="Z134" s="25" t="s">
        <v>335</v>
      </c>
      <c r="AA134" s="25" t="s">
        <v>73</v>
      </c>
      <c r="AB134" s="25" t="s">
        <v>78</v>
      </c>
      <c r="AC134" s="25" t="s">
        <v>73</v>
      </c>
      <c r="AD134" s="25" t="s">
        <v>336</v>
      </c>
      <c r="AE134" s="25"/>
      <c r="AF134" s="25"/>
      <c r="AG134" s="25" t="s">
        <v>75</v>
      </c>
      <c r="AH134" s="25" t="s">
        <v>80</v>
      </c>
      <c r="AI134" s="25"/>
      <c r="AJ134" s="25"/>
    </row>
    <row r="135" spans="1:36">
      <c r="A135" s="38">
        <v>133</v>
      </c>
      <c r="B135" s="38" t="s">
        <v>461</v>
      </c>
      <c r="C135" s="55">
        <v>8</v>
      </c>
      <c r="D135" s="55">
        <v>52388.23529411765</v>
      </c>
      <c r="E135" s="55">
        <v>52388.23529411765</v>
      </c>
      <c r="F135" s="55">
        <v>100000</v>
      </c>
      <c r="G135" s="55">
        <v>100000</v>
      </c>
      <c r="H135" s="60">
        <v>3500</v>
      </c>
      <c r="I135" s="60">
        <v>2100000</v>
      </c>
      <c r="J135" s="63">
        <v>2000</v>
      </c>
      <c r="K135" s="63">
        <v>2000</v>
      </c>
      <c r="L135" s="27">
        <v>0</v>
      </c>
      <c r="M135" s="27">
        <f t="shared" si="2"/>
        <v>1780</v>
      </c>
      <c r="N135" s="26">
        <v>1900</v>
      </c>
      <c r="O135" s="26">
        <v>2800</v>
      </c>
      <c r="P135" s="26">
        <v>1750</v>
      </c>
      <c r="Q135" s="26">
        <v>120</v>
      </c>
      <c r="R135" s="26">
        <v>2800</v>
      </c>
      <c r="S135" s="26">
        <v>20</v>
      </c>
      <c r="T135" s="26">
        <v>6358</v>
      </c>
      <c r="U135" s="26">
        <v>16</v>
      </c>
      <c r="V135" s="26">
        <v>42</v>
      </c>
      <c r="W135" s="26">
        <v>38</v>
      </c>
      <c r="X135" s="26">
        <v>38</v>
      </c>
      <c r="Y135" s="25" t="s">
        <v>73</v>
      </c>
      <c r="Z135" s="25" t="s">
        <v>335</v>
      </c>
      <c r="AA135" s="25" t="s">
        <v>73</v>
      </c>
      <c r="AB135" s="25" t="s">
        <v>78</v>
      </c>
      <c r="AC135" s="25" t="s">
        <v>73</v>
      </c>
      <c r="AD135" s="25" t="s">
        <v>336</v>
      </c>
      <c r="AE135" s="25"/>
      <c r="AF135" s="25"/>
      <c r="AG135" s="25" t="s">
        <v>75</v>
      </c>
      <c r="AH135" s="25" t="s">
        <v>80</v>
      </c>
      <c r="AI135" s="25"/>
      <c r="AJ135" s="25"/>
    </row>
    <row r="136" spans="1:36">
      <c r="A136" s="37">
        <v>134</v>
      </c>
      <c r="B136" s="37" t="s">
        <v>462</v>
      </c>
      <c r="C136" s="54">
        <v>8</v>
      </c>
      <c r="D136" s="54">
        <v>53411.76470588235</v>
      </c>
      <c r="E136" s="54">
        <v>53411.76470588235</v>
      </c>
      <c r="F136" s="54">
        <v>100000</v>
      </c>
      <c r="G136" s="54">
        <v>100000</v>
      </c>
      <c r="H136" s="59">
        <v>3500</v>
      </c>
      <c r="I136" s="59">
        <v>2100000</v>
      </c>
      <c r="J136" s="62">
        <v>2000</v>
      </c>
      <c r="K136" s="62">
        <v>2000</v>
      </c>
      <c r="L136" s="33">
        <v>0</v>
      </c>
      <c r="M136" s="33">
        <f t="shared" si="2"/>
        <v>1780</v>
      </c>
      <c r="N136" s="34">
        <v>1900</v>
      </c>
      <c r="O136" s="34">
        <v>2800</v>
      </c>
      <c r="P136" s="34">
        <v>1750</v>
      </c>
      <c r="Q136" s="34">
        <v>120</v>
      </c>
      <c r="R136" s="34">
        <v>2800</v>
      </c>
      <c r="S136" s="34">
        <v>20</v>
      </c>
      <c r="T136" s="34">
        <v>6214</v>
      </c>
      <c r="U136" s="34">
        <v>16</v>
      </c>
      <c r="V136" s="34">
        <v>42</v>
      </c>
      <c r="W136" s="34">
        <v>38</v>
      </c>
      <c r="X136" s="34">
        <v>38</v>
      </c>
      <c r="Y136" s="25" t="s">
        <v>73</v>
      </c>
      <c r="Z136" s="25" t="s">
        <v>335</v>
      </c>
      <c r="AA136" s="25" t="s">
        <v>73</v>
      </c>
      <c r="AB136" s="25" t="s">
        <v>78</v>
      </c>
      <c r="AC136" s="25" t="s">
        <v>73</v>
      </c>
      <c r="AD136" s="25" t="s">
        <v>336</v>
      </c>
      <c r="AE136" s="25"/>
      <c r="AF136" s="25"/>
      <c r="AG136" s="25" t="s">
        <v>75</v>
      </c>
      <c r="AH136" s="25" t="s">
        <v>80</v>
      </c>
      <c r="AI136" s="25"/>
      <c r="AJ136" s="25"/>
    </row>
    <row r="137" spans="1:36">
      <c r="A137" s="38">
        <v>135</v>
      </c>
      <c r="B137" s="38" t="s">
        <v>463</v>
      </c>
      <c r="C137" s="55">
        <v>8</v>
      </c>
      <c r="D137" s="55">
        <v>54352.941176470587</v>
      </c>
      <c r="E137" s="55">
        <v>54352.941176470587</v>
      </c>
      <c r="F137" s="55">
        <v>100000</v>
      </c>
      <c r="G137" s="55">
        <v>100000</v>
      </c>
      <c r="H137" s="60">
        <v>3500</v>
      </c>
      <c r="I137" s="60">
        <v>2100000</v>
      </c>
      <c r="J137" s="63">
        <v>2000</v>
      </c>
      <c r="K137" s="63">
        <v>2000</v>
      </c>
      <c r="L137" s="27">
        <v>0</v>
      </c>
      <c r="M137" s="27">
        <f t="shared" si="2"/>
        <v>1780</v>
      </c>
      <c r="N137" s="26">
        <v>1900</v>
      </c>
      <c r="O137" s="26">
        <v>2800</v>
      </c>
      <c r="P137" s="26">
        <v>1750</v>
      </c>
      <c r="Q137" s="26">
        <v>120</v>
      </c>
      <c r="R137" s="26">
        <v>2800</v>
      </c>
      <c r="S137" s="26">
        <v>20</v>
      </c>
      <c r="T137" s="26">
        <v>6085</v>
      </c>
      <c r="U137" s="26">
        <v>16</v>
      </c>
      <c r="V137" s="26">
        <v>42</v>
      </c>
      <c r="W137" s="26">
        <v>35</v>
      </c>
      <c r="X137" s="26">
        <v>35</v>
      </c>
      <c r="Y137" s="25" t="s">
        <v>73</v>
      </c>
      <c r="Z137" s="25" t="s">
        <v>335</v>
      </c>
      <c r="AA137" s="25" t="s">
        <v>73</v>
      </c>
      <c r="AB137" s="25" t="s">
        <v>78</v>
      </c>
      <c r="AC137" s="25" t="s">
        <v>73</v>
      </c>
      <c r="AD137" s="25" t="s">
        <v>336</v>
      </c>
      <c r="AE137" s="25"/>
      <c r="AF137" s="25"/>
      <c r="AG137" s="25" t="s">
        <v>75</v>
      </c>
      <c r="AH137" s="25" t="s">
        <v>80</v>
      </c>
      <c r="AI137" s="25"/>
      <c r="AJ137" s="25"/>
    </row>
    <row r="138" spans="1:36">
      <c r="A138" s="38">
        <v>136</v>
      </c>
      <c r="B138" s="38" t="s">
        <v>464</v>
      </c>
      <c r="C138" s="55">
        <v>8</v>
      </c>
      <c r="D138" s="55">
        <v>55294.117647058825</v>
      </c>
      <c r="E138" s="55">
        <v>55294.117647058825</v>
      </c>
      <c r="F138" s="55">
        <v>100000</v>
      </c>
      <c r="G138" s="55">
        <v>100000</v>
      </c>
      <c r="H138" s="60">
        <v>3500</v>
      </c>
      <c r="I138" s="60">
        <v>2100000</v>
      </c>
      <c r="J138" s="63">
        <v>2000</v>
      </c>
      <c r="K138" s="63">
        <v>2000</v>
      </c>
      <c r="L138" s="27">
        <v>0</v>
      </c>
      <c r="M138" s="27">
        <f t="shared" si="2"/>
        <v>1780</v>
      </c>
      <c r="N138" s="26">
        <v>1900</v>
      </c>
      <c r="O138" s="26">
        <v>2800</v>
      </c>
      <c r="P138" s="26">
        <v>1750</v>
      </c>
      <c r="Q138" s="26">
        <v>120</v>
      </c>
      <c r="R138" s="26">
        <v>2800</v>
      </c>
      <c r="S138" s="26">
        <v>20</v>
      </c>
      <c r="T138" s="26">
        <v>5960</v>
      </c>
      <c r="U138" s="26">
        <v>16</v>
      </c>
      <c r="V138" s="26">
        <v>42</v>
      </c>
      <c r="W138" s="26">
        <v>35</v>
      </c>
      <c r="X138" s="26">
        <v>35</v>
      </c>
      <c r="Y138" s="25" t="s">
        <v>73</v>
      </c>
      <c r="Z138" s="25" t="s">
        <v>335</v>
      </c>
      <c r="AA138" s="25" t="s">
        <v>73</v>
      </c>
      <c r="AB138" s="25" t="s">
        <v>78</v>
      </c>
      <c r="AC138" s="25" t="s">
        <v>73</v>
      </c>
      <c r="AD138" s="25" t="s">
        <v>336</v>
      </c>
      <c r="AE138" s="25"/>
      <c r="AF138" s="25"/>
      <c r="AG138" s="25" t="s">
        <v>75</v>
      </c>
      <c r="AH138" s="25" t="s">
        <v>80</v>
      </c>
      <c r="AI138" s="25"/>
      <c r="AJ138" s="25"/>
    </row>
    <row r="139" spans="1:36">
      <c r="A139" s="38">
        <v>137</v>
      </c>
      <c r="B139" s="38" t="s">
        <v>465</v>
      </c>
      <c r="C139" s="55">
        <v>8</v>
      </c>
      <c r="D139" s="55">
        <v>56235.294117647056</v>
      </c>
      <c r="E139" s="55">
        <v>56235.294117647056</v>
      </c>
      <c r="F139" s="55">
        <v>100000</v>
      </c>
      <c r="G139" s="55">
        <v>100000</v>
      </c>
      <c r="H139" s="60">
        <v>3500</v>
      </c>
      <c r="I139" s="60">
        <v>2100000</v>
      </c>
      <c r="J139" s="63">
        <v>2000</v>
      </c>
      <c r="K139" s="63">
        <v>2000</v>
      </c>
      <c r="L139" s="27">
        <v>0</v>
      </c>
      <c r="M139" s="27">
        <f t="shared" si="2"/>
        <v>1780</v>
      </c>
      <c r="N139" s="26">
        <v>1900</v>
      </c>
      <c r="O139" s="26">
        <v>2800</v>
      </c>
      <c r="P139" s="26">
        <v>1750</v>
      </c>
      <c r="Q139" s="26">
        <v>120</v>
      </c>
      <c r="R139" s="26">
        <v>2800</v>
      </c>
      <c r="S139" s="26">
        <v>20</v>
      </c>
      <c r="T139" s="26">
        <v>5839</v>
      </c>
      <c r="U139" s="26">
        <v>16</v>
      </c>
      <c r="V139" s="26">
        <v>42</v>
      </c>
      <c r="W139" s="26">
        <v>35</v>
      </c>
      <c r="X139" s="26">
        <v>35</v>
      </c>
      <c r="Y139" s="25" t="s">
        <v>73</v>
      </c>
      <c r="Z139" s="25" t="s">
        <v>335</v>
      </c>
      <c r="AA139" s="25" t="s">
        <v>73</v>
      </c>
      <c r="AB139" s="25" t="s">
        <v>78</v>
      </c>
      <c r="AC139" s="25" t="s">
        <v>73</v>
      </c>
      <c r="AD139" s="25" t="s">
        <v>336</v>
      </c>
      <c r="AE139" s="25"/>
      <c r="AF139" s="25"/>
      <c r="AG139" s="25" t="s">
        <v>75</v>
      </c>
      <c r="AH139" s="25" t="s">
        <v>80</v>
      </c>
      <c r="AI139" s="25"/>
      <c r="AJ139" s="25"/>
    </row>
    <row r="140" spans="1:36">
      <c r="A140" s="37">
        <v>138</v>
      </c>
      <c r="B140" s="37" t="s">
        <v>466</v>
      </c>
      <c r="C140" s="54">
        <v>8</v>
      </c>
      <c r="D140" s="54">
        <v>57176.470588235294</v>
      </c>
      <c r="E140" s="54">
        <v>57176.470588235294</v>
      </c>
      <c r="F140" s="54">
        <v>100000</v>
      </c>
      <c r="G140" s="54">
        <v>100000</v>
      </c>
      <c r="H140" s="59">
        <v>3500</v>
      </c>
      <c r="I140" s="59">
        <v>2100000</v>
      </c>
      <c r="J140" s="62">
        <v>2000</v>
      </c>
      <c r="K140" s="62">
        <v>2000</v>
      </c>
      <c r="L140" s="33">
        <v>0</v>
      </c>
      <c r="M140" s="33">
        <f t="shared" si="2"/>
        <v>1780</v>
      </c>
      <c r="N140" s="34">
        <v>1900</v>
      </c>
      <c r="O140" s="34">
        <v>2800</v>
      </c>
      <c r="P140" s="34">
        <v>1750</v>
      </c>
      <c r="Q140" s="34">
        <v>120</v>
      </c>
      <c r="R140" s="34">
        <v>2800</v>
      </c>
      <c r="S140" s="34">
        <v>20</v>
      </c>
      <c r="T140" s="34">
        <v>5722</v>
      </c>
      <c r="U140" s="34">
        <v>16</v>
      </c>
      <c r="V140" s="34">
        <v>42</v>
      </c>
      <c r="W140" s="34">
        <v>35</v>
      </c>
      <c r="X140" s="34">
        <v>35</v>
      </c>
      <c r="Y140" s="25" t="s">
        <v>73</v>
      </c>
      <c r="Z140" s="25" t="s">
        <v>335</v>
      </c>
      <c r="AA140" s="25" t="s">
        <v>73</v>
      </c>
      <c r="AB140" s="25" t="s">
        <v>78</v>
      </c>
      <c r="AC140" s="25" t="s">
        <v>73</v>
      </c>
      <c r="AD140" s="25" t="s">
        <v>336</v>
      </c>
      <c r="AE140" s="25"/>
      <c r="AF140" s="25"/>
      <c r="AG140" s="25" t="s">
        <v>75</v>
      </c>
      <c r="AH140" s="25" t="s">
        <v>80</v>
      </c>
      <c r="AI140" s="25"/>
      <c r="AJ140" s="25"/>
    </row>
    <row r="141" spans="1:36">
      <c r="A141" s="38">
        <v>139</v>
      </c>
      <c r="B141" s="38" t="s">
        <v>467</v>
      </c>
      <c r="C141" s="55">
        <v>8</v>
      </c>
      <c r="D141" s="55">
        <v>58117.647058823532</v>
      </c>
      <c r="E141" s="55">
        <v>58117.647058823532</v>
      </c>
      <c r="F141" s="55">
        <v>100000</v>
      </c>
      <c r="G141" s="55">
        <v>100000</v>
      </c>
      <c r="H141" s="60">
        <v>3500</v>
      </c>
      <c r="I141" s="60">
        <v>2100000</v>
      </c>
      <c r="J141" s="63">
        <v>2000</v>
      </c>
      <c r="K141" s="63">
        <v>2000</v>
      </c>
      <c r="L141" s="27">
        <v>0</v>
      </c>
      <c r="M141" s="27">
        <f t="shared" si="2"/>
        <v>1780</v>
      </c>
      <c r="N141" s="26">
        <v>1900</v>
      </c>
      <c r="O141" s="26">
        <v>2800</v>
      </c>
      <c r="P141" s="26">
        <v>1750</v>
      </c>
      <c r="Q141" s="26">
        <v>120</v>
      </c>
      <c r="R141" s="26">
        <v>2800</v>
      </c>
      <c r="S141" s="26">
        <v>20</v>
      </c>
      <c r="T141" s="26">
        <v>5608</v>
      </c>
      <c r="U141" s="26">
        <v>16</v>
      </c>
      <c r="V141" s="26">
        <v>38</v>
      </c>
      <c r="W141" s="26">
        <v>25</v>
      </c>
      <c r="X141" s="26">
        <v>25</v>
      </c>
      <c r="Y141" s="25" t="s">
        <v>73</v>
      </c>
      <c r="Z141" s="25" t="s">
        <v>335</v>
      </c>
      <c r="AA141" s="25" t="s">
        <v>73</v>
      </c>
      <c r="AB141" s="25" t="s">
        <v>78</v>
      </c>
      <c r="AC141" s="25" t="s">
        <v>73</v>
      </c>
      <c r="AD141" s="25" t="s">
        <v>336</v>
      </c>
      <c r="AE141" s="25"/>
      <c r="AF141" s="25"/>
      <c r="AG141" s="25" t="s">
        <v>75</v>
      </c>
      <c r="AH141" s="25" t="s">
        <v>80</v>
      </c>
      <c r="AI141" s="25"/>
      <c r="AJ141" s="25"/>
    </row>
    <row r="142" spans="1:36">
      <c r="A142" s="38">
        <v>140</v>
      </c>
      <c r="B142" s="38" t="s">
        <v>468</v>
      </c>
      <c r="C142" s="55">
        <v>8</v>
      </c>
      <c r="D142" s="55">
        <v>59058.823529411762</v>
      </c>
      <c r="E142" s="55">
        <v>59058.823529411762</v>
      </c>
      <c r="F142" s="55">
        <v>100000</v>
      </c>
      <c r="G142" s="55">
        <v>100000</v>
      </c>
      <c r="H142" s="60">
        <v>3500</v>
      </c>
      <c r="I142" s="60">
        <v>2100000</v>
      </c>
      <c r="J142" s="63">
        <v>2000</v>
      </c>
      <c r="K142" s="63">
        <v>2000</v>
      </c>
      <c r="L142" s="27">
        <v>0</v>
      </c>
      <c r="M142" s="27">
        <f t="shared" si="2"/>
        <v>1780</v>
      </c>
      <c r="N142" s="26">
        <v>1900</v>
      </c>
      <c r="O142" s="26">
        <v>2800</v>
      </c>
      <c r="P142" s="26">
        <v>1750</v>
      </c>
      <c r="Q142" s="26">
        <v>120</v>
      </c>
      <c r="R142" s="26">
        <v>2800</v>
      </c>
      <c r="S142" s="26">
        <v>20</v>
      </c>
      <c r="T142" s="26">
        <v>5499</v>
      </c>
      <c r="U142" s="26">
        <v>16</v>
      </c>
      <c r="V142" s="26">
        <v>38</v>
      </c>
      <c r="W142" s="26">
        <v>25</v>
      </c>
      <c r="X142" s="26">
        <v>25</v>
      </c>
      <c r="Y142" s="25" t="s">
        <v>73</v>
      </c>
      <c r="Z142" s="25" t="s">
        <v>335</v>
      </c>
      <c r="AA142" s="25" t="s">
        <v>73</v>
      </c>
      <c r="AB142" s="25" t="s">
        <v>78</v>
      </c>
      <c r="AC142" s="25" t="s">
        <v>73</v>
      </c>
      <c r="AD142" s="25" t="s">
        <v>336</v>
      </c>
      <c r="AE142" s="25"/>
      <c r="AF142" s="25"/>
      <c r="AG142" s="25" t="s">
        <v>75</v>
      </c>
      <c r="AH142" s="25" t="s">
        <v>80</v>
      </c>
      <c r="AI142" s="25"/>
      <c r="AJ142" s="25"/>
    </row>
    <row r="143" spans="1:36">
      <c r="A143" s="38">
        <v>141</v>
      </c>
      <c r="B143" s="38" t="s">
        <v>469</v>
      </c>
      <c r="C143" s="55">
        <v>5</v>
      </c>
      <c r="D143" s="55">
        <v>60000</v>
      </c>
      <c r="E143" s="55">
        <v>60000</v>
      </c>
      <c r="F143" s="55">
        <v>100000</v>
      </c>
      <c r="G143" s="55">
        <v>100000</v>
      </c>
      <c r="H143" s="60">
        <v>3500</v>
      </c>
      <c r="I143" s="60">
        <v>2100000</v>
      </c>
      <c r="J143" s="63">
        <v>2000</v>
      </c>
      <c r="K143" s="63">
        <v>2000</v>
      </c>
      <c r="L143" s="27">
        <v>0</v>
      </c>
      <c r="M143" s="27">
        <f t="shared" si="2"/>
        <v>1780</v>
      </c>
      <c r="N143" s="26">
        <v>1900</v>
      </c>
      <c r="O143" s="26">
        <v>2800</v>
      </c>
      <c r="P143" s="26">
        <v>1750</v>
      </c>
      <c r="Q143" s="26">
        <v>120</v>
      </c>
      <c r="R143" s="26">
        <v>2800</v>
      </c>
      <c r="S143" s="26">
        <v>20</v>
      </c>
      <c r="T143" s="26">
        <v>5393</v>
      </c>
      <c r="U143" s="26">
        <v>16</v>
      </c>
      <c r="V143" s="26">
        <v>38</v>
      </c>
      <c r="W143" s="26">
        <v>25</v>
      </c>
      <c r="X143" s="26">
        <v>25</v>
      </c>
      <c r="Y143" s="25" t="s">
        <v>73</v>
      </c>
      <c r="Z143" s="25" t="s">
        <v>335</v>
      </c>
      <c r="AA143" s="25" t="s">
        <v>73</v>
      </c>
      <c r="AB143" s="25" t="s">
        <v>78</v>
      </c>
      <c r="AC143" s="25" t="s">
        <v>73</v>
      </c>
      <c r="AD143" s="25" t="s">
        <v>336</v>
      </c>
      <c r="AE143" s="25"/>
      <c r="AF143" s="25"/>
      <c r="AG143" s="25" t="s">
        <v>75</v>
      </c>
      <c r="AH143" s="25" t="s">
        <v>80</v>
      </c>
      <c r="AI143" s="25"/>
      <c r="AJ143" s="25"/>
    </row>
    <row r="144" spans="1:36">
      <c r="A144" s="37">
        <v>142</v>
      </c>
      <c r="B144" s="37" t="s">
        <v>470</v>
      </c>
      <c r="C144" s="54">
        <v>5</v>
      </c>
      <c r="D144" s="54">
        <v>60000</v>
      </c>
      <c r="E144" s="54">
        <v>60000</v>
      </c>
      <c r="F144" s="54">
        <v>100000</v>
      </c>
      <c r="G144" s="54">
        <v>100000</v>
      </c>
      <c r="H144" s="59">
        <v>3500</v>
      </c>
      <c r="I144" s="59">
        <v>2100000</v>
      </c>
      <c r="J144" s="62">
        <v>2000</v>
      </c>
      <c r="K144" s="62">
        <v>2000</v>
      </c>
      <c r="L144" s="33">
        <v>0</v>
      </c>
      <c r="M144" s="33">
        <f t="shared" si="2"/>
        <v>1780</v>
      </c>
      <c r="N144" s="34">
        <v>1900</v>
      </c>
      <c r="O144" s="34">
        <v>2800</v>
      </c>
      <c r="P144" s="34">
        <v>1750</v>
      </c>
      <c r="Q144" s="34">
        <v>120</v>
      </c>
      <c r="R144" s="34">
        <v>2800</v>
      </c>
      <c r="S144" s="34">
        <v>20</v>
      </c>
      <c r="T144" s="34">
        <v>5292</v>
      </c>
      <c r="U144" s="34">
        <v>16</v>
      </c>
      <c r="V144" s="34">
        <v>38</v>
      </c>
      <c r="W144" s="34">
        <v>25</v>
      </c>
      <c r="X144" s="34">
        <v>25</v>
      </c>
      <c r="Y144" s="25" t="s">
        <v>73</v>
      </c>
      <c r="Z144" s="25" t="s">
        <v>335</v>
      </c>
      <c r="AA144" s="25" t="s">
        <v>73</v>
      </c>
      <c r="AB144" s="25" t="s">
        <v>78</v>
      </c>
      <c r="AC144" s="25" t="s">
        <v>73</v>
      </c>
      <c r="AD144" s="25" t="s">
        <v>336</v>
      </c>
      <c r="AE144" s="25"/>
      <c r="AF144" s="25"/>
      <c r="AG144" s="25" t="s">
        <v>75</v>
      </c>
      <c r="AH144" s="25" t="s">
        <v>80</v>
      </c>
      <c r="AI144" s="25"/>
      <c r="AJ144" s="25"/>
    </row>
    <row r="145" spans="1:36">
      <c r="A145" s="38">
        <v>143</v>
      </c>
      <c r="B145" s="38" t="s">
        <v>471</v>
      </c>
      <c r="C145" s="55">
        <v>5</v>
      </c>
      <c r="D145" s="55">
        <v>60000</v>
      </c>
      <c r="E145" s="55">
        <v>60000</v>
      </c>
      <c r="F145" s="55">
        <v>100000</v>
      </c>
      <c r="G145" s="55">
        <v>100000</v>
      </c>
      <c r="H145" s="60">
        <v>3500</v>
      </c>
      <c r="I145" s="60">
        <v>2100000</v>
      </c>
      <c r="J145" s="63">
        <v>2000</v>
      </c>
      <c r="K145" s="63">
        <v>2000</v>
      </c>
      <c r="L145" s="27">
        <v>0</v>
      </c>
      <c r="M145" s="27">
        <f t="shared" si="2"/>
        <v>1780</v>
      </c>
      <c r="N145" s="26">
        <v>1900</v>
      </c>
      <c r="O145" s="26">
        <v>2800</v>
      </c>
      <c r="P145" s="26">
        <v>1750</v>
      </c>
      <c r="Q145" s="26">
        <v>120</v>
      </c>
      <c r="R145" s="26">
        <v>2800</v>
      </c>
      <c r="S145" s="26">
        <v>20</v>
      </c>
      <c r="T145" s="26">
        <v>5194</v>
      </c>
      <c r="U145" s="26">
        <v>16</v>
      </c>
      <c r="V145" s="26">
        <v>38</v>
      </c>
      <c r="W145" s="26">
        <v>25</v>
      </c>
      <c r="X145" s="26">
        <v>25</v>
      </c>
      <c r="Y145" s="25" t="s">
        <v>73</v>
      </c>
      <c r="Z145" s="25" t="s">
        <v>335</v>
      </c>
      <c r="AA145" s="25" t="s">
        <v>73</v>
      </c>
      <c r="AB145" s="25" t="s">
        <v>78</v>
      </c>
      <c r="AC145" s="25" t="s">
        <v>73</v>
      </c>
      <c r="AD145" s="25" t="s">
        <v>336</v>
      </c>
      <c r="AE145" s="25"/>
      <c r="AF145" s="25"/>
      <c r="AG145" s="25" t="s">
        <v>75</v>
      </c>
      <c r="AH145" s="25" t="s">
        <v>80</v>
      </c>
      <c r="AI145" s="25"/>
      <c r="AJ145" s="25"/>
    </row>
    <row r="146" spans="1:36">
      <c r="A146" s="38">
        <v>144</v>
      </c>
      <c r="B146" s="38" t="s">
        <v>472</v>
      </c>
      <c r="C146" s="55">
        <v>5</v>
      </c>
      <c r="D146" s="55">
        <v>60000</v>
      </c>
      <c r="E146" s="55">
        <v>60000</v>
      </c>
      <c r="F146" s="55">
        <v>100000</v>
      </c>
      <c r="G146" s="55">
        <v>100000</v>
      </c>
      <c r="H146" s="60">
        <v>3500</v>
      </c>
      <c r="I146" s="60">
        <v>2100000</v>
      </c>
      <c r="J146" s="63">
        <v>2000</v>
      </c>
      <c r="K146" s="63">
        <v>2000</v>
      </c>
      <c r="L146" s="27">
        <v>0</v>
      </c>
      <c r="M146" s="27">
        <f t="shared" si="2"/>
        <v>1780</v>
      </c>
      <c r="N146" s="26">
        <v>1900</v>
      </c>
      <c r="O146" s="26">
        <v>2800</v>
      </c>
      <c r="P146" s="26">
        <v>1750</v>
      </c>
      <c r="Q146" s="26">
        <v>120</v>
      </c>
      <c r="R146" s="26">
        <v>2800</v>
      </c>
      <c r="S146" s="26">
        <v>20</v>
      </c>
      <c r="T146" s="26">
        <v>5100</v>
      </c>
      <c r="U146" s="26">
        <v>16</v>
      </c>
      <c r="V146" s="26">
        <v>38</v>
      </c>
      <c r="W146" s="26">
        <v>25</v>
      </c>
      <c r="X146" s="26">
        <v>25</v>
      </c>
      <c r="Y146" s="25" t="s">
        <v>73</v>
      </c>
      <c r="Z146" s="25" t="s">
        <v>335</v>
      </c>
      <c r="AA146" s="25" t="s">
        <v>73</v>
      </c>
      <c r="AB146" s="25" t="s">
        <v>78</v>
      </c>
      <c r="AC146" s="25" t="s">
        <v>73</v>
      </c>
      <c r="AD146" s="25" t="s">
        <v>336</v>
      </c>
      <c r="AE146" s="25"/>
      <c r="AF146" s="25"/>
      <c r="AG146" s="25" t="s">
        <v>75</v>
      </c>
      <c r="AH146" s="25" t="s">
        <v>80</v>
      </c>
      <c r="AI146" s="25"/>
      <c r="AJ146" s="25"/>
    </row>
    <row r="147" spans="1:36">
      <c r="A147" s="38">
        <v>145</v>
      </c>
      <c r="B147" s="38" t="s">
        <v>473</v>
      </c>
      <c r="C147" s="55">
        <v>5</v>
      </c>
      <c r="D147" s="55">
        <v>60000</v>
      </c>
      <c r="E147" s="55">
        <v>60000</v>
      </c>
      <c r="F147" s="55">
        <v>100000</v>
      </c>
      <c r="G147" s="55">
        <v>100000</v>
      </c>
      <c r="H147" s="60">
        <v>3500</v>
      </c>
      <c r="I147" s="60">
        <v>2100000</v>
      </c>
      <c r="J147" s="63">
        <v>2000</v>
      </c>
      <c r="K147" s="63">
        <v>2000</v>
      </c>
      <c r="L147" s="27">
        <v>0</v>
      </c>
      <c r="M147" s="27">
        <f t="shared" si="2"/>
        <v>1780</v>
      </c>
      <c r="N147" s="26">
        <v>1900</v>
      </c>
      <c r="O147" s="26">
        <v>2800</v>
      </c>
      <c r="P147" s="26">
        <v>1750</v>
      </c>
      <c r="Q147" s="26">
        <v>120</v>
      </c>
      <c r="R147" s="26">
        <v>2800</v>
      </c>
      <c r="S147" s="26">
        <v>20</v>
      </c>
      <c r="T147" s="26">
        <v>5010</v>
      </c>
      <c r="U147" s="26">
        <v>16</v>
      </c>
      <c r="V147" s="26">
        <v>38</v>
      </c>
      <c r="W147" s="26">
        <v>25</v>
      </c>
      <c r="X147" s="26">
        <v>25</v>
      </c>
      <c r="Y147" s="25" t="s">
        <v>73</v>
      </c>
      <c r="Z147" s="25" t="s">
        <v>335</v>
      </c>
      <c r="AA147" s="25" t="s">
        <v>73</v>
      </c>
      <c r="AB147" s="25" t="s">
        <v>78</v>
      </c>
      <c r="AC147" s="25" t="s">
        <v>73</v>
      </c>
      <c r="AD147" s="25" t="s">
        <v>336</v>
      </c>
      <c r="AE147" s="25"/>
      <c r="AF147" s="25"/>
      <c r="AG147" s="25" t="s">
        <v>75</v>
      </c>
      <c r="AH147" s="25" t="s">
        <v>80</v>
      </c>
      <c r="AI147" s="25"/>
      <c r="AJ147" s="25"/>
    </row>
    <row r="148" spans="1:36">
      <c r="A148" s="37">
        <v>146</v>
      </c>
      <c r="B148" s="37" t="s">
        <v>474</v>
      </c>
      <c r="C148" s="54">
        <v>5</v>
      </c>
      <c r="D148" s="54">
        <v>60000</v>
      </c>
      <c r="E148" s="54">
        <v>60000</v>
      </c>
      <c r="F148" s="54">
        <v>100000</v>
      </c>
      <c r="G148" s="54">
        <v>100000</v>
      </c>
      <c r="H148" s="59">
        <v>3500</v>
      </c>
      <c r="I148" s="59">
        <v>2100000</v>
      </c>
      <c r="J148" s="62">
        <v>2000</v>
      </c>
      <c r="K148" s="62">
        <v>2000</v>
      </c>
      <c r="L148" s="33">
        <v>0</v>
      </c>
      <c r="M148" s="33">
        <f t="shared" si="2"/>
        <v>1780</v>
      </c>
      <c r="N148" s="34">
        <v>1900</v>
      </c>
      <c r="O148" s="34">
        <v>2800</v>
      </c>
      <c r="P148" s="34">
        <v>1750</v>
      </c>
      <c r="Q148" s="34">
        <v>120</v>
      </c>
      <c r="R148" s="34">
        <v>2800</v>
      </c>
      <c r="S148" s="34">
        <v>20</v>
      </c>
      <c r="T148" s="34">
        <v>4923</v>
      </c>
      <c r="U148" s="34">
        <v>16</v>
      </c>
      <c r="V148" s="34">
        <v>38</v>
      </c>
      <c r="W148" s="34">
        <v>25</v>
      </c>
      <c r="X148" s="34">
        <v>25</v>
      </c>
      <c r="Y148" s="25" t="s">
        <v>73</v>
      </c>
      <c r="Z148" s="25" t="s">
        <v>335</v>
      </c>
      <c r="AA148" s="25" t="s">
        <v>73</v>
      </c>
      <c r="AB148" s="25" t="s">
        <v>78</v>
      </c>
      <c r="AC148" s="25" t="s">
        <v>73</v>
      </c>
      <c r="AD148" s="25" t="s">
        <v>336</v>
      </c>
      <c r="AE148" s="25"/>
      <c r="AF148" s="25"/>
      <c r="AG148" s="25" t="s">
        <v>75</v>
      </c>
      <c r="AH148" s="25" t="s">
        <v>80</v>
      </c>
      <c r="AI148" s="25"/>
      <c r="AJ148" s="25"/>
    </row>
    <row r="149" spans="1:36">
      <c r="A149" s="38">
        <v>147</v>
      </c>
      <c r="B149" s="38" t="s">
        <v>475</v>
      </c>
      <c r="C149" s="55">
        <v>5</v>
      </c>
      <c r="D149" s="55">
        <v>60000</v>
      </c>
      <c r="E149" s="55">
        <v>60000</v>
      </c>
      <c r="F149" s="55">
        <v>100000</v>
      </c>
      <c r="G149" s="55">
        <v>100000</v>
      </c>
      <c r="H149" s="60">
        <v>3500</v>
      </c>
      <c r="I149" s="60">
        <v>2100000</v>
      </c>
      <c r="J149" s="63">
        <v>2000</v>
      </c>
      <c r="K149" s="63">
        <v>2000</v>
      </c>
      <c r="L149" s="27">
        <v>0</v>
      </c>
      <c r="M149" s="27">
        <f t="shared" si="2"/>
        <v>1780</v>
      </c>
      <c r="N149" s="26">
        <v>1900</v>
      </c>
      <c r="O149" s="26">
        <v>2800</v>
      </c>
      <c r="P149" s="26">
        <v>1750</v>
      </c>
      <c r="Q149" s="26">
        <v>120</v>
      </c>
      <c r="R149" s="26">
        <v>2800</v>
      </c>
      <c r="S149" s="26">
        <v>20</v>
      </c>
      <c r="T149" s="26">
        <v>4841</v>
      </c>
      <c r="U149" s="26">
        <v>16</v>
      </c>
      <c r="V149" s="26">
        <v>32</v>
      </c>
      <c r="W149" s="26">
        <v>19</v>
      </c>
      <c r="X149" s="26">
        <v>19</v>
      </c>
      <c r="Y149" s="25" t="s">
        <v>73</v>
      </c>
      <c r="Z149" s="25" t="s">
        <v>335</v>
      </c>
      <c r="AA149" s="25" t="s">
        <v>73</v>
      </c>
      <c r="AB149" s="25" t="s">
        <v>78</v>
      </c>
      <c r="AC149" s="25" t="s">
        <v>73</v>
      </c>
      <c r="AD149" s="25" t="s">
        <v>336</v>
      </c>
      <c r="AE149" s="25"/>
      <c r="AF149" s="25"/>
      <c r="AG149" s="25" t="s">
        <v>75</v>
      </c>
      <c r="AH149" s="25" t="s">
        <v>80</v>
      </c>
      <c r="AI149" s="25"/>
      <c r="AJ149" s="25"/>
    </row>
    <row r="150" spans="1:36">
      <c r="A150" s="38">
        <v>148</v>
      </c>
      <c r="B150" s="38" t="s">
        <v>476</v>
      </c>
      <c r="C150" s="55">
        <v>5</v>
      </c>
      <c r="D150" s="55">
        <v>60000</v>
      </c>
      <c r="E150" s="55">
        <v>60000</v>
      </c>
      <c r="F150" s="55">
        <v>100000</v>
      </c>
      <c r="G150" s="55">
        <v>100000</v>
      </c>
      <c r="H150" s="60">
        <v>3500</v>
      </c>
      <c r="I150" s="60">
        <v>2100000</v>
      </c>
      <c r="J150" s="63">
        <v>2000</v>
      </c>
      <c r="K150" s="63">
        <v>2000</v>
      </c>
      <c r="L150" s="27">
        <v>0</v>
      </c>
      <c r="M150" s="27">
        <f t="shared" si="2"/>
        <v>1780</v>
      </c>
      <c r="N150" s="26">
        <v>1900</v>
      </c>
      <c r="O150" s="26">
        <v>2800</v>
      </c>
      <c r="P150" s="26">
        <v>1750</v>
      </c>
      <c r="Q150" s="26">
        <v>120</v>
      </c>
      <c r="R150" s="26">
        <v>2800</v>
      </c>
      <c r="S150" s="26">
        <v>20</v>
      </c>
      <c r="T150" s="26">
        <v>4762</v>
      </c>
      <c r="U150" s="26">
        <v>16</v>
      </c>
      <c r="V150" s="26">
        <v>32</v>
      </c>
      <c r="W150" s="26">
        <v>19</v>
      </c>
      <c r="X150" s="26">
        <v>19</v>
      </c>
      <c r="Y150" s="25" t="s">
        <v>73</v>
      </c>
      <c r="Z150" s="25" t="s">
        <v>335</v>
      </c>
      <c r="AA150" s="25" t="s">
        <v>73</v>
      </c>
      <c r="AB150" s="25" t="s">
        <v>78</v>
      </c>
      <c r="AC150" s="25" t="s">
        <v>73</v>
      </c>
      <c r="AD150" s="25" t="s">
        <v>336</v>
      </c>
      <c r="AE150" s="25"/>
      <c r="AF150" s="25"/>
      <c r="AG150" s="25" t="s">
        <v>75</v>
      </c>
      <c r="AH150" s="25" t="s">
        <v>80</v>
      </c>
      <c r="AI150" s="25"/>
      <c r="AJ150" s="25"/>
    </row>
    <row r="151" spans="1:36">
      <c r="A151" s="38">
        <v>149</v>
      </c>
      <c r="B151" s="38" t="s">
        <v>477</v>
      </c>
      <c r="C151" s="55">
        <v>5</v>
      </c>
      <c r="D151" s="55">
        <v>60000</v>
      </c>
      <c r="E151" s="55">
        <v>60000</v>
      </c>
      <c r="F151" s="55">
        <v>100000</v>
      </c>
      <c r="G151" s="55">
        <v>100000</v>
      </c>
      <c r="H151" s="60">
        <v>3500</v>
      </c>
      <c r="I151" s="60">
        <v>2100000</v>
      </c>
      <c r="J151" s="63">
        <v>2000</v>
      </c>
      <c r="K151" s="63">
        <v>2000</v>
      </c>
      <c r="L151" s="27">
        <v>0</v>
      </c>
      <c r="M151" s="27">
        <f t="shared" si="2"/>
        <v>1780</v>
      </c>
      <c r="N151" s="26">
        <v>1900</v>
      </c>
      <c r="O151" s="26">
        <v>2800</v>
      </c>
      <c r="P151" s="26">
        <v>1750</v>
      </c>
      <c r="Q151" s="26">
        <v>120</v>
      </c>
      <c r="R151" s="26">
        <v>2800</v>
      </c>
      <c r="S151" s="26">
        <v>20</v>
      </c>
      <c r="T151" s="26">
        <v>4687</v>
      </c>
      <c r="U151" s="26">
        <v>16</v>
      </c>
      <c r="V151" s="26">
        <v>32</v>
      </c>
      <c r="W151" s="26">
        <v>19</v>
      </c>
      <c r="X151" s="26">
        <v>19</v>
      </c>
      <c r="Y151" s="25" t="s">
        <v>73</v>
      </c>
      <c r="Z151" s="25" t="s">
        <v>335</v>
      </c>
      <c r="AA151" s="25" t="s">
        <v>73</v>
      </c>
      <c r="AB151" s="25" t="s">
        <v>78</v>
      </c>
      <c r="AC151" s="25" t="s">
        <v>73</v>
      </c>
      <c r="AD151" s="25" t="s">
        <v>336</v>
      </c>
      <c r="AE151" s="25"/>
      <c r="AF151" s="25"/>
      <c r="AG151" s="25" t="s">
        <v>75</v>
      </c>
      <c r="AH151" s="25" t="s">
        <v>80</v>
      </c>
      <c r="AI151" s="25"/>
      <c r="AJ151" s="25"/>
    </row>
    <row r="152" spans="1:36">
      <c r="A152" s="37">
        <v>150</v>
      </c>
      <c r="B152" s="37" t="s">
        <v>478</v>
      </c>
      <c r="C152" s="54">
        <v>5</v>
      </c>
      <c r="D152" s="54">
        <v>60000</v>
      </c>
      <c r="E152" s="54">
        <v>60000</v>
      </c>
      <c r="F152" s="54">
        <v>100000</v>
      </c>
      <c r="G152" s="54">
        <v>100000</v>
      </c>
      <c r="H152" s="59">
        <v>3500</v>
      </c>
      <c r="I152" s="59">
        <v>2100000</v>
      </c>
      <c r="J152" s="62">
        <v>2000</v>
      </c>
      <c r="K152" s="62">
        <v>2000</v>
      </c>
      <c r="L152" s="33">
        <v>0</v>
      </c>
      <c r="M152" s="33">
        <f t="shared" si="2"/>
        <v>1780</v>
      </c>
      <c r="N152" s="34">
        <v>1900</v>
      </c>
      <c r="O152" s="34">
        <v>2800</v>
      </c>
      <c r="P152" s="34">
        <v>1750</v>
      </c>
      <c r="Q152" s="34">
        <v>120</v>
      </c>
      <c r="R152" s="34">
        <v>2800</v>
      </c>
      <c r="S152" s="34">
        <v>20</v>
      </c>
      <c r="T152" s="34">
        <v>4616</v>
      </c>
      <c r="U152" s="34">
        <v>16</v>
      </c>
      <c r="V152" s="34">
        <v>32</v>
      </c>
      <c r="W152" s="34">
        <v>19</v>
      </c>
      <c r="X152" s="34">
        <v>19</v>
      </c>
      <c r="Y152" s="25" t="s">
        <v>73</v>
      </c>
      <c r="Z152" s="25" t="s">
        <v>335</v>
      </c>
      <c r="AA152" s="25" t="s">
        <v>73</v>
      </c>
      <c r="AB152" s="25" t="s">
        <v>78</v>
      </c>
      <c r="AC152" s="25" t="s">
        <v>73</v>
      </c>
      <c r="AD152" s="25" t="s">
        <v>336</v>
      </c>
      <c r="AE152" s="25"/>
      <c r="AF152" s="25"/>
      <c r="AG152" s="25" t="s">
        <v>75</v>
      </c>
      <c r="AH152" s="25" t="s">
        <v>80</v>
      </c>
      <c r="AI152" s="25"/>
      <c r="AJ152" s="25"/>
    </row>
    <row r="153" spans="1:36">
      <c r="A153" s="38">
        <v>151</v>
      </c>
      <c r="B153" s="38" t="s">
        <v>479</v>
      </c>
      <c r="C153" s="55">
        <v>5</v>
      </c>
      <c r="D153" s="55">
        <v>60000</v>
      </c>
      <c r="E153" s="55">
        <v>60000</v>
      </c>
      <c r="F153" s="55">
        <v>100000</v>
      </c>
      <c r="G153" s="55">
        <v>100000</v>
      </c>
      <c r="H153" s="60">
        <v>3500</v>
      </c>
      <c r="I153" s="60">
        <v>2100000</v>
      </c>
      <c r="J153" s="63">
        <v>2000</v>
      </c>
      <c r="K153" s="63">
        <v>2000</v>
      </c>
      <c r="L153" s="27">
        <v>0</v>
      </c>
      <c r="M153" s="27">
        <f t="shared" si="2"/>
        <v>1780</v>
      </c>
      <c r="N153" s="26">
        <v>1900</v>
      </c>
      <c r="O153" s="26">
        <v>2800</v>
      </c>
      <c r="P153" s="26">
        <v>1750</v>
      </c>
      <c r="Q153" s="26">
        <v>120</v>
      </c>
      <c r="R153" s="26">
        <v>2800</v>
      </c>
      <c r="S153" s="26">
        <v>20</v>
      </c>
      <c r="T153" s="26">
        <v>4550</v>
      </c>
      <c r="U153" s="26">
        <v>16</v>
      </c>
      <c r="V153" s="26">
        <v>32</v>
      </c>
      <c r="W153" s="26">
        <v>19</v>
      </c>
      <c r="X153" s="26">
        <v>19</v>
      </c>
      <c r="Y153" s="25" t="s">
        <v>73</v>
      </c>
      <c r="Z153" s="25" t="s">
        <v>335</v>
      </c>
      <c r="AA153" s="25" t="s">
        <v>73</v>
      </c>
      <c r="AB153" s="25" t="s">
        <v>78</v>
      </c>
      <c r="AC153" s="25" t="s">
        <v>73</v>
      </c>
      <c r="AD153" s="25" t="s">
        <v>336</v>
      </c>
      <c r="AE153" s="25"/>
      <c r="AF153" s="25"/>
      <c r="AG153" s="25" t="s">
        <v>75</v>
      </c>
      <c r="AH153" s="25" t="s">
        <v>80</v>
      </c>
      <c r="AI153" s="25"/>
      <c r="AJ153" s="25"/>
    </row>
    <row r="154" spans="1:36">
      <c r="A154" s="38">
        <v>152</v>
      </c>
      <c r="B154" s="38" t="s">
        <v>480</v>
      </c>
      <c r="C154" s="55">
        <v>5</v>
      </c>
      <c r="D154" s="55">
        <v>60000</v>
      </c>
      <c r="E154" s="55">
        <v>60000</v>
      </c>
      <c r="F154" s="55">
        <v>100000</v>
      </c>
      <c r="G154" s="55">
        <v>100000</v>
      </c>
      <c r="H154" s="60">
        <v>3500</v>
      </c>
      <c r="I154" s="60">
        <v>2100000</v>
      </c>
      <c r="J154" s="63">
        <v>2000</v>
      </c>
      <c r="K154" s="63">
        <v>2000</v>
      </c>
      <c r="L154" s="27">
        <v>0</v>
      </c>
      <c r="M154" s="27">
        <f t="shared" si="2"/>
        <v>1780</v>
      </c>
      <c r="N154" s="26">
        <v>1900</v>
      </c>
      <c r="O154" s="26">
        <v>2800</v>
      </c>
      <c r="P154" s="26">
        <v>1750</v>
      </c>
      <c r="Q154" s="26">
        <v>120</v>
      </c>
      <c r="R154" s="26">
        <v>2800</v>
      </c>
      <c r="S154" s="26">
        <v>20</v>
      </c>
      <c r="T154" s="26">
        <v>4486</v>
      </c>
      <c r="U154" s="26">
        <v>16</v>
      </c>
      <c r="V154" s="26">
        <v>32</v>
      </c>
      <c r="W154" s="26">
        <v>19</v>
      </c>
      <c r="X154" s="26">
        <v>19</v>
      </c>
      <c r="Y154" s="25" t="s">
        <v>73</v>
      </c>
      <c r="Z154" s="25" t="s">
        <v>335</v>
      </c>
      <c r="AA154" s="25" t="s">
        <v>73</v>
      </c>
      <c r="AB154" s="25" t="s">
        <v>78</v>
      </c>
      <c r="AC154" s="25" t="s">
        <v>73</v>
      </c>
      <c r="AD154" s="25" t="s">
        <v>336</v>
      </c>
      <c r="AE154" s="25"/>
      <c r="AF154" s="25"/>
      <c r="AG154" s="25" t="s">
        <v>75</v>
      </c>
      <c r="AH154" s="25" t="s">
        <v>80</v>
      </c>
      <c r="AI154" s="25"/>
      <c r="AJ154" s="25"/>
    </row>
    <row r="155" spans="1:36">
      <c r="A155" s="38">
        <v>153</v>
      </c>
      <c r="B155" s="38" t="s">
        <v>481</v>
      </c>
      <c r="C155" s="55">
        <v>5</v>
      </c>
      <c r="D155" s="55">
        <v>60000</v>
      </c>
      <c r="E155" s="55">
        <v>60000</v>
      </c>
      <c r="F155" s="55">
        <v>100000</v>
      </c>
      <c r="G155" s="55">
        <v>100000</v>
      </c>
      <c r="H155" s="60">
        <v>3500</v>
      </c>
      <c r="I155" s="60">
        <v>2100000</v>
      </c>
      <c r="J155" s="63">
        <v>2000</v>
      </c>
      <c r="K155" s="63">
        <v>2000</v>
      </c>
      <c r="L155" s="27">
        <v>0</v>
      </c>
      <c r="M155" s="27">
        <f t="shared" si="2"/>
        <v>1780</v>
      </c>
      <c r="N155" s="26">
        <v>1900</v>
      </c>
      <c r="O155" s="26">
        <v>2800</v>
      </c>
      <c r="P155" s="26">
        <v>1750</v>
      </c>
      <c r="Q155" s="26">
        <v>120</v>
      </c>
      <c r="R155" s="26">
        <v>2800</v>
      </c>
      <c r="S155" s="26">
        <v>20</v>
      </c>
      <c r="T155" s="26">
        <v>4427</v>
      </c>
      <c r="U155" s="26">
        <v>16</v>
      </c>
      <c r="V155" s="26">
        <v>32</v>
      </c>
      <c r="W155" s="26">
        <v>19</v>
      </c>
      <c r="X155" s="26">
        <v>19</v>
      </c>
      <c r="Y155" s="25" t="s">
        <v>73</v>
      </c>
      <c r="Z155" s="25" t="s">
        <v>335</v>
      </c>
      <c r="AA155" s="25" t="s">
        <v>73</v>
      </c>
      <c r="AB155" s="25" t="s">
        <v>78</v>
      </c>
      <c r="AC155" s="25" t="s">
        <v>73</v>
      </c>
      <c r="AD155" s="25" t="s">
        <v>336</v>
      </c>
      <c r="AE155" s="25"/>
      <c r="AF155" s="25"/>
      <c r="AG155" s="25" t="s">
        <v>75</v>
      </c>
      <c r="AH155" s="25" t="s">
        <v>80</v>
      </c>
      <c r="AI155" s="25"/>
      <c r="AJ155" s="25"/>
    </row>
    <row r="156" spans="1:36">
      <c r="A156" s="37">
        <v>154</v>
      </c>
      <c r="B156" s="37" t="s">
        <v>482</v>
      </c>
      <c r="C156" s="54">
        <v>5</v>
      </c>
      <c r="D156" s="54">
        <v>60000</v>
      </c>
      <c r="E156" s="54">
        <v>60000</v>
      </c>
      <c r="F156" s="54">
        <v>100000</v>
      </c>
      <c r="G156" s="54">
        <v>100000</v>
      </c>
      <c r="H156" s="59">
        <v>3500</v>
      </c>
      <c r="I156" s="59">
        <v>2100000</v>
      </c>
      <c r="J156" s="62">
        <v>2000</v>
      </c>
      <c r="K156" s="62">
        <v>2000</v>
      </c>
      <c r="L156" s="33">
        <v>0</v>
      </c>
      <c r="M156" s="33">
        <f t="shared" si="2"/>
        <v>1780</v>
      </c>
      <c r="N156" s="34">
        <v>1900</v>
      </c>
      <c r="O156" s="34">
        <v>2800</v>
      </c>
      <c r="P156" s="34">
        <v>1750</v>
      </c>
      <c r="Q156" s="34">
        <v>120</v>
      </c>
      <c r="R156" s="34">
        <v>2800</v>
      </c>
      <c r="S156" s="34">
        <v>20</v>
      </c>
      <c r="T156" s="34">
        <v>4372</v>
      </c>
      <c r="U156" s="34">
        <v>16</v>
      </c>
      <c r="V156" s="34">
        <v>32</v>
      </c>
      <c r="W156" s="34">
        <v>19</v>
      </c>
      <c r="X156" s="34">
        <v>19</v>
      </c>
      <c r="Y156" s="25" t="s">
        <v>73</v>
      </c>
      <c r="Z156" s="25" t="s">
        <v>335</v>
      </c>
      <c r="AA156" s="25" t="s">
        <v>73</v>
      </c>
      <c r="AB156" s="25" t="s">
        <v>78</v>
      </c>
      <c r="AC156" s="25" t="s">
        <v>73</v>
      </c>
      <c r="AD156" s="25" t="s">
        <v>336</v>
      </c>
      <c r="AE156" s="25"/>
      <c r="AF156" s="25"/>
      <c r="AG156" s="25" t="s">
        <v>75</v>
      </c>
      <c r="AH156" s="25" t="s">
        <v>80</v>
      </c>
      <c r="AI156" s="25"/>
      <c r="AJ156" s="25"/>
    </row>
    <row r="157" spans="1:36">
      <c r="A157" s="38">
        <v>155</v>
      </c>
      <c r="B157" s="38" t="s">
        <v>483</v>
      </c>
      <c r="C157" s="55">
        <v>5</v>
      </c>
      <c r="D157" s="55">
        <v>60000</v>
      </c>
      <c r="E157" s="55">
        <v>60000</v>
      </c>
      <c r="F157" s="55">
        <v>100000</v>
      </c>
      <c r="G157" s="55">
        <v>100000</v>
      </c>
      <c r="H157" s="60">
        <v>3500</v>
      </c>
      <c r="I157" s="60">
        <v>2100000</v>
      </c>
      <c r="J157" s="63">
        <v>2000</v>
      </c>
      <c r="K157" s="63">
        <v>2000</v>
      </c>
      <c r="L157" s="27">
        <v>0</v>
      </c>
      <c r="M157" s="27">
        <f t="shared" si="2"/>
        <v>1780</v>
      </c>
      <c r="N157" s="26">
        <v>1900</v>
      </c>
      <c r="O157" s="26">
        <v>2800</v>
      </c>
      <c r="P157" s="26">
        <v>1750</v>
      </c>
      <c r="Q157" s="26">
        <v>120</v>
      </c>
      <c r="R157" s="26">
        <v>2800</v>
      </c>
      <c r="S157" s="26">
        <v>20</v>
      </c>
      <c r="T157" s="26">
        <v>4320</v>
      </c>
      <c r="U157" s="26">
        <v>16</v>
      </c>
      <c r="V157" s="26">
        <v>28</v>
      </c>
      <c r="W157" s="26">
        <v>19</v>
      </c>
      <c r="X157" s="26">
        <v>19</v>
      </c>
      <c r="Y157" s="25" t="s">
        <v>73</v>
      </c>
      <c r="Z157" s="25" t="s">
        <v>335</v>
      </c>
      <c r="AA157" s="25" t="s">
        <v>73</v>
      </c>
      <c r="AB157" s="25" t="s">
        <v>78</v>
      </c>
      <c r="AC157" s="25" t="s">
        <v>73</v>
      </c>
      <c r="AD157" s="25" t="s">
        <v>336</v>
      </c>
      <c r="AE157" s="25"/>
      <c r="AF157" s="25"/>
      <c r="AG157" s="25" t="s">
        <v>75</v>
      </c>
      <c r="AH157" s="25" t="s">
        <v>80</v>
      </c>
      <c r="AI157" s="25"/>
      <c r="AJ157" s="25"/>
    </row>
    <row r="158" spans="1:36">
      <c r="A158" s="38">
        <v>156</v>
      </c>
      <c r="B158" s="38" t="s">
        <v>484</v>
      </c>
      <c r="C158" s="55">
        <v>5</v>
      </c>
      <c r="D158" s="55">
        <v>60000</v>
      </c>
      <c r="E158" s="55">
        <v>60000</v>
      </c>
      <c r="F158" s="55">
        <v>100000</v>
      </c>
      <c r="G158" s="55">
        <v>100000</v>
      </c>
      <c r="H158" s="60">
        <v>3500</v>
      </c>
      <c r="I158" s="60">
        <v>2100000</v>
      </c>
      <c r="J158" s="63">
        <v>2000</v>
      </c>
      <c r="K158" s="63">
        <v>2000</v>
      </c>
      <c r="L158" s="27">
        <v>0</v>
      </c>
      <c r="M158" s="27">
        <f t="shared" si="2"/>
        <v>1780</v>
      </c>
      <c r="N158" s="26">
        <v>1900</v>
      </c>
      <c r="O158" s="26">
        <v>2800</v>
      </c>
      <c r="P158" s="26">
        <v>1750</v>
      </c>
      <c r="Q158" s="26">
        <v>120</v>
      </c>
      <c r="R158" s="26">
        <v>2800</v>
      </c>
      <c r="S158" s="26">
        <v>20</v>
      </c>
      <c r="T158" s="26">
        <v>4272</v>
      </c>
      <c r="U158" s="26">
        <v>16</v>
      </c>
      <c r="V158" s="26">
        <v>28</v>
      </c>
      <c r="W158" s="26">
        <v>19</v>
      </c>
      <c r="X158" s="26">
        <v>19</v>
      </c>
      <c r="Y158" s="25" t="s">
        <v>73</v>
      </c>
      <c r="Z158" s="25" t="s">
        <v>335</v>
      </c>
      <c r="AA158" s="25" t="s">
        <v>73</v>
      </c>
      <c r="AB158" s="25" t="s">
        <v>78</v>
      </c>
      <c r="AC158" s="25" t="s">
        <v>73</v>
      </c>
      <c r="AD158" s="25" t="s">
        <v>336</v>
      </c>
      <c r="AE158" s="25"/>
      <c r="AF158" s="25"/>
      <c r="AG158" s="25" t="s">
        <v>75</v>
      </c>
      <c r="AH158" s="25" t="s">
        <v>80</v>
      </c>
      <c r="AI158" s="25"/>
      <c r="AJ158" s="25"/>
    </row>
    <row r="159" spans="1:36">
      <c r="A159" s="38">
        <v>157</v>
      </c>
      <c r="B159" s="38" t="s">
        <v>485</v>
      </c>
      <c r="C159" s="55">
        <v>5</v>
      </c>
      <c r="D159" s="55">
        <v>60000</v>
      </c>
      <c r="E159" s="55">
        <v>60000</v>
      </c>
      <c r="F159" s="55">
        <v>100000</v>
      </c>
      <c r="G159" s="55">
        <v>100000</v>
      </c>
      <c r="H159" s="60">
        <v>3500</v>
      </c>
      <c r="I159" s="60">
        <v>2100000</v>
      </c>
      <c r="J159" s="63">
        <v>2000</v>
      </c>
      <c r="K159" s="63">
        <v>2000</v>
      </c>
      <c r="L159" s="27">
        <v>0</v>
      </c>
      <c r="M159" s="27">
        <f t="shared" si="2"/>
        <v>1780</v>
      </c>
      <c r="N159" s="26">
        <v>1900</v>
      </c>
      <c r="O159" s="26">
        <v>2800</v>
      </c>
      <c r="P159" s="26">
        <v>1750</v>
      </c>
      <c r="Q159" s="26">
        <v>120</v>
      </c>
      <c r="R159" s="26">
        <v>2800</v>
      </c>
      <c r="S159" s="26">
        <v>20</v>
      </c>
      <c r="T159" s="26">
        <v>4228</v>
      </c>
      <c r="U159" s="26">
        <v>16</v>
      </c>
      <c r="V159" s="26">
        <v>28</v>
      </c>
      <c r="W159" s="26">
        <v>19</v>
      </c>
      <c r="X159" s="26">
        <v>19</v>
      </c>
      <c r="Y159" s="25" t="s">
        <v>73</v>
      </c>
      <c r="Z159" s="25" t="s">
        <v>335</v>
      </c>
      <c r="AA159" s="25" t="s">
        <v>73</v>
      </c>
      <c r="AB159" s="25" t="s">
        <v>78</v>
      </c>
      <c r="AC159" s="25" t="s">
        <v>73</v>
      </c>
      <c r="AD159" s="25" t="s">
        <v>336</v>
      </c>
      <c r="AE159" s="25"/>
      <c r="AF159" s="25"/>
      <c r="AG159" s="25" t="s">
        <v>75</v>
      </c>
      <c r="AH159" s="25" t="s">
        <v>80</v>
      </c>
      <c r="AI159" s="25"/>
      <c r="AJ159" s="25"/>
    </row>
    <row r="160" spans="1:36">
      <c r="A160" s="37">
        <v>158</v>
      </c>
      <c r="B160" s="37" t="s">
        <v>486</v>
      </c>
      <c r="C160" s="54">
        <v>5</v>
      </c>
      <c r="D160" s="54">
        <v>60000</v>
      </c>
      <c r="E160" s="54">
        <v>60000</v>
      </c>
      <c r="F160" s="54">
        <v>100000</v>
      </c>
      <c r="G160" s="54">
        <v>100000</v>
      </c>
      <c r="H160" s="59">
        <v>3500</v>
      </c>
      <c r="I160" s="59">
        <v>2100000</v>
      </c>
      <c r="J160" s="62">
        <v>2000</v>
      </c>
      <c r="K160" s="62">
        <v>2000</v>
      </c>
      <c r="L160" s="33">
        <v>0</v>
      </c>
      <c r="M160" s="33">
        <f t="shared" si="2"/>
        <v>1780</v>
      </c>
      <c r="N160" s="34">
        <v>1900</v>
      </c>
      <c r="O160" s="34">
        <v>2800</v>
      </c>
      <c r="P160" s="34">
        <v>1750</v>
      </c>
      <c r="Q160" s="34">
        <v>120</v>
      </c>
      <c r="R160" s="34">
        <v>2800</v>
      </c>
      <c r="S160" s="34">
        <v>20</v>
      </c>
      <c r="T160" s="34">
        <v>4188</v>
      </c>
      <c r="U160" s="34">
        <v>16</v>
      </c>
      <c r="V160" s="34">
        <v>28</v>
      </c>
      <c r="W160" s="34">
        <v>19</v>
      </c>
      <c r="X160" s="34">
        <v>19</v>
      </c>
      <c r="Y160" s="25" t="s">
        <v>73</v>
      </c>
      <c r="Z160" s="25" t="s">
        <v>335</v>
      </c>
      <c r="AA160" s="25" t="s">
        <v>73</v>
      </c>
      <c r="AB160" s="25" t="s">
        <v>78</v>
      </c>
      <c r="AC160" s="25" t="s">
        <v>73</v>
      </c>
      <c r="AD160" s="25" t="s">
        <v>336</v>
      </c>
      <c r="AE160" s="25"/>
      <c r="AF160" s="25"/>
      <c r="AG160" s="25" t="s">
        <v>75</v>
      </c>
      <c r="AH160" s="25" t="s">
        <v>80</v>
      </c>
      <c r="AI160" s="25"/>
      <c r="AJ160" s="25"/>
    </row>
    <row r="161" spans="1:36">
      <c r="A161" s="38">
        <v>159</v>
      </c>
      <c r="B161" s="38" t="s">
        <v>487</v>
      </c>
      <c r="C161" s="55">
        <v>5</v>
      </c>
      <c r="D161" s="55">
        <v>60000</v>
      </c>
      <c r="E161" s="55">
        <v>60000</v>
      </c>
      <c r="F161" s="55">
        <v>100000</v>
      </c>
      <c r="G161" s="55">
        <v>100000</v>
      </c>
      <c r="H161" s="60">
        <v>3500</v>
      </c>
      <c r="I161" s="60">
        <v>2100000</v>
      </c>
      <c r="J161" s="63">
        <v>2000</v>
      </c>
      <c r="K161" s="63">
        <v>2000</v>
      </c>
      <c r="L161" s="27">
        <v>0</v>
      </c>
      <c r="M161" s="27">
        <f t="shared" si="2"/>
        <v>1780</v>
      </c>
      <c r="N161" s="26">
        <v>1900</v>
      </c>
      <c r="O161" s="26">
        <v>2800</v>
      </c>
      <c r="P161" s="26">
        <v>1750</v>
      </c>
      <c r="Q161" s="26">
        <v>120</v>
      </c>
      <c r="R161" s="26">
        <v>2800</v>
      </c>
      <c r="S161" s="26">
        <v>20</v>
      </c>
      <c r="T161" s="26">
        <v>4152</v>
      </c>
      <c r="U161" s="26">
        <v>16</v>
      </c>
      <c r="V161" s="26">
        <v>28</v>
      </c>
      <c r="W161" s="26">
        <v>19</v>
      </c>
      <c r="X161" s="26">
        <v>19</v>
      </c>
      <c r="Y161" s="25" t="s">
        <v>73</v>
      </c>
      <c r="Z161" s="25" t="s">
        <v>335</v>
      </c>
      <c r="AA161" s="25" t="s">
        <v>73</v>
      </c>
      <c r="AB161" s="25" t="s">
        <v>78</v>
      </c>
      <c r="AC161" s="25" t="s">
        <v>73</v>
      </c>
      <c r="AD161" s="25" t="s">
        <v>336</v>
      </c>
      <c r="AE161" s="25"/>
      <c r="AF161" s="25"/>
      <c r="AG161" s="25" t="s">
        <v>75</v>
      </c>
      <c r="AH161" s="25" t="s">
        <v>80</v>
      </c>
      <c r="AI161" s="25"/>
      <c r="AJ161" s="25"/>
    </row>
    <row r="162" spans="1:36">
      <c r="A162" s="38">
        <v>160</v>
      </c>
      <c r="B162" s="38" t="s">
        <v>488</v>
      </c>
      <c r="C162" s="55">
        <v>5</v>
      </c>
      <c r="D162" s="55">
        <v>60000</v>
      </c>
      <c r="E162" s="55">
        <v>60000</v>
      </c>
      <c r="F162" s="55">
        <v>100000</v>
      </c>
      <c r="G162" s="55">
        <v>100000</v>
      </c>
      <c r="H162" s="60">
        <v>3500</v>
      </c>
      <c r="I162" s="60">
        <v>2100000</v>
      </c>
      <c r="J162" s="63">
        <v>2000</v>
      </c>
      <c r="K162" s="63">
        <v>2000</v>
      </c>
      <c r="L162" s="27">
        <v>0</v>
      </c>
      <c r="M162" s="27">
        <f t="shared" si="2"/>
        <v>1780</v>
      </c>
      <c r="N162" s="26">
        <v>1900</v>
      </c>
      <c r="O162" s="26">
        <v>2800</v>
      </c>
      <c r="P162" s="26">
        <v>1750</v>
      </c>
      <c r="Q162" s="26">
        <v>120</v>
      </c>
      <c r="R162" s="26">
        <v>2800</v>
      </c>
      <c r="S162" s="26">
        <v>20</v>
      </c>
      <c r="T162" s="26">
        <v>4120</v>
      </c>
      <c r="U162" s="26">
        <v>16</v>
      </c>
      <c r="V162" s="26">
        <v>28</v>
      </c>
      <c r="W162" s="26">
        <v>19</v>
      </c>
      <c r="X162" s="26">
        <v>19</v>
      </c>
      <c r="Y162" s="25" t="s">
        <v>73</v>
      </c>
      <c r="Z162" s="25" t="s">
        <v>335</v>
      </c>
      <c r="AA162" s="25" t="s">
        <v>73</v>
      </c>
      <c r="AB162" s="25" t="s">
        <v>78</v>
      </c>
      <c r="AC162" s="25" t="s">
        <v>73</v>
      </c>
      <c r="AD162" s="25" t="s">
        <v>336</v>
      </c>
      <c r="AE162" s="25"/>
      <c r="AF162" s="25"/>
      <c r="AG162" s="25" t="s">
        <v>75</v>
      </c>
      <c r="AH162" s="25" t="s">
        <v>80</v>
      </c>
      <c r="AI162" s="25"/>
      <c r="AJ162" s="25"/>
    </row>
    <row r="163" spans="1:36">
      <c r="A163" s="38">
        <v>161</v>
      </c>
      <c r="B163" s="38" t="s">
        <v>489</v>
      </c>
      <c r="C163" s="55">
        <v>5</v>
      </c>
      <c r="D163" s="55">
        <v>60000</v>
      </c>
      <c r="E163" s="55">
        <v>60000</v>
      </c>
      <c r="F163" s="55">
        <v>100000</v>
      </c>
      <c r="G163" s="55">
        <v>100000</v>
      </c>
      <c r="H163" s="60">
        <v>3500</v>
      </c>
      <c r="I163" s="60">
        <v>2100000</v>
      </c>
      <c r="J163" s="63">
        <v>2000</v>
      </c>
      <c r="K163" s="63">
        <v>2000</v>
      </c>
      <c r="L163" s="27">
        <v>0</v>
      </c>
      <c r="M163" s="27">
        <f t="shared" si="2"/>
        <v>1780</v>
      </c>
      <c r="N163" s="26">
        <v>1900</v>
      </c>
      <c r="O163" s="26">
        <v>2800</v>
      </c>
      <c r="P163" s="26">
        <v>1750</v>
      </c>
      <c r="Q163" s="26">
        <v>120</v>
      </c>
      <c r="R163" s="26">
        <v>2800</v>
      </c>
      <c r="S163" s="26">
        <v>20</v>
      </c>
      <c r="T163" s="26">
        <v>4091</v>
      </c>
      <c r="U163" s="26">
        <v>16</v>
      </c>
      <c r="V163" s="26">
        <v>28</v>
      </c>
      <c r="W163" s="26">
        <v>19</v>
      </c>
      <c r="X163" s="26">
        <v>19</v>
      </c>
      <c r="Y163" s="25" t="s">
        <v>73</v>
      </c>
      <c r="Z163" s="25" t="s">
        <v>335</v>
      </c>
      <c r="AA163" s="25" t="s">
        <v>73</v>
      </c>
      <c r="AB163" s="25" t="s">
        <v>78</v>
      </c>
      <c r="AC163" s="25" t="s">
        <v>73</v>
      </c>
      <c r="AD163" s="25" t="s">
        <v>336</v>
      </c>
      <c r="AE163" s="25"/>
      <c r="AF163" s="25"/>
      <c r="AG163" s="25" t="s">
        <v>75</v>
      </c>
      <c r="AH163" s="25" t="s">
        <v>80</v>
      </c>
      <c r="AI163" s="25"/>
      <c r="AJ163" s="25"/>
    </row>
    <row r="164" spans="1:36">
      <c r="A164" s="37">
        <v>162</v>
      </c>
      <c r="B164" s="37" t="s">
        <v>490</v>
      </c>
      <c r="C164" s="54">
        <v>5</v>
      </c>
      <c r="D164" s="54">
        <v>60000</v>
      </c>
      <c r="E164" s="54">
        <v>60000</v>
      </c>
      <c r="F164" s="54">
        <v>100000</v>
      </c>
      <c r="G164" s="54">
        <v>100000</v>
      </c>
      <c r="H164" s="59">
        <v>3500</v>
      </c>
      <c r="I164" s="59">
        <v>2100000</v>
      </c>
      <c r="J164" s="62">
        <v>2000</v>
      </c>
      <c r="K164" s="62">
        <v>2000</v>
      </c>
      <c r="L164" s="33">
        <v>0</v>
      </c>
      <c r="M164" s="33">
        <f t="shared" si="2"/>
        <v>1780</v>
      </c>
      <c r="N164" s="34">
        <v>1900</v>
      </c>
      <c r="O164" s="34">
        <v>2800</v>
      </c>
      <c r="P164" s="34">
        <v>1750</v>
      </c>
      <c r="Q164" s="34">
        <v>120</v>
      </c>
      <c r="R164" s="34">
        <v>2800</v>
      </c>
      <c r="S164" s="34">
        <v>20</v>
      </c>
      <c r="T164" s="34">
        <v>4067</v>
      </c>
      <c r="U164" s="34">
        <v>16</v>
      </c>
      <c r="V164" s="34">
        <v>32</v>
      </c>
      <c r="W164" s="34">
        <v>19</v>
      </c>
      <c r="X164" s="34">
        <v>19</v>
      </c>
      <c r="Y164" s="25" t="s">
        <v>73</v>
      </c>
      <c r="Z164" s="25" t="s">
        <v>335</v>
      </c>
      <c r="AA164" s="25" t="s">
        <v>73</v>
      </c>
      <c r="AB164" s="25" t="s">
        <v>78</v>
      </c>
      <c r="AC164" s="25" t="s">
        <v>73</v>
      </c>
      <c r="AD164" s="25" t="s">
        <v>336</v>
      </c>
      <c r="AE164" s="25"/>
      <c r="AF164" s="25"/>
      <c r="AG164" s="25" t="s">
        <v>75</v>
      </c>
      <c r="AH164" s="25" t="s">
        <v>80</v>
      </c>
      <c r="AI164" s="25"/>
      <c r="AJ164" s="25"/>
    </row>
    <row r="165" spans="1:36">
      <c r="A165" s="38">
        <v>163</v>
      </c>
      <c r="B165" s="38" t="s">
        <v>491</v>
      </c>
      <c r="C165" s="55">
        <v>5</v>
      </c>
      <c r="D165" s="55">
        <v>60000</v>
      </c>
      <c r="E165" s="55">
        <v>60000</v>
      </c>
      <c r="F165" s="55">
        <v>100000</v>
      </c>
      <c r="G165" s="55">
        <v>100000</v>
      </c>
      <c r="H165" s="60">
        <v>3500</v>
      </c>
      <c r="I165" s="60">
        <v>2100000</v>
      </c>
      <c r="J165" s="63">
        <v>2000</v>
      </c>
      <c r="K165" s="63">
        <v>2000</v>
      </c>
      <c r="L165" s="27">
        <v>0</v>
      </c>
      <c r="M165" s="27">
        <f t="shared" si="2"/>
        <v>1780</v>
      </c>
      <c r="N165" s="26">
        <v>1900</v>
      </c>
      <c r="O165" s="26">
        <v>2800</v>
      </c>
      <c r="P165" s="26">
        <v>1750</v>
      </c>
      <c r="Q165" s="26">
        <v>120</v>
      </c>
      <c r="R165" s="26">
        <v>2800</v>
      </c>
      <c r="S165" s="26">
        <v>20</v>
      </c>
      <c r="T165" s="26">
        <v>4046</v>
      </c>
      <c r="U165" s="26">
        <v>16</v>
      </c>
      <c r="V165" s="26">
        <v>32</v>
      </c>
      <c r="W165" s="26">
        <v>19</v>
      </c>
      <c r="X165" s="26">
        <v>19</v>
      </c>
      <c r="Y165" s="25" t="s">
        <v>73</v>
      </c>
      <c r="Z165" s="25" t="s">
        <v>335</v>
      </c>
      <c r="AA165" s="25" t="s">
        <v>73</v>
      </c>
      <c r="AB165" s="25" t="s">
        <v>78</v>
      </c>
      <c r="AC165" s="25" t="s">
        <v>73</v>
      </c>
      <c r="AD165" s="25" t="s">
        <v>336</v>
      </c>
      <c r="AE165" s="25"/>
      <c r="AF165" s="25"/>
      <c r="AG165" s="25" t="s">
        <v>75</v>
      </c>
      <c r="AH165" s="25" t="s">
        <v>80</v>
      </c>
      <c r="AI165" s="25"/>
      <c r="AJ165" s="25"/>
    </row>
    <row r="166" spans="1:36">
      <c r="A166" s="38">
        <v>164</v>
      </c>
      <c r="B166" s="38" t="s">
        <v>492</v>
      </c>
      <c r="C166" s="55">
        <v>5</v>
      </c>
      <c r="D166" s="55">
        <v>60000</v>
      </c>
      <c r="E166" s="55">
        <v>60000</v>
      </c>
      <c r="F166" s="55">
        <v>100000</v>
      </c>
      <c r="G166" s="55">
        <v>100000</v>
      </c>
      <c r="H166" s="60">
        <v>3500</v>
      </c>
      <c r="I166" s="60">
        <v>2100000</v>
      </c>
      <c r="J166" s="63">
        <v>2000</v>
      </c>
      <c r="K166" s="63">
        <v>2000</v>
      </c>
      <c r="L166" s="27">
        <v>0</v>
      </c>
      <c r="M166" s="27">
        <f t="shared" si="2"/>
        <v>1780</v>
      </c>
      <c r="N166" s="26">
        <v>1900</v>
      </c>
      <c r="O166" s="26">
        <v>2800</v>
      </c>
      <c r="P166" s="26">
        <v>1750</v>
      </c>
      <c r="Q166" s="26">
        <v>120</v>
      </c>
      <c r="R166" s="26">
        <v>2800</v>
      </c>
      <c r="S166" s="26">
        <v>20</v>
      </c>
      <c r="T166" s="26">
        <v>4029</v>
      </c>
      <c r="U166" s="26">
        <v>16</v>
      </c>
      <c r="V166" s="26">
        <v>32</v>
      </c>
      <c r="W166" s="26">
        <v>19</v>
      </c>
      <c r="X166" s="26">
        <v>19</v>
      </c>
      <c r="Y166" s="25" t="s">
        <v>73</v>
      </c>
      <c r="Z166" s="25" t="s">
        <v>335</v>
      </c>
      <c r="AA166" s="25" t="s">
        <v>73</v>
      </c>
      <c r="AB166" s="25" t="s">
        <v>78</v>
      </c>
      <c r="AC166" s="25" t="s">
        <v>73</v>
      </c>
      <c r="AD166" s="25" t="s">
        <v>336</v>
      </c>
      <c r="AE166" s="25"/>
      <c r="AF166" s="25"/>
      <c r="AG166" s="25" t="s">
        <v>75</v>
      </c>
      <c r="AH166" s="25" t="s">
        <v>80</v>
      </c>
      <c r="AI166" s="25"/>
      <c r="AJ166" s="25"/>
    </row>
    <row r="167" spans="1:36">
      <c r="A167" s="38">
        <v>165</v>
      </c>
      <c r="B167" s="38" t="s">
        <v>493</v>
      </c>
      <c r="C167" s="55">
        <v>5</v>
      </c>
      <c r="D167" s="55">
        <v>60000</v>
      </c>
      <c r="E167" s="55">
        <v>60000</v>
      </c>
      <c r="F167" s="55">
        <v>100000</v>
      </c>
      <c r="G167" s="55">
        <v>100000</v>
      </c>
      <c r="H167" s="60">
        <v>3500</v>
      </c>
      <c r="I167" s="60">
        <v>2100000</v>
      </c>
      <c r="J167" s="63">
        <v>2000</v>
      </c>
      <c r="K167" s="63">
        <v>2000</v>
      </c>
      <c r="L167" s="27">
        <v>0</v>
      </c>
      <c r="M167" s="27">
        <f t="shared" si="2"/>
        <v>1780</v>
      </c>
      <c r="N167" s="26">
        <v>1900</v>
      </c>
      <c r="O167" s="26">
        <v>2800</v>
      </c>
      <c r="P167" s="26">
        <v>1750</v>
      </c>
      <c r="Q167" s="26">
        <v>120</v>
      </c>
      <c r="R167" s="26">
        <v>2800</v>
      </c>
      <c r="S167" s="26">
        <v>20</v>
      </c>
      <c r="T167" s="26">
        <v>4016</v>
      </c>
      <c r="U167" s="26">
        <v>16</v>
      </c>
      <c r="V167" s="26">
        <v>32</v>
      </c>
      <c r="W167" s="26">
        <v>19</v>
      </c>
      <c r="X167" s="26">
        <v>19</v>
      </c>
      <c r="Y167" s="25" t="s">
        <v>73</v>
      </c>
      <c r="Z167" s="25" t="s">
        <v>335</v>
      </c>
      <c r="AA167" s="25" t="s">
        <v>73</v>
      </c>
      <c r="AB167" s="25" t="s">
        <v>78</v>
      </c>
      <c r="AC167" s="25" t="s">
        <v>73</v>
      </c>
      <c r="AD167" s="25" t="s">
        <v>336</v>
      </c>
      <c r="AE167" s="25"/>
      <c r="AF167" s="25"/>
      <c r="AG167" s="25" t="s">
        <v>75</v>
      </c>
      <c r="AH167" s="25" t="s">
        <v>80</v>
      </c>
      <c r="AI167" s="25"/>
      <c r="AJ167" s="25"/>
    </row>
    <row r="168" spans="1:36">
      <c r="A168" s="37">
        <v>166</v>
      </c>
      <c r="B168" s="37" t="s">
        <v>494</v>
      </c>
      <c r="C168" s="54">
        <v>5</v>
      </c>
      <c r="D168" s="54">
        <v>60000</v>
      </c>
      <c r="E168" s="54">
        <v>60000</v>
      </c>
      <c r="F168" s="54">
        <v>100000</v>
      </c>
      <c r="G168" s="54">
        <v>100000</v>
      </c>
      <c r="H168" s="59">
        <v>3500</v>
      </c>
      <c r="I168" s="59">
        <v>2100000</v>
      </c>
      <c r="J168" s="62">
        <v>2000</v>
      </c>
      <c r="K168" s="62">
        <v>2000</v>
      </c>
      <c r="L168" s="33">
        <v>0</v>
      </c>
      <c r="M168" s="33">
        <f t="shared" si="2"/>
        <v>1780</v>
      </c>
      <c r="N168" s="34">
        <v>1900</v>
      </c>
      <c r="O168" s="34">
        <v>2800</v>
      </c>
      <c r="P168" s="34">
        <v>1750</v>
      </c>
      <c r="Q168" s="34">
        <v>120</v>
      </c>
      <c r="R168" s="34">
        <v>2800</v>
      </c>
      <c r="S168" s="34">
        <v>20</v>
      </c>
      <c r="T168" s="34">
        <v>4007</v>
      </c>
      <c r="U168" s="34">
        <v>16</v>
      </c>
      <c r="V168" s="34">
        <v>32</v>
      </c>
      <c r="W168" s="34">
        <v>19</v>
      </c>
      <c r="X168" s="34">
        <v>19</v>
      </c>
      <c r="Y168" s="25" t="s">
        <v>73</v>
      </c>
      <c r="Z168" s="25" t="s">
        <v>335</v>
      </c>
      <c r="AA168" s="25" t="s">
        <v>73</v>
      </c>
      <c r="AB168" s="25" t="s">
        <v>78</v>
      </c>
      <c r="AC168" s="25" t="s">
        <v>73</v>
      </c>
      <c r="AD168" s="25" t="s">
        <v>336</v>
      </c>
      <c r="AE168" s="25"/>
      <c r="AF168" s="25"/>
      <c r="AG168" s="25" t="s">
        <v>75</v>
      </c>
      <c r="AH168" s="25" t="s">
        <v>80</v>
      </c>
      <c r="AI168" s="25"/>
      <c r="AJ168" s="25"/>
    </row>
    <row r="169" spans="1:36">
      <c r="A169" s="38">
        <v>167</v>
      </c>
      <c r="B169" s="38" t="s">
        <v>495</v>
      </c>
      <c r="C169" s="55">
        <v>5</v>
      </c>
      <c r="D169" s="55">
        <v>60000</v>
      </c>
      <c r="E169" s="55">
        <v>60000</v>
      </c>
      <c r="F169" s="55">
        <v>100000</v>
      </c>
      <c r="G169" s="55">
        <v>100000</v>
      </c>
      <c r="H169" s="60">
        <v>3500</v>
      </c>
      <c r="I169" s="60">
        <v>2100000</v>
      </c>
      <c r="J169" s="63">
        <v>2000</v>
      </c>
      <c r="K169" s="63">
        <v>2000</v>
      </c>
      <c r="L169" s="27">
        <v>0</v>
      </c>
      <c r="M169" s="27">
        <f t="shared" si="2"/>
        <v>1780</v>
      </c>
      <c r="N169" s="26">
        <v>1900</v>
      </c>
      <c r="O169" s="26">
        <v>2800</v>
      </c>
      <c r="P169" s="26">
        <v>1750</v>
      </c>
      <c r="Q169" s="26">
        <v>120</v>
      </c>
      <c r="R169" s="26">
        <v>2800</v>
      </c>
      <c r="S169" s="26">
        <v>20</v>
      </c>
      <c r="T169" s="26">
        <v>4002</v>
      </c>
      <c r="U169" s="26">
        <v>16</v>
      </c>
      <c r="V169" s="26">
        <v>32</v>
      </c>
      <c r="W169" s="26">
        <v>19</v>
      </c>
      <c r="X169" s="26">
        <v>19</v>
      </c>
      <c r="Y169" s="25" t="s">
        <v>73</v>
      </c>
      <c r="Z169" s="25" t="s">
        <v>335</v>
      </c>
      <c r="AA169" s="25" t="s">
        <v>73</v>
      </c>
      <c r="AB169" s="25" t="s">
        <v>78</v>
      </c>
      <c r="AC169" s="25" t="s">
        <v>73</v>
      </c>
      <c r="AD169" s="25" t="s">
        <v>336</v>
      </c>
      <c r="AE169" s="25"/>
      <c r="AF169" s="25"/>
      <c r="AG169" s="25" t="s">
        <v>75</v>
      </c>
      <c r="AH169" s="25" t="s">
        <v>80</v>
      </c>
      <c r="AI169" s="25"/>
      <c r="AJ169" s="25"/>
    </row>
    <row r="170" spans="1:36">
      <c r="A170" s="38">
        <v>168</v>
      </c>
      <c r="B170" s="38" t="s">
        <v>496</v>
      </c>
      <c r="C170" s="55">
        <v>5</v>
      </c>
      <c r="D170" s="55">
        <v>60000</v>
      </c>
      <c r="E170" s="55">
        <v>60000</v>
      </c>
      <c r="F170" s="55">
        <v>100000</v>
      </c>
      <c r="G170" s="55">
        <v>100000</v>
      </c>
      <c r="H170" s="60">
        <v>3500</v>
      </c>
      <c r="I170" s="60">
        <v>2100000</v>
      </c>
      <c r="J170" s="63">
        <v>2000</v>
      </c>
      <c r="K170" s="63">
        <v>2000</v>
      </c>
      <c r="L170" s="27">
        <v>0</v>
      </c>
      <c r="M170" s="27">
        <f t="shared" si="2"/>
        <v>1780</v>
      </c>
      <c r="N170" s="26">
        <v>1900</v>
      </c>
      <c r="O170" s="26">
        <v>2800</v>
      </c>
      <c r="P170" s="26">
        <v>1750</v>
      </c>
      <c r="Q170" s="26">
        <v>120</v>
      </c>
      <c r="R170" s="26">
        <v>2800</v>
      </c>
      <c r="S170" s="26">
        <v>20</v>
      </c>
      <c r="T170" s="26">
        <v>4000</v>
      </c>
      <c r="U170" s="26">
        <v>16</v>
      </c>
      <c r="V170" s="26">
        <v>32</v>
      </c>
      <c r="W170" s="26">
        <v>19</v>
      </c>
      <c r="X170" s="26">
        <v>19</v>
      </c>
      <c r="Y170" s="25" t="s">
        <v>73</v>
      </c>
      <c r="Z170" s="25" t="s">
        <v>335</v>
      </c>
      <c r="AA170" s="25" t="s">
        <v>73</v>
      </c>
      <c r="AB170" s="25" t="s">
        <v>78</v>
      </c>
      <c r="AC170" s="25" t="s">
        <v>73</v>
      </c>
      <c r="AD170" s="25" t="s">
        <v>336</v>
      </c>
      <c r="AE170" s="25"/>
      <c r="AF170" s="25"/>
      <c r="AG170" s="25" t="s">
        <v>75</v>
      </c>
      <c r="AH170" s="25" t="s">
        <v>80</v>
      </c>
      <c r="AI170" s="25"/>
      <c r="AJ170" s="25"/>
    </row>
    <row r="171" spans="1:36">
      <c r="A171" s="38">
        <v>169</v>
      </c>
      <c r="B171" s="38" t="s">
        <v>497</v>
      </c>
      <c r="C171" s="55">
        <v>5</v>
      </c>
      <c r="D171" s="55">
        <v>60000</v>
      </c>
      <c r="E171" s="55">
        <v>60000</v>
      </c>
      <c r="F171" s="55">
        <v>100000</v>
      </c>
      <c r="G171" s="55">
        <v>100000</v>
      </c>
      <c r="H171" s="60">
        <v>3500</v>
      </c>
      <c r="I171" s="60">
        <v>2100000</v>
      </c>
      <c r="J171" s="63">
        <v>2000</v>
      </c>
      <c r="K171" s="63">
        <v>2000</v>
      </c>
      <c r="L171" s="27">
        <v>0</v>
      </c>
      <c r="M171" s="27">
        <f t="shared" si="2"/>
        <v>1780</v>
      </c>
      <c r="N171" s="26">
        <v>1900</v>
      </c>
      <c r="O171" s="26">
        <v>2800</v>
      </c>
      <c r="P171" s="26">
        <v>1750</v>
      </c>
      <c r="Q171" s="26">
        <v>120</v>
      </c>
      <c r="R171" s="26">
        <v>2800</v>
      </c>
      <c r="S171" s="26">
        <v>20</v>
      </c>
      <c r="T171" s="26">
        <v>4000</v>
      </c>
      <c r="U171" s="26">
        <v>16</v>
      </c>
      <c r="V171" s="26">
        <v>32</v>
      </c>
      <c r="W171" s="26">
        <v>19</v>
      </c>
      <c r="X171" s="26">
        <v>19</v>
      </c>
      <c r="Y171" s="25" t="s">
        <v>73</v>
      </c>
      <c r="Z171" s="25" t="s">
        <v>335</v>
      </c>
      <c r="AA171" s="25" t="s">
        <v>73</v>
      </c>
      <c r="AB171" s="25" t="s">
        <v>78</v>
      </c>
      <c r="AC171" s="25" t="s">
        <v>73</v>
      </c>
      <c r="AD171" s="25" t="s">
        <v>336</v>
      </c>
      <c r="AE171" s="25"/>
      <c r="AF171" s="25"/>
      <c r="AG171" s="25" t="s">
        <v>75</v>
      </c>
      <c r="AH171" s="25" t="s">
        <v>80</v>
      </c>
      <c r="AI171" s="25"/>
      <c r="AJ171" s="25"/>
    </row>
    <row r="172" spans="1:36">
      <c r="A172" s="37">
        <v>170</v>
      </c>
      <c r="B172" s="37" t="s">
        <v>498</v>
      </c>
      <c r="C172" s="54">
        <v>5</v>
      </c>
      <c r="D172" s="54">
        <v>60000</v>
      </c>
      <c r="E172" s="54">
        <v>60000</v>
      </c>
      <c r="F172" s="54">
        <v>100000</v>
      </c>
      <c r="G172" s="54">
        <v>100000</v>
      </c>
      <c r="H172" s="59">
        <v>3500</v>
      </c>
      <c r="I172" s="59">
        <v>2100000</v>
      </c>
      <c r="J172" s="62">
        <v>2000</v>
      </c>
      <c r="K172" s="62">
        <v>2000</v>
      </c>
      <c r="L172" s="33">
        <v>0</v>
      </c>
      <c r="M172" s="33">
        <f t="shared" si="2"/>
        <v>1780</v>
      </c>
      <c r="N172" s="34">
        <v>1900</v>
      </c>
      <c r="O172" s="34">
        <v>2800</v>
      </c>
      <c r="P172" s="34">
        <v>1750</v>
      </c>
      <c r="Q172" s="34">
        <v>120</v>
      </c>
      <c r="R172" s="34">
        <v>2800</v>
      </c>
      <c r="S172" s="34">
        <v>20</v>
      </c>
      <c r="T172" s="34">
        <v>4000</v>
      </c>
      <c r="U172" s="34">
        <v>16</v>
      </c>
      <c r="V172" s="34">
        <v>40</v>
      </c>
      <c r="W172" s="34">
        <v>19</v>
      </c>
      <c r="X172" s="34">
        <v>19</v>
      </c>
      <c r="Y172" s="25" t="s">
        <v>73</v>
      </c>
      <c r="Z172" s="25" t="s">
        <v>335</v>
      </c>
      <c r="AA172" s="25" t="s">
        <v>73</v>
      </c>
      <c r="AB172" s="25" t="s">
        <v>78</v>
      </c>
      <c r="AC172" s="25" t="s">
        <v>73</v>
      </c>
      <c r="AD172" s="25" t="s">
        <v>336</v>
      </c>
      <c r="AE172" s="25"/>
      <c r="AF172" s="25"/>
      <c r="AG172" s="25" t="s">
        <v>75</v>
      </c>
      <c r="AH172" s="25" t="s">
        <v>80</v>
      </c>
      <c r="AI172" s="25"/>
      <c r="AJ172" s="25"/>
    </row>
    <row r="173" spans="1:36">
      <c r="A173" s="38">
        <v>171</v>
      </c>
      <c r="B173" s="38" t="s">
        <v>499</v>
      </c>
      <c r="C173" s="55">
        <v>4</v>
      </c>
      <c r="D173" s="55">
        <v>57301.204819277111</v>
      </c>
      <c r="E173" s="55">
        <v>57301.204819277111</v>
      </c>
      <c r="F173" s="55">
        <v>100000</v>
      </c>
      <c r="G173" s="55">
        <v>100000</v>
      </c>
      <c r="H173" s="60">
        <v>3500</v>
      </c>
      <c r="I173" s="60">
        <v>2100000</v>
      </c>
      <c r="J173" s="63">
        <v>2000</v>
      </c>
      <c r="K173" s="63">
        <v>2000</v>
      </c>
      <c r="L173" s="27">
        <v>0</v>
      </c>
      <c r="M173" s="27">
        <f t="shared" si="2"/>
        <v>1780</v>
      </c>
      <c r="N173" s="26">
        <v>1900</v>
      </c>
      <c r="O173" s="26">
        <v>2800</v>
      </c>
      <c r="P173" s="26">
        <v>1750</v>
      </c>
      <c r="Q173" s="26">
        <v>120</v>
      </c>
      <c r="R173" s="26">
        <v>2800</v>
      </c>
      <c r="S173" s="26">
        <v>20</v>
      </c>
      <c r="T173" s="26">
        <v>4000</v>
      </c>
      <c r="U173" s="26">
        <v>16</v>
      </c>
      <c r="V173" s="26">
        <v>40</v>
      </c>
      <c r="W173" s="26">
        <v>19</v>
      </c>
      <c r="X173" s="26">
        <v>19</v>
      </c>
      <c r="Y173" s="25" t="s">
        <v>73</v>
      </c>
      <c r="Z173" s="25" t="s">
        <v>335</v>
      </c>
      <c r="AA173" s="25" t="s">
        <v>73</v>
      </c>
      <c r="AB173" s="25" t="s">
        <v>78</v>
      </c>
      <c r="AC173" s="25" t="s">
        <v>73</v>
      </c>
      <c r="AD173" s="25" t="s">
        <v>336</v>
      </c>
      <c r="AE173" s="25"/>
      <c r="AF173" s="25"/>
      <c r="AG173" s="25" t="s">
        <v>75</v>
      </c>
      <c r="AH173" s="25" t="s">
        <v>80</v>
      </c>
      <c r="AI173" s="25"/>
      <c r="AJ173" s="25"/>
    </row>
    <row r="174" spans="1:36">
      <c r="A174" s="38">
        <v>172</v>
      </c>
      <c r="B174" s="38" t="s">
        <v>500</v>
      </c>
      <c r="C174" s="55">
        <v>4</v>
      </c>
      <c r="D174" s="55">
        <v>54602.409638554214</v>
      </c>
      <c r="E174" s="55">
        <v>54602.409638554214</v>
      </c>
      <c r="F174" s="55">
        <v>100000</v>
      </c>
      <c r="G174" s="55">
        <v>100000</v>
      </c>
      <c r="H174" s="60">
        <v>3500</v>
      </c>
      <c r="I174" s="60">
        <v>2100000</v>
      </c>
      <c r="J174" s="63">
        <v>2000</v>
      </c>
      <c r="K174" s="63">
        <v>2000</v>
      </c>
      <c r="L174" s="27">
        <v>0</v>
      </c>
      <c r="M174" s="27">
        <f t="shared" si="2"/>
        <v>1780</v>
      </c>
      <c r="N174" s="26">
        <v>1900</v>
      </c>
      <c r="O174" s="26">
        <v>2800</v>
      </c>
      <c r="P174" s="26">
        <v>1750</v>
      </c>
      <c r="Q174" s="26">
        <v>120</v>
      </c>
      <c r="R174" s="26">
        <v>2800</v>
      </c>
      <c r="S174" s="26">
        <v>20</v>
      </c>
      <c r="T174" s="26">
        <v>4000</v>
      </c>
      <c r="U174" s="26">
        <v>16</v>
      </c>
      <c r="V174" s="26">
        <v>40</v>
      </c>
      <c r="W174" s="26">
        <v>19</v>
      </c>
      <c r="X174" s="26">
        <v>19</v>
      </c>
      <c r="Y174" s="25" t="s">
        <v>73</v>
      </c>
      <c r="Z174" s="25" t="s">
        <v>335</v>
      </c>
      <c r="AA174" s="25" t="s">
        <v>73</v>
      </c>
      <c r="AB174" s="25" t="s">
        <v>78</v>
      </c>
      <c r="AC174" s="25" t="s">
        <v>73</v>
      </c>
      <c r="AD174" s="25" t="s">
        <v>336</v>
      </c>
      <c r="AE174" s="25"/>
      <c r="AF174" s="25"/>
      <c r="AG174" s="25" t="s">
        <v>75</v>
      </c>
      <c r="AH174" s="25" t="s">
        <v>80</v>
      </c>
      <c r="AI174" s="25"/>
      <c r="AJ174" s="25"/>
    </row>
    <row r="175" spans="1:36">
      <c r="A175" s="38">
        <v>173</v>
      </c>
      <c r="B175" s="38" t="s">
        <v>501</v>
      </c>
      <c r="C175" s="55">
        <v>4</v>
      </c>
      <c r="D175" s="55">
        <v>51903.614457831325</v>
      </c>
      <c r="E175" s="55">
        <v>51903.614457831325</v>
      </c>
      <c r="F175" s="55">
        <v>100000</v>
      </c>
      <c r="G175" s="55">
        <v>100000</v>
      </c>
      <c r="H175" s="60">
        <v>3500</v>
      </c>
      <c r="I175" s="60">
        <v>2100000</v>
      </c>
      <c r="J175" s="63">
        <v>2000</v>
      </c>
      <c r="K175" s="63">
        <v>2000</v>
      </c>
      <c r="L175" s="27">
        <v>0</v>
      </c>
      <c r="M175" s="27">
        <f t="shared" si="2"/>
        <v>1780</v>
      </c>
      <c r="N175" s="26">
        <v>1900</v>
      </c>
      <c r="O175" s="26">
        <v>2800</v>
      </c>
      <c r="P175" s="26">
        <v>1750</v>
      </c>
      <c r="Q175" s="26">
        <v>120</v>
      </c>
      <c r="R175" s="26">
        <v>2800</v>
      </c>
      <c r="S175" s="26">
        <v>20</v>
      </c>
      <c r="T175" s="26">
        <v>4000</v>
      </c>
      <c r="U175" s="26">
        <v>16</v>
      </c>
      <c r="V175" s="26">
        <v>40</v>
      </c>
      <c r="W175" s="26">
        <v>19</v>
      </c>
      <c r="X175" s="26">
        <v>19</v>
      </c>
      <c r="Y175" s="25" t="s">
        <v>73</v>
      </c>
      <c r="Z175" s="25" t="s">
        <v>335</v>
      </c>
      <c r="AA175" s="25" t="s">
        <v>73</v>
      </c>
      <c r="AB175" s="25" t="s">
        <v>78</v>
      </c>
      <c r="AC175" s="25" t="s">
        <v>73</v>
      </c>
      <c r="AD175" s="25" t="s">
        <v>336</v>
      </c>
      <c r="AE175" s="25"/>
      <c r="AF175" s="25"/>
      <c r="AG175" s="25" t="s">
        <v>75</v>
      </c>
      <c r="AH175" s="25" t="s">
        <v>80</v>
      </c>
      <c r="AI175" s="25"/>
      <c r="AJ175" s="25"/>
    </row>
    <row r="176" spans="1:36">
      <c r="A176" s="37">
        <v>174</v>
      </c>
      <c r="B176" s="37" t="s">
        <v>502</v>
      </c>
      <c r="C176" s="54">
        <v>4</v>
      </c>
      <c r="D176" s="54">
        <v>49204.819277108436</v>
      </c>
      <c r="E176" s="54">
        <v>49204.819277108436</v>
      </c>
      <c r="F176" s="54">
        <v>100000</v>
      </c>
      <c r="G176" s="54">
        <v>100000</v>
      </c>
      <c r="H176" s="59">
        <v>3500</v>
      </c>
      <c r="I176" s="59">
        <v>2100000</v>
      </c>
      <c r="J176" s="62">
        <v>2000</v>
      </c>
      <c r="K176" s="62">
        <v>2000</v>
      </c>
      <c r="L176" s="33">
        <v>0</v>
      </c>
      <c r="M176" s="33">
        <f t="shared" si="2"/>
        <v>1780</v>
      </c>
      <c r="N176" s="34">
        <v>1900</v>
      </c>
      <c r="O176" s="34">
        <v>2800</v>
      </c>
      <c r="P176" s="34">
        <v>1750</v>
      </c>
      <c r="Q176" s="34">
        <v>120</v>
      </c>
      <c r="R176" s="34">
        <v>2800</v>
      </c>
      <c r="S176" s="34">
        <v>20</v>
      </c>
      <c r="T176" s="34">
        <v>4000</v>
      </c>
      <c r="U176" s="34">
        <v>16</v>
      </c>
      <c r="V176" s="34">
        <v>40</v>
      </c>
      <c r="W176" s="34">
        <v>19</v>
      </c>
      <c r="X176" s="34">
        <v>19</v>
      </c>
      <c r="Y176" s="25" t="s">
        <v>73</v>
      </c>
      <c r="Z176" s="25" t="s">
        <v>335</v>
      </c>
      <c r="AA176" s="25" t="s">
        <v>73</v>
      </c>
      <c r="AB176" s="25" t="s">
        <v>78</v>
      </c>
      <c r="AC176" s="25" t="s">
        <v>73</v>
      </c>
      <c r="AD176" s="25" t="s">
        <v>336</v>
      </c>
      <c r="AE176" s="25"/>
      <c r="AF176" s="25"/>
      <c r="AG176" s="25" t="s">
        <v>75</v>
      </c>
      <c r="AH176" s="25" t="s">
        <v>80</v>
      </c>
      <c r="AI176" s="25"/>
      <c r="AJ176" s="25"/>
    </row>
    <row r="177" spans="1:36">
      <c r="A177" s="38">
        <v>175</v>
      </c>
      <c r="B177" s="38" t="s">
        <v>503</v>
      </c>
      <c r="C177" s="55">
        <v>4</v>
      </c>
      <c r="D177" s="55">
        <v>46506.024096385547</v>
      </c>
      <c r="E177" s="55">
        <v>46506.024096385547</v>
      </c>
      <c r="F177" s="55">
        <v>100000</v>
      </c>
      <c r="G177" s="55">
        <v>100000</v>
      </c>
      <c r="H177" s="60">
        <v>3500</v>
      </c>
      <c r="I177" s="60">
        <v>2100000</v>
      </c>
      <c r="J177" s="63">
        <v>2000</v>
      </c>
      <c r="K177" s="63">
        <v>2000</v>
      </c>
      <c r="L177" s="27">
        <v>0</v>
      </c>
      <c r="M177" s="27">
        <f t="shared" si="2"/>
        <v>1780</v>
      </c>
      <c r="N177" s="26">
        <v>1900</v>
      </c>
      <c r="O177" s="26">
        <v>2800</v>
      </c>
      <c r="P177" s="26">
        <v>1750</v>
      </c>
      <c r="Q177" s="26">
        <v>120</v>
      </c>
      <c r="R177" s="26">
        <v>2800</v>
      </c>
      <c r="S177" s="26">
        <v>20</v>
      </c>
      <c r="T177" s="26">
        <v>4000</v>
      </c>
      <c r="U177" s="26">
        <v>16</v>
      </c>
      <c r="V177" s="26">
        <v>40</v>
      </c>
      <c r="W177" s="26">
        <v>19</v>
      </c>
      <c r="X177" s="26">
        <v>19</v>
      </c>
      <c r="Y177" s="25" t="s">
        <v>73</v>
      </c>
      <c r="Z177" s="25" t="s">
        <v>335</v>
      </c>
      <c r="AA177" s="25" t="s">
        <v>73</v>
      </c>
      <c r="AB177" s="25" t="s">
        <v>78</v>
      </c>
      <c r="AC177" s="25" t="s">
        <v>73</v>
      </c>
      <c r="AD177" s="25" t="s">
        <v>336</v>
      </c>
      <c r="AE177" s="25"/>
      <c r="AF177" s="25"/>
      <c r="AG177" s="25" t="s">
        <v>75</v>
      </c>
      <c r="AH177" s="25" t="s">
        <v>80</v>
      </c>
      <c r="AI177" s="25"/>
      <c r="AJ177" s="25"/>
    </row>
    <row r="178" spans="1:36">
      <c r="A178" s="38">
        <v>176</v>
      </c>
      <c r="B178" s="38" t="s">
        <v>504</v>
      </c>
      <c r="C178" s="55">
        <v>4</v>
      </c>
      <c r="D178" s="55">
        <v>44077.108433734938</v>
      </c>
      <c r="E178" s="55">
        <v>44077.108433734938</v>
      </c>
      <c r="F178" s="55">
        <v>100000</v>
      </c>
      <c r="G178" s="55">
        <v>100000</v>
      </c>
      <c r="H178" s="60">
        <v>3500</v>
      </c>
      <c r="I178" s="60">
        <v>2100000</v>
      </c>
      <c r="J178" s="63">
        <v>2000</v>
      </c>
      <c r="K178" s="63">
        <v>2000</v>
      </c>
      <c r="L178" s="27">
        <v>0</v>
      </c>
      <c r="M178" s="27">
        <f t="shared" si="2"/>
        <v>1780</v>
      </c>
      <c r="N178" s="26">
        <v>1900</v>
      </c>
      <c r="O178" s="26">
        <v>2800</v>
      </c>
      <c r="P178" s="26">
        <v>1750</v>
      </c>
      <c r="Q178" s="26">
        <v>120</v>
      </c>
      <c r="R178" s="26">
        <v>2800</v>
      </c>
      <c r="S178" s="26">
        <v>20</v>
      </c>
      <c r="T178" s="26">
        <v>4000</v>
      </c>
      <c r="U178" s="26">
        <v>16</v>
      </c>
      <c r="V178" s="26">
        <v>40</v>
      </c>
      <c r="W178" s="26">
        <v>19</v>
      </c>
      <c r="X178" s="26">
        <v>19</v>
      </c>
      <c r="Y178" s="25" t="s">
        <v>73</v>
      </c>
      <c r="Z178" s="25" t="s">
        <v>335</v>
      </c>
      <c r="AA178" s="25" t="s">
        <v>73</v>
      </c>
      <c r="AB178" s="25" t="s">
        <v>78</v>
      </c>
      <c r="AC178" s="25" t="s">
        <v>73</v>
      </c>
      <c r="AD178" s="25" t="s">
        <v>336</v>
      </c>
      <c r="AE178" s="25"/>
      <c r="AF178" s="25"/>
      <c r="AG178" s="25" t="s">
        <v>75</v>
      </c>
      <c r="AH178" s="25" t="s">
        <v>80</v>
      </c>
      <c r="AI178" s="25"/>
      <c r="AJ178" s="25"/>
    </row>
    <row r="179" spans="1:36">
      <c r="A179" s="37">
        <v>177</v>
      </c>
      <c r="B179" s="37" t="s">
        <v>505</v>
      </c>
      <c r="C179" s="54">
        <v>4</v>
      </c>
      <c r="D179" s="54">
        <v>41378.313253012049</v>
      </c>
      <c r="E179" s="54">
        <v>41378.313253012049</v>
      </c>
      <c r="F179" s="54">
        <v>100000</v>
      </c>
      <c r="G179" s="54">
        <v>100000</v>
      </c>
      <c r="H179" s="59">
        <v>3500</v>
      </c>
      <c r="I179" s="59">
        <v>2100000</v>
      </c>
      <c r="J179" s="62">
        <v>2000</v>
      </c>
      <c r="K179" s="62">
        <v>2000</v>
      </c>
      <c r="L179" s="33">
        <v>0</v>
      </c>
      <c r="M179" s="33">
        <f t="shared" si="2"/>
        <v>1780</v>
      </c>
      <c r="N179" s="34">
        <v>1900</v>
      </c>
      <c r="O179" s="34">
        <v>2800</v>
      </c>
      <c r="P179" s="34">
        <v>1750</v>
      </c>
      <c r="Q179" s="34">
        <v>120</v>
      </c>
      <c r="R179" s="34">
        <v>2800</v>
      </c>
      <c r="S179" s="34">
        <v>20</v>
      </c>
      <c r="T179" s="34">
        <v>4000</v>
      </c>
      <c r="U179" s="34">
        <v>16</v>
      </c>
      <c r="V179" s="34">
        <v>40</v>
      </c>
      <c r="W179" s="34">
        <v>19</v>
      </c>
      <c r="X179" s="34">
        <v>19</v>
      </c>
      <c r="Y179" s="25" t="s">
        <v>73</v>
      </c>
      <c r="Z179" s="25" t="s">
        <v>335</v>
      </c>
      <c r="AA179" s="25" t="s">
        <v>73</v>
      </c>
      <c r="AB179" s="25" t="s">
        <v>78</v>
      </c>
      <c r="AC179" s="25" t="s">
        <v>73</v>
      </c>
      <c r="AD179" s="25" t="s">
        <v>336</v>
      </c>
      <c r="AE179" s="25"/>
      <c r="AF179" s="25"/>
      <c r="AG179" s="25" t="s">
        <v>75</v>
      </c>
      <c r="AH179" s="25" t="s">
        <v>80</v>
      </c>
      <c r="AI179" s="25"/>
      <c r="AJ179" s="25"/>
    </row>
    <row r="180" spans="1:36">
      <c r="A180" s="38">
        <v>178</v>
      </c>
      <c r="B180" s="38" t="s">
        <v>506</v>
      </c>
      <c r="C180" s="55">
        <v>4</v>
      </c>
      <c r="D180" s="55">
        <v>38679.518072289153</v>
      </c>
      <c r="E180" s="55">
        <v>38679.518072289153</v>
      </c>
      <c r="F180" s="55">
        <v>100000</v>
      </c>
      <c r="G180" s="55">
        <v>100000</v>
      </c>
      <c r="H180" s="60">
        <v>3500</v>
      </c>
      <c r="I180" s="60">
        <v>2100000</v>
      </c>
      <c r="J180" s="63">
        <v>2000</v>
      </c>
      <c r="K180" s="63">
        <v>2000</v>
      </c>
      <c r="L180" s="27">
        <v>0</v>
      </c>
      <c r="M180" s="27">
        <f t="shared" si="2"/>
        <v>1780</v>
      </c>
      <c r="N180" s="26">
        <v>1900</v>
      </c>
      <c r="O180" s="26">
        <v>2800</v>
      </c>
      <c r="P180" s="26">
        <v>1750</v>
      </c>
      <c r="Q180" s="26">
        <v>120</v>
      </c>
      <c r="R180" s="26">
        <v>2800</v>
      </c>
      <c r="S180" s="26">
        <v>20</v>
      </c>
      <c r="T180" s="26">
        <v>4000</v>
      </c>
      <c r="U180" s="26">
        <v>16</v>
      </c>
      <c r="V180" s="26">
        <v>40</v>
      </c>
      <c r="W180" s="26">
        <v>19</v>
      </c>
      <c r="X180" s="26">
        <v>19</v>
      </c>
      <c r="Y180" s="25" t="s">
        <v>73</v>
      </c>
      <c r="Z180" s="25" t="s">
        <v>335</v>
      </c>
      <c r="AA180" s="25" t="s">
        <v>73</v>
      </c>
      <c r="AB180" s="25" t="s">
        <v>78</v>
      </c>
      <c r="AC180" s="25" t="s">
        <v>73</v>
      </c>
      <c r="AD180" s="25" t="s">
        <v>336</v>
      </c>
      <c r="AE180" s="25"/>
      <c r="AF180" s="25"/>
      <c r="AG180" s="25" t="s">
        <v>75</v>
      </c>
      <c r="AH180" s="25" t="s">
        <v>80</v>
      </c>
      <c r="AI180" s="25"/>
      <c r="AJ180" s="25"/>
    </row>
    <row r="181" spans="1:36">
      <c r="A181" s="38">
        <v>179</v>
      </c>
      <c r="B181" s="38" t="s">
        <v>507</v>
      </c>
      <c r="C181" s="55">
        <v>4</v>
      </c>
      <c r="D181" s="55">
        <v>36385.542168674699</v>
      </c>
      <c r="E181" s="55">
        <v>36385.542168674699</v>
      </c>
      <c r="F181" s="55">
        <v>100000</v>
      </c>
      <c r="G181" s="55">
        <v>100000</v>
      </c>
      <c r="H181" s="60">
        <v>3500</v>
      </c>
      <c r="I181" s="60">
        <v>2100000</v>
      </c>
      <c r="J181" s="63">
        <v>2000</v>
      </c>
      <c r="K181" s="63">
        <v>2000</v>
      </c>
      <c r="L181" s="27">
        <v>0</v>
      </c>
      <c r="M181" s="27">
        <f t="shared" si="2"/>
        <v>1780</v>
      </c>
      <c r="N181" s="26">
        <v>1900</v>
      </c>
      <c r="O181" s="26">
        <v>2800</v>
      </c>
      <c r="P181" s="26">
        <v>1750</v>
      </c>
      <c r="Q181" s="26">
        <v>120</v>
      </c>
      <c r="R181" s="26">
        <v>2800</v>
      </c>
      <c r="S181" s="26">
        <v>20</v>
      </c>
      <c r="T181" s="26">
        <v>4000</v>
      </c>
      <c r="U181" s="26">
        <v>16</v>
      </c>
      <c r="V181" s="26">
        <v>40</v>
      </c>
      <c r="W181" s="26">
        <v>19</v>
      </c>
      <c r="X181" s="26">
        <v>19</v>
      </c>
      <c r="Y181" s="25" t="s">
        <v>73</v>
      </c>
      <c r="Z181" s="25" t="s">
        <v>335</v>
      </c>
      <c r="AA181" s="25" t="s">
        <v>73</v>
      </c>
      <c r="AB181" s="25" t="s">
        <v>78</v>
      </c>
      <c r="AC181" s="25" t="s">
        <v>73</v>
      </c>
      <c r="AD181" s="25" t="s">
        <v>336</v>
      </c>
      <c r="AE181" s="25"/>
      <c r="AF181" s="25"/>
      <c r="AG181" s="25" t="s">
        <v>75</v>
      </c>
      <c r="AH181" s="25" t="s">
        <v>80</v>
      </c>
      <c r="AI181" s="25"/>
      <c r="AJ181" s="25"/>
    </row>
    <row r="182" spans="1:36">
      <c r="A182" s="36">
        <v>180</v>
      </c>
      <c r="B182" s="36" t="s">
        <v>508</v>
      </c>
      <c r="C182" s="53">
        <v>3</v>
      </c>
      <c r="D182" s="53">
        <v>32000</v>
      </c>
      <c r="E182" s="53">
        <v>32000</v>
      </c>
      <c r="F182" s="53">
        <v>80000</v>
      </c>
      <c r="G182" s="53">
        <v>80000</v>
      </c>
      <c r="H182" s="58">
        <v>3500</v>
      </c>
      <c r="I182" s="58">
        <v>2100000</v>
      </c>
      <c r="J182" s="61">
        <v>2000</v>
      </c>
      <c r="K182" s="61">
        <v>2000</v>
      </c>
      <c r="L182" s="30">
        <v>0</v>
      </c>
      <c r="M182" s="30">
        <f t="shared" si="2"/>
        <v>1780</v>
      </c>
      <c r="N182" s="31">
        <v>1900</v>
      </c>
      <c r="O182" s="31">
        <v>2800</v>
      </c>
      <c r="P182" s="31">
        <v>1750</v>
      </c>
      <c r="Q182" s="31">
        <v>120</v>
      </c>
      <c r="R182" s="31">
        <v>2800</v>
      </c>
      <c r="S182" s="31">
        <v>20</v>
      </c>
      <c r="T182" s="31">
        <v>4000</v>
      </c>
      <c r="U182" s="31">
        <v>16</v>
      </c>
      <c r="V182" s="31">
        <v>40</v>
      </c>
      <c r="W182" s="31">
        <v>19</v>
      </c>
      <c r="X182" s="31">
        <v>19</v>
      </c>
      <c r="Y182" s="25" t="s">
        <v>73</v>
      </c>
      <c r="Z182" s="25" t="s">
        <v>335</v>
      </c>
      <c r="AA182" s="25" t="s">
        <v>73</v>
      </c>
      <c r="AB182" s="25" t="s">
        <v>78</v>
      </c>
      <c r="AC182" s="25" t="s">
        <v>73</v>
      </c>
      <c r="AD182" s="25" t="s">
        <v>336</v>
      </c>
      <c r="AE182" s="25"/>
      <c r="AF182" s="25"/>
      <c r="AG182" s="25" t="s">
        <v>75</v>
      </c>
      <c r="AH182" s="25" t="s">
        <v>80</v>
      </c>
      <c r="AI182" s="25"/>
      <c r="AJ182" s="25"/>
    </row>
    <row r="183" spans="1:36">
      <c r="A183" s="38">
        <v>181</v>
      </c>
      <c r="B183" s="38" t="s">
        <v>509</v>
      </c>
      <c r="C183" s="55">
        <v>2</v>
      </c>
      <c r="D183" s="55">
        <v>35924.528301886792</v>
      </c>
      <c r="E183" s="55">
        <v>35924.528301886792</v>
      </c>
      <c r="F183" s="55">
        <v>60000</v>
      </c>
      <c r="G183" s="55">
        <v>60000</v>
      </c>
      <c r="H183" s="60">
        <v>3500</v>
      </c>
      <c r="I183" s="60">
        <v>2100000</v>
      </c>
      <c r="J183" s="63">
        <v>2000</v>
      </c>
      <c r="K183" s="63">
        <v>2000</v>
      </c>
      <c r="L183" s="27">
        <v>0</v>
      </c>
      <c r="M183" s="27">
        <f t="shared" si="2"/>
        <v>1780</v>
      </c>
      <c r="N183" s="26">
        <v>1900</v>
      </c>
      <c r="O183" s="26">
        <v>2800</v>
      </c>
      <c r="P183" s="26">
        <v>1750</v>
      </c>
      <c r="Q183" s="26">
        <v>120</v>
      </c>
      <c r="R183" s="26">
        <v>2800</v>
      </c>
      <c r="S183" s="26">
        <v>20</v>
      </c>
      <c r="T183" s="26">
        <v>4000</v>
      </c>
      <c r="U183" s="26">
        <v>16</v>
      </c>
      <c r="V183" s="26">
        <v>40</v>
      </c>
      <c r="W183" s="26">
        <v>19</v>
      </c>
      <c r="X183" s="26">
        <v>19</v>
      </c>
      <c r="Y183" s="25" t="s">
        <v>73</v>
      </c>
      <c r="Z183" s="25" t="s">
        <v>335</v>
      </c>
      <c r="AA183" s="25" t="s">
        <v>73</v>
      </c>
      <c r="AB183" s="25" t="s">
        <v>78</v>
      </c>
      <c r="AC183" s="25" t="s">
        <v>73</v>
      </c>
      <c r="AD183" s="25" t="s">
        <v>336</v>
      </c>
      <c r="AE183" s="25"/>
      <c r="AF183" s="25"/>
      <c r="AG183" s="25" t="s">
        <v>75</v>
      </c>
      <c r="AH183" s="25" t="s">
        <v>80</v>
      </c>
      <c r="AI183" s="25"/>
      <c r="AJ183" s="25"/>
    </row>
    <row r="184" spans="1:36">
      <c r="A184" s="38">
        <v>182</v>
      </c>
      <c r="B184" s="38" t="s">
        <v>510</v>
      </c>
      <c r="C184" s="55">
        <v>2</v>
      </c>
      <c r="D184" s="55">
        <v>38339.622641509435</v>
      </c>
      <c r="E184" s="55">
        <v>38339.622641509435</v>
      </c>
      <c r="F184" s="55">
        <v>60000</v>
      </c>
      <c r="G184" s="55">
        <v>60000</v>
      </c>
      <c r="H184" s="60">
        <v>3500</v>
      </c>
      <c r="I184" s="60">
        <v>2100000</v>
      </c>
      <c r="J184" s="63">
        <v>2000</v>
      </c>
      <c r="K184" s="63">
        <v>2000</v>
      </c>
      <c r="L184" s="27">
        <v>0</v>
      </c>
      <c r="M184" s="27">
        <f t="shared" si="2"/>
        <v>1780</v>
      </c>
      <c r="N184" s="26">
        <v>1900</v>
      </c>
      <c r="O184" s="26">
        <v>2800</v>
      </c>
      <c r="P184" s="26">
        <v>1750</v>
      </c>
      <c r="Q184" s="26">
        <v>120</v>
      </c>
      <c r="R184" s="26">
        <v>2800</v>
      </c>
      <c r="S184" s="26">
        <v>20</v>
      </c>
      <c r="T184" s="26">
        <v>4000</v>
      </c>
      <c r="U184" s="26">
        <v>16</v>
      </c>
      <c r="V184" s="26">
        <v>40</v>
      </c>
      <c r="W184" s="26">
        <v>19</v>
      </c>
      <c r="X184" s="26">
        <v>19</v>
      </c>
      <c r="Y184" s="25" t="s">
        <v>73</v>
      </c>
      <c r="Z184" s="25" t="s">
        <v>335</v>
      </c>
      <c r="AA184" s="25" t="s">
        <v>73</v>
      </c>
      <c r="AB184" s="25" t="s">
        <v>78</v>
      </c>
      <c r="AC184" s="25" t="s">
        <v>73</v>
      </c>
      <c r="AD184" s="25" t="s">
        <v>336</v>
      </c>
      <c r="AE184" s="25"/>
      <c r="AF184" s="25"/>
      <c r="AG184" s="25" t="s">
        <v>75</v>
      </c>
      <c r="AH184" s="25" t="s">
        <v>80</v>
      </c>
      <c r="AI184" s="25"/>
      <c r="AJ184" s="25"/>
    </row>
    <row r="185" spans="1:36">
      <c r="A185" s="38">
        <v>183</v>
      </c>
      <c r="B185" s="38" t="s">
        <v>511</v>
      </c>
      <c r="C185" s="55">
        <v>2</v>
      </c>
      <c r="D185" s="55">
        <v>40754.716981132078</v>
      </c>
      <c r="E185" s="55">
        <v>40754.716981132078</v>
      </c>
      <c r="F185" s="55">
        <v>60000</v>
      </c>
      <c r="G185" s="55">
        <v>60000</v>
      </c>
      <c r="H185" s="60">
        <v>3500</v>
      </c>
      <c r="I185" s="60">
        <v>2100000</v>
      </c>
      <c r="J185" s="63">
        <v>2000</v>
      </c>
      <c r="K185" s="63">
        <v>2000</v>
      </c>
      <c r="L185" s="27">
        <v>0</v>
      </c>
      <c r="M185" s="27">
        <f t="shared" si="2"/>
        <v>1780</v>
      </c>
      <c r="N185" s="26">
        <v>1900</v>
      </c>
      <c r="O185" s="26">
        <v>2800</v>
      </c>
      <c r="P185" s="26">
        <v>1750</v>
      </c>
      <c r="Q185" s="26">
        <v>120</v>
      </c>
      <c r="R185" s="26">
        <v>2800</v>
      </c>
      <c r="S185" s="26">
        <v>20</v>
      </c>
      <c r="T185" s="26">
        <v>4000</v>
      </c>
      <c r="U185" s="26">
        <v>16</v>
      </c>
      <c r="V185" s="26">
        <v>40</v>
      </c>
      <c r="W185" s="26">
        <v>19</v>
      </c>
      <c r="X185" s="26">
        <v>19</v>
      </c>
      <c r="Y185" s="25" t="s">
        <v>73</v>
      </c>
      <c r="Z185" s="25" t="s">
        <v>335</v>
      </c>
      <c r="AA185" s="25" t="s">
        <v>73</v>
      </c>
      <c r="AB185" s="25" t="s">
        <v>78</v>
      </c>
      <c r="AC185" s="25" t="s">
        <v>73</v>
      </c>
      <c r="AD185" s="25" t="s">
        <v>336</v>
      </c>
      <c r="AE185" s="25"/>
      <c r="AF185" s="25"/>
      <c r="AG185" s="25" t="s">
        <v>75</v>
      </c>
      <c r="AH185" s="25" t="s">
        <v>80</v>
      </c>
      <c r="AI185" s="25"/>
      <c r="AJ185" s="25"/>
    </row>
    <row r="186" spans="1:36">
      <c r="A186" s="37">
        <v>184</v>
      </c>
      <c r="B186" s="37" t="s">
        <v>512</v>
      </c>
      <c r="C186" s="54">
        <v>2</v>
      </c>
      <c r="D186" s="54">
        <v>43169.811320754714</v>
      </c>
      <c r="E186" s="54">
        <v>43169.811320754714</v>
      </c>
      <c r="F186" s="54">
        <v>60000</v>
      </c>
      <c r="G186" s="54">
        <v>60000</v>
      </c>
      <c r="H186" s="59">
        <v>3500</v>
      </c>
      <c r="I186" s="59">
        <v>2100000</v>
      </c>
      <c r="J186" s="62">
        <v>2000</v>
      </c>
      <c r="K186" s="62">
        <v>2000</v>
      </c>
      <c r="L186" s="33">
        <v>0</v>
      </c>
      <c r="M186" s="33">
        <f t="shared" si="2"/>
        <v>1780</v>
      </c>
      <c r="N186" s="34">
        <v>1900</v>
      </c>
      <c r="O186" s="34">
        <v>2800</v>
      </c>
      <c r="P186" s="34">
        <v>1750</v>
      </c>
      <c r="Q186" s="34">
        <v>120</v>
      </c>
      <c r="R186" s="34">
        <v>2800</v>
      </c>
      <c r="S186" s="34">
        <v>20</v>
      </c>
      <c r="T186" s="34">
        <v>4000</v>
      </c>
      <c r="U186" s="34">
        <v>16</v>
      </c>
      <c r="V186" s="34">
        <v>40</v>
      </c>
      <c r="W186" s="34">
        <v>19</v>
      </c>
      <c r="X186" s="34">
        <v>19</v>
      </c>
      <c r="Y186" s="25" t="s">
        <v>73</v>
      </c>
      <c r="Z186" s="25" t="s">
        <v>335</v>
      </c>
      <c r="AA186" s="25" t="s">
        <v>73</v>
      </c>
      <c r="AB186" s="25" t="s">
        <v>78</v>
      </c>
      <c r="AC186" s="25" t="s">
        <v>73</v>
      </c>
      <c r="AD186" s="25" t="s">
        <v>336</v>
      </c>
      <c r="AE186" s="25"/>
      <c r="AF186" s="25"/>
      <c r="AG186" s="25" t="s">
        <v>75</v>
      </c>
      <c r="AH186" s="25" t="s">
        <v>80</v>
      </c>
      <c r="AI186" s="25"/>
      <c r="AJ186" s="25"/>
    </row>
    <row r="187" spans="1:36">
      <c r="A187" s="38">
        <v>185</v>
      </c>
      <c r="B187" s="38" t="s">
        <v>513</v>
      </c>
      <c r="C187" s="55">
        <v>2</v>
      </c>
      <c r="D187" s="55">
        <v>45584.905660377357</v>
      </c>
      <c r="E187" s="55">
        <v>45584.905660377357</v>
      </c>
      <c r="F187" s="55">
        <v>60000</v>
      </c>
      <c r="G187" s="55">
        <v>60000</v>
      </c>
      <c r="H187" s="60">
        <v>3500</v>
      </c>
      <c r="I187" s="60">
        <v>2100000</v>
      </c>
      <c r="J187" s="63">
        <v>2000</v>
      </c>
      <c r="K187" s="63">
        <v>2000</v>
      </c>
      <c r="L187" s="27">
        <v>0</v>
      </c>
      <c r="M187" s="27">
        <f t="shared" si="2"/>
        <v>1780</v>
      </c>
      <c r="N187" s="26">
        <v>1900</v>
      </c>
      <c r="O187" s="26">
        <v>2800</v>
      </c>
      <c r="P187" s="26">
        <v>1750</v>
      </c>
      <c r="Q187" s="26">
        <v>120</v>
      </c>
      <c r="R187" s="26">
        <v>2800</v>
      </c>
      <c r="S187" s="26">
        <v>20</v>
      </c>
      <c r="T187" s="26">
        <v>4000</v>
      </c>
      <c r="U187" s="26">
        <v>16</v>
      </c>
      <c r="V187" s="26">
        <v>40</v>
      </c>
      <c r="W187" s="26">
        <v>19</v>
      </c>
      <c r="X187" s="26">
        <v>19</v>
      </c>
      <c r="Y187" s="25" t="s">
        <v>73</v>
      </c>
      <c r="Z187" s="25" t="s">
        <v>335</v>
      </c>
      <c r="AA187" s="25" t="s">
        <v>73</v>
      </c>
      <c r="AB187" s="25" t="s">
        <v>78</v>
      </c>
      <c r="AC187" s="25" t="s">
        <v>73</v>
      </c>
      <c r="AD187" s="25" t="s">
        <v>336</v>
      </c>
      <c r="AE187" s="25"/>
      <c r="AF187" s="25"/>
      <c r="AG187" s="25" t="s">
        <v>75</v>
      </c>
      <c r="AH187" s="25" t="s">
        <v>80</v>
      </c>
      <c r="AI187" s="25"/>
      <c r="AJ187" s="25"/>
    </row>
    <row r="188" spans="1:36">
      <c r="A188" s="38">
        <v>186</v>
      </c>
      <c r="B188" s="38" t="s">
        <v>514</v>
      </c>
      <c r="C188" s="55">
        <v>1</v>
      </c>
      <c r="D188" s="55">
        <v>48000</v>
      </c>
      <c r="E188" s="55">
        <v>48000</v>
      </c>
      <c r="F188" s="55">
        <v>60000</v>
      </c>
      <c r="G188" s="55">
        <v>60000</v>
      </c>
      <c r="H188" s="60">
        <v>3500</v>
      </c>
      <c r="I188" s="60">
        <v>2100000</v>
      </c>
      <c r="J188" s="63">
        <v>2000</v>
      </c>
      <c r="K188" s="63">
        <v>2000</v>
      </c>
      <c r="L188" s="27">
        <v>0</v>
      </c>
      <c r="M188" s="27">
        <f t="shared" si="2"/>
        <v>1780</v>
      </c>
      <c r="N188" s="26">
        <v>1900</v>
      </c>
      <c r="O188" s="26">
        <v>2800</v>
      </c>
      <c r="P188" s="26">
        <v>1750</v>
      </c>
      <c r="Q188" s="26">
        <v>120</v>
      </c>
      <c r="R188" s="26">
        <v>2800</v>
      </c>
      <c r="S188" s="26">
        <v>20</v>
      </c>
      <c r="T188" s="26">
        <v>4000</v>
      </c>
      <c r="U188" s="26">
        <v>16</v>
      </c>
      <c r="V188" s="26">
        <v>40</v>
      </c>
      <c r="W188" s="26">
        <v>19</v>
      </c>
      <c r="X188" s="26">
        <v>19</v>
      </c>
      <c r="Y188" s="25" t="s">
        <v>73</v>
      </c>
      <c r="Z188" s="25" t="s">
        <v>335</v>
      </c>
      <c r="AA188" s="25" t="s">
        <v>73</v>
      </c>
      <c r="AB188" s="25" t="s">
        <v>78</v>
      </c>
      <c r="AC188" s="25" t="s">
        <v>73</v>
      </c>
      <c r="AD188" s="25" t="s">
        <v>336</v>
      </c>
      <c r="AE188" s="25"/>
      <c r="AF188" s="25"/>
      <c r="AG188" s="25" t="s">
        <v>75</v>
      </c>
      <c r="AH188" s="25" t="s">
        <v>80</v>
      </c>
      <c r="AI188" s="25"/>
      <c r="AJ188" s="25"/>
    </row>
    <row r="189" spans="1:36">
      <c r="A189" s="38">
        <v>187</v>
      </c>
      <c r="B189" s="38" t="s">
        <v>515</v>
      </c>
      <c r="C189" s="55">
        <v>1</v>
      </c>
      <c r="D189" s="55">
        <v>48000</v>
      </c>
      <c r="E189" s="55">
        <v>48000</v>
      </c>
      <c r="F189" s="55">
        <v>60000</v>
      </c>
      <c r="G189" s="55">
        <v>60000</v>
      </c>
      <c r="H189" s="60">
        <v>3500</v>
      </c>
      <c r="I189" s="60">
        <v>2100000</v>
      </c>
      <c r="J189" s="63">
        <v>2000</v>
      </c>
      <c r="K189" s="63">
        <v>2000</v>
      </c>
      <c r="L189" s="27">
        <v>0</v>
      </c>
      <c r="M189" s="27">
        <f t="shared" ref="M189:M252" si="3">N189-Q189</f>
        <v>1780</v>
      </c>
      <c r="N189" s="26">
        <v>1900</v>
      </c>
      <c r="O189" s="26">
        <v>2800</v>
      </c>
      <c r="P189" s="26">
        <v>1750</v>
      </c>
      <c r="Q189" s="26">
        <v>120</v>
      </c>
      <c r="R189" s="26">
        <v>2800</v>
      </c>
      <c r="S189" s="26">
        <v>20</v>
      </c>
      <c r="T189" s="26">
        <v>4000</v>
      </c>
      <c r="U189" s="26">
        <v>16</v>
      </c>
      <c r="V189" s="26">
        <v>40</v>
      </c>
      <c r="W189" s="26">
        <v>19</v>
      </c>
      <c r="X189" s="26">
        <v>19</v>
      </c>
      <c r="Y189" s="25" t="s">
        <v>73</v>
      </c>
      <c r="Z189" s="25" t="s">
        <v>335</v>
      </c>
      <c r="AA189" s="25" t="s">
        <v>73</v>
      </c>
      <c r="AB189" s="25" t="s">
        <v>78</v>
      </c>
      <c r="AC189" s="25" t="s">
        <v>73</v>
      </c>
      <c r="AD189" s="25" t="s">
        <v>336</v>
      </c>
      <c r="AE189" s="25"/>
      <c r="AF189" s="25"/>
      <c r="AG189" s="25" t="s">
        <v>75</v>
      </c>
      <c r="AH189" s="25" t="s">
        <v>80</v>
      </c>
      <c r="AI189" s="25"/>
      <c r="AJ189" s="25"/>
    </row>
    <row r="190" spans="1:36">
      <c r="A190" s="37">
        <v>188</v>
      </c>
      <c r="B190" s="37" t="s">
        <v>516</v>
      </c>
      <c r="C190" s="54">
        <v>1</v>
      </c>
      <c r="D190" s="54">
        <v>48000</v>
      </c>
      <c r="E190" s="54">
        <v>48000</v>
      </c>
      <c r="F190" s="54">
        <v>60000</v>
      </c>
      <c r="G190" s="54">
        <v>60000</v>
      </c>
      <c r="H190" s="59">
        <v>3500</v>
      </c>
      <c r="I190" s="59">
        <v>2100000</v>
      </c>
      <c r="J190" s="62">
        <v>2000</v>
      </c>
      <c r="K190" s="62">
        <v>2000</v>
      </c>
      <c r="L190" s="33">
        <v>0</v>
      </c>
      <c r="M190" s="33">
        <f t="shared" si="3"/>
        <v>1780</v>
      </c>
      <c r="N190" s="34">
        <v>1900</v>
      </c>
      <c r="O190" s="34">
        <v>2800</v>
      </c>
      <c r="P190" s="34">
        <v>1750</v>
      </c>
      <c r="Q190" s="34">
        <v>120</v>
      </c>
      <c r="R190" s="34">
        <v>2800</v>
      </c>
      <c r="S190" s="34">
        <v>20</v>
      </c>
      <c r="T190" s="34">
        <v>4000</v>
      </c>
      <c r="U190" s="34">
        <v>16</v>
      </c>
      <c r="V190" s="34">
        <v>40</v>
      </c>
      <c r="W190" s="34">
        <v>19</v>
      </c>
      <c r="X190" s="34">
        <v>19</v>
      </c>
      <c r="Y190" s="25" t="s">
        <v>73</v>
      </c>
      <c r="Z190" s="25" t="s">
        <v>335</v>
      </c>
      <c r="AA190" s="25" t="s">
        <v>73</v>
      </c>
      <c r="AB190" s="25" t="s">
        <v>78</v>
      </c>
      <c r="AC190" s="25" t="s">
        <v>73</v>
      </c>
      <c r="AD190" s="25" t="s">
        <v>336</v>
      </c>
      <c r="AE190" s="25"/>
      <c r="AF190" s="25"/>
      <c r="AG190" s="25" t="s">
        <v>75</v>
      </c>
      <c r="AH190" s="25" t="s">
        <v>80</v>
      </c>
      <c r="AI190" s="25"/>
      <c r="AJ190" s="25"/>
    </row>
    <row r="191" spans="1:36">
      <c r="A191" s="38">
        <v>189</v>
      </c>
      <c r="B191" s="38" t="s">
        <v>517</v>
      </c>
      <c r="C191" s="55">
        <v>1</v>
      </c>
      <c r="D191" s="55">
        <v>48000</v>
      </c>
      <c r="E191" s="55">
        <v>48000</v>
      </c>
      <c r="F191" s="55">
        <v>60000</v>
      </c>
      <c r="G191" s="55">
        <v>60000</v>
      </c>
      <c r="H191" s="60">
        <v>3500</v>
      </c>
      <c r="I191" s="60">
        <v>2100000</v>
      </c>
      <c r="J191" s="63">
        <v>2000</v>
      </c>
      <c r="K191" s="63">
        <v>2000</v>
      </c>
      <c r="L191" s="27">
        <v>0</v>
      </c>
      <c r="M191" s="27">
        <f t="shared" si="3"/>
        <v>1780</v>
      </c>
      <c r="N191" s="26">
        <v>1900</v>
      </c>
      <c r="O191" s="26">
        <v>2800</v>
      </c>
      <c r="P191" s="26">
        <v>1750</v>
      </c>
      <c r="Q191" s="26">
        <v>120</v>
      </c>
      <c r="R191" s="26">
        <v>2800</v>
      </c>
      <c r="S191" s="26">
        <v>20</v>
      </c>
      <c r="T191" s="26">
        <v>4000</v>
      </c>
      <c r="U191" s="26">
        <v>16</v>
      </c>
      <c r="V191" s="26">
        <v>32</v>
      </c>
      <c r="W191" s="26">
        <v>19</v>
      </c>
      <c r="X191" s="26">
        <v>19</v>
      </c>
      <c r="Y191" s="25" t="s">
        <v>73</v>
      </c>
      <c r="Z191" s="25" t="s">
        <v>335</v>
      </c>
      <c r="AA191" s="25" t="s">
        <v>73</v>
      </c>
      <c r="AB191" s="25" t="s">
        <v>78</v>
      </c>
      <c r="AC191" s="25" t="s">
        <v>73</v>
      </c>
      <c r="AD191" s="25" t="s">
        <v>336</v>
      </c>
      <c r="AE191" s="25"/>
      <c r="AF191" s="25"/>
      <c r="AG191" s="25" t="s">
        <v>75</v>
      </c>
      <c r="AH191" s="25" t="s">
        <v>80</v>
      </c>
      <c r="AI191" s="25"/>
      <c r="AJ191" s="25"/>
    </row>
    <row r="192" spans="1:36">
      <c r="A192" s="38">
        <v>190</v>
      </c>
      <c r="B192" s="38" t="s">
        <v>518</v>
      </c>
      <c r="C192" s="55">
        <v>1</v>
      </c>
      <c r="D192" s="55">
        <v>48000</v>
      </c>
      <c r="E192" s="55">
        <v>48000</v>
      </c>
      <c r="F192" s="55">
        <v>60000</v>
      </c>
      <c r="G192" s="55">
        <v>60000</v>
      </c>
      <c r="H192" s="60">
        <v>3500</v>
      </c>
      <c r="I192" s="60">
        <v>2100000</v>
      </c>
      <c r="J192" s="63">
        <v>2000</v>
      </c>
      <c r="K192" s="63">
        <v>2000</v>
      </c>
      <c r="L192" s="27">
        <v>0</v>
      </c>
      <c r="M192" s="27">
        <f t="shared" si="3"/>
        <v>1780</v>
      </c>
      <c r="N192" s="26">
        <v>1900</v>
      </c>
      <c r="O192" s="26">
        <v>2800</v>
      </c>
      <c r="P192" s="26">
        <v>1750</v>
      </c>
      <c r="Q192" s="26">
        <v>120</v>
      </c>
      <c r="R192" s="26">
        <v>2800</v>
      </c>
      <c r="S192" s="26">
        <v>20</v>
      </c>
      <c r="T192" s="26">
        <v>4000</v>
      </c>
      <c r="U192" s="26">
        <v>16</v>
      </c>
      <c r="V192" s="26">
        <v>32</v>
      </c>
      <c r="W192" s="26">
        <v>19</v>
      </c>
      <c r="X192" s="26">
        <v>19</v>
      </c>
      <c r="Y192" s="25" t="s">
        <v>73</v>
      </c>
      <c r="Z192" s="25" t="s">
        <v>335</v>
      </c>
      <c r="AA192" s="25" t="s">
        <v>73</v>
      </c>
      <c r="AB192" s="25" t="s">
        <v>78</v>
      </c>
      <c r="AC192" s="25" t="s">
        <v>73</v>
      </c>
      <c r="AD192" s="25" t="s">
        <v>336</v>
      </c>
      <c r="AE192" s="25"/>
      <c r="AF192" s="25"/>
      <c r="AG192" s="25" t="s">
        <v>75</v>
      </c>
      <c r="AH192" s="25" t="s">
        <v>80</v>
      </c>
      <c r="AI192" s="25"/>
      <c r="AJ192" s="25"/>
    </row>
    <row r="193" spans="1:36">
      <c r="A193" s="38">
        <v>191</v>
      </c>
      <c r="B193" s="38" t="s">
        <v>519</v>
      </c>
      <c r="C193" s="55">
        <v>1</v>
      </c>
      <c r="D193" s="55">
        <v>48000</v>
      </c>
      <c r="E193" s="55">
        <v>48000</v>
      </c>
      <c r="F193" s="55">
        <v>60000</v>
      </c>
      <c r="G193" s="55">
        <v>60000</v>
      </c>
      <c r="H193" s="60">
        <v>3500</v>
      </c>
      <c r="I193" s="60">
        <v>2100000</v>
      </c>
      <c r="J193" s="63">
        <v>2000</v>
      </c>
      <c r="K193" s="63">
        <v>2000</v>
      </c>
      <c r="L193" s="27">
        <v>0</v>
      </c>
      <c r="M193" s="27">
        <f t="shared" si="3"/>
        <v>1780</v>
      </c>
      <c r="N193" s="26">
        <v>1900</v>
      </c>
      <c r="O193" s="26">
        <v>2800</v>
      </c>
      <c r="P193" s="26">
        <v>1750</v>
      </c>
      <c r="Q193" s="26">
        <v>120</v>
      </c>
      <c r="R193" s="26">
        <v>2800</v>
      </c>
      <c r="S193" s="26">
        <v>20</v>
      </c>
      <c r="T193" s="26">
        <v>4000</v>
      </c>
      <c r="U193" s="26">
        <v>16</v>
      </c>
      <c r="V193" s="26">
        <v>32</v>
      </c>
      <c r="W193" s="26">
        <v>19</v>
      </c>
      <c r="X193" s="26">
        <v>19</v>
      </c>
      <c r="Y193" s="25" t="s">
        <v>73</v>
      </c>
      <c r="Z193" s="25" t="s">
        <v>335</v>
      </c>
      <c r="AA193" s="25" t="s">
        <v>73</v>
      </c>
      <c r="AB193" s="25" t="s">
        <v>78</v>
      </c>
      <c r="AC193" s="25" t="s">
        <v>73</v>
      </c>
      <c r="AD193" s="25" t="s">
        <v>336</v>
      </c>
      <c r="AE193" s="25"/>
      <c r="AF193" s="25"/>
      <c r="AG193" s="25" t="s">
        <v>75</v>
      </c>
      <c r="AH193" s="25" t="s">
        <v>80</v>
      </c>
      <c r="AI193" s="25"/>
      <c r="AJ193" s="25"/>
    </row>
    <row r="194" spans="1:36">
      <c r="A194" s="37">
        <v>192</v>
      </c>
      <c r="B194" s="37" t="s">
        <v>520</v>
      </c>
      <c r="C194" s="54">
        <v>1</v>
      </c>
      <c r="D194" s="54">
        <v>48000</v>
      </c>
      <c r="E194" s="54">
        <v>48000</v>
      </c>
      <c r="F194" s="54">
        <v>60000</v>
      </c>
      <c r="G194" s="54">
        <v>60000</v>
      </c>
      <c r="H194" s="59">
        <v>3500</v>
      </c>
      <c r="I194" s="59">
        <v>2100000</v>
      </c>
      <c r="J194" s="62">
        <v>2000</v>
      </c>
      <c r="K194" s="62">
        <v>2000</v>
      </c>
      <c r="L194" s="33">
        <v>0</v>
      </c>
      <c r="M194" s="33">
        <f t="shared" si="3"/>
        <v>1780</v>
      </c>
      <c r="N194" s="34">
        <v>1900</v>
      </c>
      <c r="O194" s="34">
        <v>2800</v>
      </c>
      <c r="P194" s="34">
        <v>1750</v>
      </c>
      <c r="Q194" s="34">
        <v>120</v>
      </c>
      <c r="R194" s="34">
        <v>2800</v>
      </c>
      <c r="S194" s="34">
        <v>20</v>
      </c>
      <c r="T194" s="34">
        <v>4000</v>
      </c>
      <c r="U194" s="34">
        <v>16</v>
      </c>
      <c r="V194" s="34">
        <v>32</v>
      </c>
      <c r="W194" s="34">
        <v>19</v>
      </c>
      <c r="X194" s="34">
        <v>19</v>
      </c>
      <c r="Y194" s="25" t="s">
        <v>73</v>
      </c>
      <c r="Z194" s="25" t="s">
        <v>335</v>
      </c>
      <c r="AA194" s="25" t="s">
        <v>73</v>
      </c>
      <c r="AB194" s="25" t="s">
        <v>78</v>
      </c>
      <c r="AC194" s="25" t="s">
        <v>73</v>
      </c>
      <c r="AD194" s="25" t="s">
        <v>336</v>
      </c>
      <c r="AE194" s="25"/>
      <c r="AF194" s="25"/>
      <c r="AG194" s="25" t="s">
        <v>75</v>
      </c>
      <c r="AH194" s="25" t="s">
        <v>80</v>
      </c>
      <c r="AI194" s="25"/>
      <c r="AJ194" s="25"/>
    </row>
    <row r="195" spans="1:36">
      <c r="A195" s="38">
        <v>193</v>
      </c>
      <c r="B195" s="38" t="s">
        <v>521</v>
      </c>
      <c r="C195" s="55">
        <v>1</v>
      </c>
      <c r="D195" s="55">
        <v>48000</v>
      </c>
      <c r="E195" s="55">
        <v>48000</v>
      </c>
      <c r="F195" s="55">
        <v>60000</v>
      </c>
      <c r="G195" s="55">
        <v>60000</v>
      </c>
      <c r="H195" s="60">
        <v>3500</v>
      </c>
      <c r="I195" s="60">
        <v>2100000</v>
      </c>
      <c r="J195" s="63">
        <v>2000</v>
      </c>
      <c r="K195" s="63">
        <v>2000</v>
      </c>
      <c r="L195" s="27">
        <v>0</v>
      </c>
      <c r="M195" s="27">
        <f t="shared" si="3"/>
        <v>1780</v>
      </c>
      <c r="N195" s="26">
        <v>1900</v>
      </c>
      <c r="O195" s="26">
        <v>2800</v>
      </c>
      <c r="P195" s="26">
        <v>1750</v>
      </c>
      <c r="Q195" s="26">
        <v>120</v>
      </c>
      <c r="R195" s="26">
        <v>2800</v>
      </c>
      <c r="S195" s="26">
        <v>20</v>
      </c>
      <c r="T195" s="26">
        <v>4000</v>
      </c>
      <c r="U195" s="26">
        <v>16</v>
      </c>
      <c r="V195" s="26">
        <v>32</v>
      </c>
      <c r="W195" s="26">
        <v>19</v>
      </c>
      <c r="X195" s="26">
        <v>19</v>
      </c>
      <c r="Y195" s="25" t="s">
        <v>73</v>
      </c>
      <c r="Z195" s="25" t="s">
        <v>335</v>
      </c>
      <c r="AA195" s="25" t="s">
        <v>73</v>
      </c>
      <c r="AB195" s="25" t="s">
        <v>78</v>
      </c>
      <c r="AC195" s="25" t="s">
        <v>73</v>
      </c>
      <c r="AD195" s="25" t="s">
        <v>336</v>
      </c>
      <c r="AE195" s="25"/>
      <c r="AF195" s="25"/>
      <c r="AG195" s="25" t="s">
        <v>75</v>
      </c>
      <c r="AH195" s="25" t="s">
        <v>80</v>
      </c>
      <c r="AI195" s="25"/>
      <c r="AJ195" s="25"/>
    </row>
    <row r="196" spans="1:36">
      <c r="A196" s="38">
        <v>194</v>
      </c>
      <c r="B196" s="38" t="s">
        <v>522</v>
      </c>
      <c r="C196" s="55">
        <v>1</v>
      </c>
      <c r="D196" s="55">
        <v>48000</v>
      </c>
      <c r="E196" s="55">
        <v>48000</v>
      </c>
      <c r="F196" s="55">
        <v>60000</v>
      </c>
      <c r="G196" s="55">
        <v>60000</v>
      </c>
      <c r="H196" s="60">
        <v>3500</v>
      </c>
      <c r="I196" s="60">
        <v>2100000</v>
      </c>
      <c r="J196" s="63">
        <v>2000</v>
      </c>
      <c r="K196" s="63">
        <v>2000</v>
      </c>
      <c r="L196" s="27">
        <v>0</v>
      </c>
      <c r="M196" s="27">
        <f t="shared" si="3"/>
        <v>1780</v>
      </c>
      <c r="N196" s="26">
        <v>1900</v>
      </c>
      <c r="O196" s="26">
        <v>2800</v>
      </c>
      <c r="P196" s="26">
        <v>1750</v>
      </c>
      <c r="Q196" s="26">
        <v>120</v>
      </c>
      <c r="R196" s="26">
        <v>2800</v>
      </c>
      <c r="S196" s="26">
        <v>20</v>
      </c>
      <c r="T196" s="26">
        <v>4000</v>
      </c>
      <c r="U196" s="26">
        <v>16</v>
      </c>
      <c r="V196" s="26">
        <v>32</v>
      </c>
      <c r="W196" s="26">
        <v>19</v>
      </c>
      <c r="X196" s="26">
        <v>19</v>
      </c>
      <c r="Y196" s="25" t="s">
        <v>73</v>
      </c>
      <c r="Z196" s="25" t="s">
        <v>335</v>
      </c>
      <c r="AA196" s="25" t="s">
        <v>73</v>
      </c>
      <c r="AB196" s="25" t="s">
        <v>78</v>
      </c>
      <c r="AC196" s="25" t="s">
        <v>73</v>
      </c>
      <c r="AD196" s="25" t="s">
        <v>336</v>
      </c>
      <c r="AE196" s="25"/>
      <c r="AF196" s="25"/>
      <c r="AG196" s="25" t="s">
        <v>75</v>
      </c>
      <c r="AH196" s="25" t="s">
        <v>80</v>
      </c>
      <c r="AI196" s="25"/>
      <c r="AJ196" s="25"/>
    </row>
    <row r="197" spans="1:36">
      <c r="A197" s="38">
        <v>195</v>
      </c>
      <c r="B197" s="38" t="s">
        <v>523</v>
      </c>
      <c r="C197" s="55">
        <v>1</v>
      </c>
      <c r="D197" s="55">
        <v>48000</v>
      </c>
      <c r="E197" s="55">
        <v>48000</v>
      </c>
      <c r="F197" s="55">
        <v>60000</v>
      </c>
      <c r="G197" s="55">
        <v>60000</v>
      </c>
      <c r="H197" s="60">
        <v>3500</v>
      </c>
      <c r="I197" s="60">
        <v>2100000</v>
      </c>
      <c r="J197" s="63">
        <v>2000</v>
      </c>
      <c r="K197" s="63">
        <v>2000</v>
      </c>
      <c r="L197" s="27">
        <v>0</v>
      </c>
      <c r="M197" s="27">
        <f t="shared" si="3"/>
        <v>1780</v>
      </c>
      <c r="N197" s="26">
        <v>1900</v>
      </c>
      <c r="O197" s="26">
        <v>2800</v>
      </c>
      <c r="P197" s="26">
        <v>1750</v>
      </c>
      <c r="Q197" s="26">
        <v>120</v>
      </c>
      <c r="R197" s="26">
        <v>2800</v>
      </c>
      <c r="S197" s="26">
        <v>20</v>
      </c>
      <c r="T197" s="26">
        <v>4000</v>
      </c>
      <c r="U197" s="26">
        <v>16</v>
      </c>
      <c r="V197" s="26">
        <v>32</v>
      </c>
      <c r="W197" s="26">
        <v>19</v>
      </c>
      <c r="X197" s="26">
        <v>19</v>
      </c>
      <c r="Y197" s="25" t="s">
        <v>73</v>
      </c>
      <c r="Z197" s="25" t="s">
        <v>335</v>
      </c>
      <c r="AA197" s="25" t="s">
        <v>73</v>
      </c>
      <c r="AB197" s="25" t="s">
        <v>78</v>
      </c>
      <c r="AC197" s="25" t="s">
        <v>73</v>
      </c>
      <c r="AD197" s="25" t="s">
        <v>336</v>
      </c>
      <c r="AE197" s="25"/>
      <c r="AF197" s="25"/>
      <c r="AG197" s="25" t="s">
        <v>75</v>
      </c>
      <c r="AH197" s="25" t="s">
        <v>80</v>
      </c>
      <c r="AI197" s="25"/>
      <c r="AJ197" s="25"/>
    </row>
    <row r="198" spans="1:36">
      <c r="A198" s="37">
        <v>196</v>
      </c>
      <c r="B198" s="37" t="s">
        <v>524</v>
      </c>
      <c r="C198" s="54">
        <v>1</v>
      </c>
      <c r="D198" s="54">
        <v>48000</v>
      </c>
      <c r="E198" s="54">
        <v>48000</v>
      </c>
      <c r="F198" s="54">
        <v>60000</v>
      </c>
      <c r="G198" s="54">
        <v>60000</v>
      </c>
      <c r="H198" s="59">
        <v>3500</v>
      </c>
      <c r="I198" s="59">
        <v>2100000</v>
      </c>
      <c r="J198" s="62">
        <v>2000</v>
      </c>
      <c r="K198" s="62">
        <v>2000</v>
      </c>
      <c r="L198" s="33">
        <v>0</v>
      </c>
      <c r="M198" s="33">
        <f t="shared" si="3"/>
        <v>1780</v>
      </c>
      <c r="N198" s="34">
        <v>1900</v>
      </c>
      <c r="O198" s="34">
        <v>2800</v>
      </c>
      <c r="P198" s="34">
        <v>1750</v>
      </c>
      <c r="Q198" s="34">
        <v>120</v>
      </c>
      <c r="R198" s="34">
        <v>2800</v>
      </c>
      <c r="S198" s="34">
        <v>20</v>
      </c>
      <c r="T198" s="34">
        <v>4000</v>
      </c>
      <c r="U198" s="34">
        <v>16</v>
      </c>
      <c r="V198" s="34">
        <v>32</v>
      </c>
      <c r="W198" s="34">
        <v>19</v>
      </c>
      <c r="X198" s="34">
        <v>19</v>
      </c>
      <c r="Y198" s="25" t="s">
        <v>73</v>
      </c>
      <c r="Z198" s="25" t="s">
        <v>335</v>
      </c>
      <c r="AA198" s="25" t="s">
        <v>73</v>
      </c>
      <c r="AB198" s="25" t="s">
        <v>78</v>
      </c>
      <c r="AC198" s="25" t="s">
        <v>73</v>
      </c>
      <c r="AD198" s="25" t="s">
        <v>336</v>
      </c>
      <c r="AE198" s="25"/>
      <c r="AF198" s="25"/>
      <c r="AG198" s="25" t="s">
        <v>75</v>
      </c>
      <c r="AH198" s="25" t="s">
        <v>80</v>
      </c>
      <c r="AI198" s="25"/>
      <c r="AJ198" s="25"/>
    </row>
    <row r="199" spans="1:36">
      <c r="A199" s="38">
        <v>197</v>
      </c>
      <c r="B199" s="38" t="s">
        <v>525</v>
      </c>
      <c r="C199" s="55">
        <v>1</v>
      </c>
      <c r="D199" s="55">
        <v>48000</v>
      </c>
      <c r="E199" s="55">
        <v>48000</v>
      </c>
      <c r="F199" s="55">
        <v>60000</v>
      </c>
      <c r="G199" s="55">
        <v>60000</v>
      </c>
      <c r="H199" s="60">
        <v>3500</v>
      </c>
      <c r="I199" s="60">
        <v>2100000</v>
      </c>
      <c r="J199" s="63">
        <v>2000</v>
      </c>
      <c r="K199" s="63">
        <v>2000</v>
      </c>
      <c r="L199" s="27">
        <v>0</v>
      </c>
      <c r="M199" s="27">
        <f t="shared" si="3"/>
        <v>1780</v>
      </c>
      <c r="N199" s="26">
        <v>1900</v>
      </c>
      <c r="O199" s="26">
        <v>2800</v>
      </c>
      <c r="P199" s="26">
        <v>1750</v>
      </c>
      <c r="Q199" s="26">
        <v>120</v>
      </c>
      <c r="R199" s="26">
        <v>2800</v>
      </c>
      <c r="S199" s="26">
        <v>20</v>
      </c>
      <c r="T199" s="26">
        <v>4000</v>
      </c>
      <c r="U199" s="26">
        <v>16</v>
      </c>
      <c r="V199" s="26">
        <v>28</v>
      </c>
      <c r="W199" s="26">
        <v>19</v>
      </c>
      <c r="X199" s="26">
        <v>19</v>
      </c>
      <c r="Y199" s="25" t="s">
        <v>73</v>
      </c>
      <c r="Z199" s="25" t="s">
        <v>335</v>
      </c>
      <c r="AA199" s="25" t="s">
        <v>73</v>
      </c>
      <c r="AB199" s="25" t="s">
        <v>78</v>
      </c>
      <c r="AC199" s="25" t="s">
        <v>73</v>
      </c>
      <c r="AD199" s="25" t="s">
        <v>336</v>
      </c>
      <c r="AE199" s="25"/>
      <c r="AF199" s="25"/>
      <c r="AG199" s="25" t="s">
        <v>75</v>
      </c>
      <c r="AH199" s="25" t="s">
        <v>80</v>
      </c>
      <c r="AI199" s="25"/>
      <c r="AJ199" s="25"/>
    </row>
    <row r="200" spans="1:36">
      <c r="A200" s="38">
        <v>198</v>
      </c>
      <c r="B200" s="38" t="s">
        <v>526</v>
      </c>
      <c r="C200" s="55">
        <v>1</v>
      </c>
      <c r="D200" s="55">
        <v>48000</v>
      </c>
      <c r="E200" s="55">
        <v>48000</v>
      </c>
      <c r="F200" s="55">
        <v>60000</v>
      </c>
      <c r="G200" s="55">
        <v>60000</v>
      </c>
      <c r="H200" s="60">
        <v>3500</v>
      </c>
      <c r="I200" s="60">
        <v>2100000</v>
      </c>
      <c r="J200" s="63">
        <v>2000</v>
      </c>
      <c r="K200" s="63">
        <v>2000</v>
      </c>
      <c r="L200" s="27">
        <v>0</v>
      </c>
      <c r="M200" s="27">
        <f t="shared" si="3"/>
        <v>1780</v>
      </c>
      <c r="N200" s="26">
        <v>1900</v>
      </c>
      <c r="O200" s="26">
        <v>2800</v>
      </c>
      <c r="P200" s="26">
        <v>1750</v>
      </c>
      <c r="Q200" s="26">
        <v>120</v>
      </c>
      <c r="R200" s="26">
        <v>2800</v>
      </c>
      <c r="S200" s="26">
        <v>20</v>
      </c>
      <c r="T200" s="26">
        <v>4000</v>
      </c>
      <c r="U200" s="26">
        <v>16</v>
      </c>
      <c r="V200" s="26">
        <v>28</v>
      </c>
      <c r="W200" s="26">
        <v>19</v>
      </c>
      <c r="X200" s="26">
        <v>19</v>
      </c>
      <c r="Y200" s="25" t="s">
        <v>73</v>
      </c>
      <c r="Z200" s="25" t="s">
        <v>335</v>
      </c>
      <c r="AA200" s="25" t="s">
        <v>73</v>
      </c>
      <c r="AB200" s="25" t="s">
        <v>78</v>
      </c>
      <c r="AC200" s="25" t="s">
        <v>73</v>
      </c>
      <c r="AD200" s="25" t="s">
        <v>336</v>
      </c>
      <c r="AE200" s="25"/>
      <c r="AF200" s="25"/>
      <c r="AG200" s="25" t="s">
        <v>75</v>
      </c>
      <c r="AH200" s="25" t="s">
        <v>80</v>
      </c>
      <c r="AI200" s="25"/>
      <c r="AJ200" s="25"/>
    </row>
    <row r="201" spans="1:36">
      <c r="A201" s="38">
        <v>199</v>
      </c>
      <c r="B201" s="38" t="s">
        <v>527</v>
      </c>
      <c r="C201" s="55">
        <v>1</v>
      </c>
      <c r="D201" s="55">
        <v>48000</v>
      </c>
      <c r="E201" s="55">
        <v>48000</v>
      </c>
      <c r="F201" s="55">
        <v>60000</v>
      </c>
      <c r="G201" s="55">
        <v>60000</v>
      </c>
      <c r="H201" s="60">
        <v>3500</v>
      </c>
      <c r="I201" s="60">
        <v>2100000</v>
      </c>
      <c r="J201" s="63">
        <v>2000</v>
      </c>
      <c r="K201" s="63">
        <v>2000</v>
      </c>
      <c r="L201" s="27">
        <v>0</v>
      </c>
      <c r="M201" s="27">
        <f t="shared" si="3"/>
        <v>1780</v>
      </c>
      <c r="N201" s="26">
        <v>1900</v>
      </c>
      <c r="O201" s="26">
        <v>2800</v>
      </c>
      <c r="P201" s="26">
        <v>1750</v>
      </c>
      <c r="Q201" s="26">
        <v>120</v>
      </c>
      <c r="R201" s="26">
        <v>2800</v>
      </c>
      <c r="S201" s="26">
        <v>20</v>
      </c>
      <c r="T201" s="26">
        <v>4000</v>
      </c>
      <c r="U201" s="26">
        <v>16</v>
      </c>
      <c r="V201" s="26">
        <v>28</v>
      </c>
      <c r="W201" s="26">
        <v>19</v>
      </c>
      <c r="X201" s="26">
        <v>19</v>
      </c>
      <c r="Y201" s="25" t="s">
        <v>73</v>
      </c>
      <c r="Z201" s="25" t="s">
        <v>335</v>
      </c>
      <c r="AA201" s="25" t="s">
        <v>73</v>
      </c>
      <c r="AB201" s="25" t="s">
        <v>78</v>
      </c>
      <c r="AC201" s="25" t="s">
        <v>73</v>
      </c>
      <c r="AD201" s="25" t="s">
        <v>336</v>
      </c>
      <c r="AE201" s="25"/>
      <c r="AF201" s="25"/>
      <c r="AG201" s="25" t="s">
        <v>75</v>
      </c>
      <c r="AH201" s="25" t="s">
        <v>80</v>
      </c>
      <c r="AI201" s="25"/>
      <c r="AJ201" s="25"/>
    </row>
    <row r="202" spans="1:36">
      <c r="A202" s="37">
        <v>200</v>
      </c>
      <c r="B202" s="37" t="s">
        <v>528</v>
      </c>
      <c r="C202" s="54">
        <v>1</v>
      </c>
      <c r="D202" s="54">
        <v>48000</v>
      </c>
      <c r="E202" s="54">
        <v>48000</v>
      </c>
      <c r="F202" s="54">
        <v>60000</v>
      </c>
      <c r="G202" s="54">
        <v>60000</v>
      </c>
      <c r="H202" s="59">
        <v>3500</v>
      </c>
      <c r="I202" s="59">
        <v>2100000</v>
      </c>
      <c r="J202" s="62">
        <v>2000</v>
      </c>
      <c r="K202" s="62">
        <v>2000</v>
      </c>
      <c r="L202" s="33">
        <v>0</v>
      </c>
      <c r="M202" s="33">
        <f t="shared" si="3"/>
        <v>1780</v>
      </c>
      <c r="N202" s="34">
        <v>1900</v>
      </c>
      <c r="O202" s="34">
        <v>2800</v>
      </c>
      <c r="P202" s="34">
        <v>1750</v>
      </c>
      <c r="Q202" s="34">
        <v>120</v>
      </c>
      <c r="R202" s="34">
        <v>2800</v>
      </c>
      <c r="S202" s="34">
        <v>20</v>
      </c>
      <c r="T202" s="34">
        <v>4000</v>
      </c>
      <c r="U202" s="34">
        <v>16</v>
      </c>
      <c r="V202" s="34">
        <v>28</v>
      </c>
      <c r="W202" s="34">
        <v>19</v>
      </c>
      <c r="X202" s="34">
        <v>19</v>
      </c>
      <c r="Y202" s="25" t="s">
        <v>73</v>
      </c>
      <c r="Z202" s="25" t="s">
        <v>335</v>
      </c>
      <c r="AA202" s="25" t="s">
        <v>73</v>
      </c>
      <c r="AB202" s="25" t="s">
        <v>78</v>
      </c>
      <c r="AC202" s="25" t="s">
        <v>73</v>
      </c>
      <c r="AD202" s="25" t="s">
        <v>336</v>
      </c>
      <c r="AE202" s="25"/>
      <c r="AF202" s="25"/>
      <c r="AG202" s="25" t="s">
        <v>75</v>
      </c>
      <c r="AH202" s="25" t="s">
        <v>80</v>
      </c>
      <c r="AI202" s="25"/>
      <c r="AJ202" s="25"/>
    </row>
    <row r="203" spans="1:36">
      <c r="A203" s="38">
        <v>201</v>
      </c>
      <c r="B203" s="38" t="s">
        <v>529</v>
      </c>
      <c r="C203" s="55">
        <v>1</v>
      </c>
      <c r="D203" s="55">
        <v>48000</v>
      </c>
      <c r="E203" s="55">
        <v>48000</v>
      </c>
      <c r="F203" s="55">
        <v>60000</v>
      </c>
      <c r="G203" s="55">
        <v>60000</v>
      </c>
      <c r="H203" s="60">
        <v>3500</v>
      </c>
      <c r="I203" s="60">
        <v>2100000</v>
      </c>
      <c r="J203" s="63">
        <v>2000</v>
      </c>
      <c r="K203" s="63">
        <v>2000</v>
      </c>
      <c r="L203" s="27">
        <v>0</v>
      </c>
      <c r="M203" s="27">
        <f t="shared" si="3"/>
        <v>1780</v>
      </c>
      <c r="N203" s="26">
        <v>1900</v>
      </c>
      <c r="O203" s="26">
        <v>2800</v>
      </c>
      <c r="P203" s="26">
        <v>1750</v>
      </c>
      <c r="Q203" s="26">
        <v>120</v>
      </c>
      <c r="R203" s="26">
        <v>2800</v>
      </c>
      <c r="S203" s="26">
        <v>20</v>
      </c>
      <c r="T203" s="26">
        <v>4000</v>
      </c>
      <c r="U203" s="26">
        <v>16</v>
      </c>
      <c r="V203" s="26">
        <v>28</v>
      </c>
      <c r="W203" s="26">
        <v>19</v>
      </c>
      <c r="X203" s="26">
        <v>19</v>
      </c>
      <c r="Y203" s="25" t="s">
        <v>73</v>
      </c>
      <c r="Z203" s="25" t="s">
        <v>335</v>
      </c>
      <c r="AA203" s="25" t="s">
        <v>73</v>
      </c>
      <c r="AB203" s="25" t="s">
        <v>78</v>
      </c>
      <c r="AC203" s="25" t="s">
        <v>73</v>
      </c>
      <c r="AD203" s="25" t="s">
        <v>336</v>
      </c>
      <c r="AE203" s="25"/>
      <c r="AF203" s="25"/>
      <c r="AG203" s="25" t="s">
        <v>75</v>
      </c>
      <c r="AH203" s="25" t="s">
        <v>80</v>
      </c>
      <c r="AI203" s="25"/>
      <c r="AJ203" s="25"/>
    </row>
    <row r="204" spans="1:36">
      <c r="A204" s="38">
        <v>202</v>
      </c>
      <c r="B204" s="38" t="s">
        <v>530</v>
      </c>
      <c r="C204" s="55">
        <v>1</v>
      </c>
      <c r="D204" s="55">
        <v>48000</v>
      </c>
      <c r="E204" s="55">
        <v>48000</v>
      </c>
      <c r="F204" s="55">
        <v>60000</v>
      </c>
      <c r="G204" s="55">
        <v>60000</v>
      </c>
      <c r="H204" s="60">
        <v>3500</v>
      </c>
      <c r="I204" s="60">
        <v>2100000</v>
      </c>
      <c r="J204" s="63">
        <v>2000</v>
      </c>
      <c r="K204" s="63">
        <v>2000</v>
      </c>
      <c r="L204" s="27">
        <v>0</v>
      </c>
      <c r="M204" s="27">
        <f t="shared" si="3"/>
        <v>1780</v>
      </c>
      <c r="N204" s="26">
        <v>1900</v>
      </c>
      <c r="O204" s="26">
        <v>2800</v>
      </c>
      <c r="P204" s="26">
        <v>1750</v>
      </c>
      <c r="Q204" s="26">
        <v>120</v>
      </c>
      <c r="R204" s="26">
        <v>2800</v>
      </c>
      <c r="S204" s="26">
        <v>20</v>
      </c>
      <c r="T204" s="26">
        <v>4000</v>
      </c>
      <c r="U204" s="26">
        <v>16</v>
      </c>
      <c r="V204" s="26">
        <v>28</v>
      </c>
      <c r="W204" s="26">
        <v>19</v>
      </c>
      <c r="X204" s="26">
        <v>19</v>
      </c>
      <c r="Y204" s="25" t="s">
        <v>73</v>
      </c>
      <c r="Z204" s="25" t="s">
        <v>335</v>
      </c>
      <c r="AA204" s="25" t="s">
        <v>73</v>
      </c>
      <c r="AB204" s="25" t="s">
        <v>78</v>
      </c>
      <c r="AC204" s="25" t="s">
        <v>73</v>
      </c>
      <c r="AD204" s="25" t="s">
        <v>336</v>
      </c>
      <c r="AE204" s="25"/>
      <c r="AF204" s="25"/>
      <c r="AG204" s="25" t="s">
        <v>75</v>
      </c>
      <c r="AH204" s="25" t="s">
        <v>80</v>
      </c>
      <c r="AI204" s="25"/>
      <c r="AJ204" s="25"/>
    </row>
    <row r="205" spans="1:36">
      <c r="A205" s="38">
        <v>203</v>
      </c>
      <c r="B205" s="38" t="s">
        <v>531</v>
      </c>
      <c r="C205" s="55">
        <v>1</v>
      </c>
      <c r="D205" s="55">
        <v>48000</v>
      </c>
      <c r="E205" s="55">
        <v>48000</v>
      </c>
      <c r="F205" s="55">
        <v>60000</v>
      </c>
      <c r="G205" s="55">
        <v>60000</v>
      </c>
      <c r="H205" s="60">
        <v>3500</v>
      </c>
      <c r="I205" s="60">
        <v>2100000</v>
      </c>
      <c r="J205" s="63">
        <v>2000</v>
      </c>
      <c r="K205" s="63">
        <v>2000</v>
      </c>
      <c r="L205" s="27">
        <v>0</v>
      </c>
      <c r="M205" s="27">
        <f t="shared" si="3"/>
        <v>1780</v>
      </c>
      <c r="N205" s="26">
        <v>1900</v>
      </c>
      <c r="O205" s="26">
        <v>2800</v>
      </c>
      <c r="P205" s="26">
        <v>1750</v>
      </c>
      <c r="Q205" s="26">
        <v>120</v>
      </c>
      <c r="R205" s="26">
        <v>2800</v>
      </c>
      <c r="S205" s="26">
        <v>20</v>
      </c>
      <c r="T205" s="26">
        <v>4000</v>
      </c>
      <c r="U205" s="26">
        <v>16</v>
      </c>
      <c r="V205" s="26">
        <v>28</v>
      </c>
      <c r="W205" s="26">
        <v>19</v>
      </c>
      <c r="X205" s="26">
        <v>19</v>
      </c>
      <c r="Y205" s="25" t="s">
        <v>73</v>
      </c>
      <c r="Z205" s="25" t="s">
        <v>335</v>
      </c>
      <c r="AA205" s="25" t="s">
        <v>73</v>
      </c>
      <c r="AB205" s="25" t="s">
        <v>78</v>
      </c>
      <c r="AC205" s="25" t="s">
        <v>73</v>
      </c>
      <c r="AD205" s="25" t="s">
        <v>336</v>
      </c>
      <c r="AE205" s="25"/>
      <c r="AF205" s="25"/>
      <c r="AG205" s="25" t="s">
        <v>75</v>
      </c>
      <c r="AH205" s="25" t="s">
        <v>80</v>
      </c>
      <c r="AI205" s="25"/>
      <c r="AJ205" s="25"/>
    </row>
    <row r="206" spans="1:36">
      <c r="A206" s="37">
        <v>204</v>
      </c>
      <c r="B206" s="37" t="s">
        <v>532</v>
      </c>
      <c r="C206" s="54">
        <v>1</v>
      </c>
      <c r="D206" s="54">
        <v>48000</v>
      </c>
      <c r="E206" s="54">
        <v>48000</v>
      </c>
      <c r="F206" s="54">
        <v>60000</v>
      </c>
      <c r="G206" s="54">
        <v>60000</v>
      </c>
      <c r="H206" s="59">
        <v>3500</v>
      </c>
      <c r="I206" s="59">
        <v>2100000</v>
      </c>
      <c r="J206" s="62">
        <v>2000</v>
      </c>
      <c r="K206" s="62">
        <v>2000</v>
      </c>
      <c r="L206" s="33">
        <v>0</v>
      </c>
      <c r="M206" s="33">
        <f t="shared" si="3"/>
        <v>1780</v>
      </c>
      <c r="N206" s="34">
        <v>1900</v>
      </c>
      <c r="O206" s="34">
        <v>2800</v>
      </c>
      <c r="P206" s="34">
        <v>1750</v>
      </c>
      <c r="Q206" s="34">
        <v>120</v>
      </c>
      <c r="R206" s="34">
        <v>2800</v>
      </c>
      <c r="S206" s="34">
        <v>20</v>
      </c>
      <c r="T206" s="34">
        <v>4000</v>
      </c>
      <c r="U206" s="34">
        <v>16</v>
      </c>
      <c r="V206" s="34">
        <v>28</v>
      </c>
      <c r="W206" s="34">
        <v>19</v>
      </c>
      <c r="X206" s="34">
        <v>19</v>
      </c>
      <c r="Y206" s="25" t="s">
        <v>73</v>
      </c>
      <c r="Z206" s="25" t="s">
        <v>335</v>
      </c>
      <c r="AA206" s="25" t="s">
        <v>73</v>
      </c>
      <c r="AB206" s="25" t="s">
        <v>78</v>
      </c>
      <c r="AC206" s="25" t="s">
        <v>73</v>
      </c>
      <c r="AD206" s="25" t="s">
        <v>336</v>
      </c>
      <c r="AE206" s="25"/>
      <c r="AF206" s="25"/>
      <c r="AG206" s="25" t="s">
        <v>75</v>
      </c>
      <c r="AH206" s="25" t="s">
        <v>80</v>
      </c>
      <c r="AI206" s="25"/>
      <c r="AJ206" s="25"/>
    </row>
    <row r="207" spans="1:36">
      <c r="A207" s="38">
        <v>205</v>
      </c>
      <c r="B207" s="38" t="s">
        <v>533</v>
      </c>
      <c r="C207" s="55">
        <v>1</v>
      </c>
      <c r="D207" s="55">
        <v>48000</v>
      </c>
      <c r="E207" s="55">
        <v>48000</v>
      </c>
      <c r="F207" s="55">
        <v>60000</v>
      </c>
      <c r="G207" s="55">
        <v>60000</v>
      </c>
      <c r="H207" s="60">
        <v>3500</v>
      </c>
      <c r="I207" s="60">
        <v>2100000</v>
      </c>
      <c r="J207" s="63">
        <v>2000</v>
      </c>
      <c r="K207" s="63">
        <v>2000</v>
      </c>
      <c r="L207" s="27">
        <v>0</v>
      </c>
      <c r="M207" s="27">
        <f t="shared" si="3"/>
        <v>1780</v>
      </c>
      <c r="N207" s="26">
        <v>1900</v>
      </c>
      <c r="O207" s="26">
        <v>2800</v>
      </c>
      <c r="P207" s="26">
        <v>1750</v>
      </c>
      <c r="Q207" s="26">
        <v>120</v>
      </c>
      <c r="R207" s="26">
        <v>2800</v>
      </c>
      <c r="S207" s="26">
        <v>20</v>
      </c>
      <c r="T207" s="26">
        <v>3708</v>
      </c>
      <c r="U207" s="26">
        <v>16</v>
      </c>
      <c r="V207" s="26">
        <v>28</v>
      </c>
      <c r="W207" s="26">
        <v>19</v>
      </c>
      <c r="X207" s="26">
        <v>19</v>
      </c>
      <c r="Y207" s="25" t="s">
        <v>73</v>
      </c>
      <c r="Z207" s="25" t="s">
        <v>335</v>
      </c>
      <c r="AA207" s="25" t="s">
        <v>73</v>
      </c>
      <c r="AB207" s="25" t="s">
        <v>78</v>
      </c>
      <c r="AC207" s="25" t="s">
        <v>73</v>
      </c>
      <c r="AD207" s="25" t="s">
        <v>336</v>
      </c>
      <c r="AE207" s="25"/>
      <c r="AF207" s="25"/>
      <c r="AG207" s="25" t="s">
        <v>75</v>
      </c>
      <c r="AH207" s="25" t="s">
        <v>80</v>
      </c>
      <c r="AI207" s="25"/>
      <c r="AJ207" s="25"/>
    </row>
    <row r="208" spans="1:36">
      <c r="A208" s="38">
        <v>206</v>
      </c>
      <c r="B208" s="38" t="s">
        <v>534</v>
      </c>
      <c r="C208" s="55">
        <v>1</v>
      </c>
      <c r="D208" s="55">
        <v>48000</v>
      </c>
      <c r="E208" s="55">
        <v>48000</v>
      </c>
      <c r="F208" s="55">
        <v>60000</v>
      </c>
      <c r="G208" s="55">
        <v>60000</v>
      </c>
      <c r="H208" s="60">
        <v>3500</v>
      </c>
      <c r="I208" s="60">
        <v>2100000</v>
      </c>
      <c r="J208" s="63">
        <v>2000</v>
      </c>
      <c r="K208" s="63">
        <v>2000</v>
      </c>
      <c r="L208" s="27">
        <v>0</v>
      </c>
      <c r="M208" s="27">
        <f t="shared" si="3"/>
        <v>1780</v>
      </c>
      <c r="N208" s="26">
        <v>1900</v>
      </c>
      <c r="O208" s="26">
        <v>2800</v>
      </c>
      <c r="P208" s="26">
        <v>1750</v>
      </c>
      <c r="Q208" s="26">
        <v>120</v>
      </c>
      <c r="R208" s="26">
        <v>2800</v>
      </c>
      <c r="S208" s="26">
        <v>20</v>
      </c>
      <c r="T208" s="26">
        <v>3400</v>
      </c>
      <c r="U208" s="26">
        <v>16</v>
      </c>
      <c r="V208" s="26">
        <v>28</v>
      </c>
      <c r="W208" s="26">
        <v>19</v>
      </c>
      <c r="X208" s="26">
        <v>19</v>
      </c>
      <c r="Y208" s="25" t="s">
        <v>73</v>
      </c>
      <c r="Z208" s="25" t="s">
        <v>335</v>
      </c>
      <c r="AA208" s="25" t="s">
        <v>73</v>
      </c>
      <c r="AB208" s="25" t="s">
        <v>78</v>
      </c>
      <c r="AC208" s="25" t="s">
        <v>73</v>
      </c>
      <c r="AD208" s="25" t="s">
        <v>336</v>
      </c>
      <c r="AE208" s="25"/>
      <c r="AF208" s="25"/>
      <c r="AG208" s="25" t="s">
        <v>75</v>
      </c>
      <c r="AH208" s="25" t="s">
        <v>80</v>
      </c>
      <c r="AI208" s="25"/>
      <c r="AJ208" s="25"/>
    </row>
    <row r="209" spans="1:36">
      <c r="A209" s="38">
        <v>207</v>
      </c>
      <c r="B209" s="38" t="s">
        <v>535</v>
      </c>
      <c r="C209" s="55">
        <v>1</v>
      </c>
      <c r="D209" s="55">
        <v>48000</v>
      </c>
      <c r="E209" s="55">
        <v>48000</v>
      </c>
      <c r="F209" s="55">
        <v>60000</v>
      </c>
      <c r="G209" s="55">
        <v>60000</v>
      </c>
      <c r="H209" s="60">
        <v>3500</v>
      </c>
      <c r="I209" s="60">
        <v>2100000</v>
      </c>
      <c r="J209" s="63">
        <v>2000</v>
      </c>
      <c r="K209" s="63">
        <v>2000</v>
      </c>
      <c r="L209" s="27">
        <v>0</v>
      </c>
      <c r="M209" s="27">
        <f t="shared" si="3"/>
        <v>1780</v>
      </c>
      <c r="N209" s="26">
        <v>1900</v>
      </c>
      <c r="O209" s="26">
        <v>2800</v>
      </c>
      <c r="P209" s="26">
        <v>1750</v>
      </c>
      <c r="Q209" s="26">
        <v>120</v>
      </c>
      <c r="R209" s="26">
        <v>2800</v>
      </c>
      <c r="S209" s="26">
        <v>20</v>
      </c>
      <c r="T209" s="26">
        <v>3092</v>
      </c>
      <c r="U209" s="26">
        <v>16</v>
      </c>
      <c r="V209" s="26">
        <v>28</v>
      </c>
      <c r="W209" s="26">
        <v>19</v>
      </c>
      <c r="X209" s="26">
        <v>19</v>
      </c>
      <c r="Y209" s="25" t="s">
        <v>73</v>
      </c>
      <c r="Z209" s="25" t="s">
        <v>335</v>
      </c>
      <c r="AA209" s="25" t="s">
        <v>73</v>
      </c>
      <c r="AB209" s="25" t="s">
        <v>78</v>
      </c>
      <c r="AC209" s="25" t="s">
        <v>73</v>
      </c>
      <c r="AD209" s="25" t="s">
        <v>336</v>
      </c>
      <c r="AE209" s="25"/>
      <c r="AF209" s="25"/>
      <c r="AG209" s="25" t="s">
        <v>75</v>
      </c>
      <c r="AH209" s="25" t="s">
        <v>80</v>
      </c>
      <c r="AI209" s="25"/>
      <c r="AJ209" s="25"/>
    </row>
    <row r="210" spans="1:36">
      <c r="A210" s="37">
        <v>208</v>
      </c>
      <c r="B210" s="37" t="s">
        <v>536</v>
      </c>
      <c r="C210" s="54">
        <v>1</v>
      </c>
      <c r="D210" s="54">
        <v>48000</v>
      </c>
      <c r="E210" s="54">
        <v>48000</v>
      </c>
      <c r="F210" s="54">
        <v>60000</v>
      </c>
      <c r="G210" s="54">
        <v>60000</v>
      </c>
      <c r="H210" s="59">
        <v>3500</v>
      </c>
      <c r="I210" s="59">
        <v>2100000</v>
      </c>
      <c r="J210" s="62">
        <v>2000</v>
      </c>
      <c r="K210" s="62">
        <v>2000</v>
      </c>
      <c r="L210" s="33">
        <v>0</v>
      </c>
      <c r="M210" s="33">
        <f t="shared" si="3"/>
        <v>1780</v>
      </c>
      <c r="N210" s="34">
        <v>1900</v>
      </c>
      <c r="O210" s="34">
        <v>2800</v>
      </c>
      <c r="P210" s="34">
        <v>1750</v>
      </c>
      <c r="Q210" s="34">
        <v>120</v>
      </c>
      <c r="R210" s="34">
        <v>2800</v>
      </c>
      <c r="S210" s="34">
        <v>20</v>
      </c>
      <c r="T210" s="34">
        <v>2800</v>
      </c>
      <c r="U210" s="34">
        <v>16</v>
      </c>
      <c r="V210" s="34">
        <v>28</v>
      </c>
      <c r="W210" s="34">
        <v>19</v>
      </c>
      <c r="X210" s="34">
        <v>19</v>
      </c>
      <c r="Y210" s="25" t="s">
        <v>73</v>
      </c>
      <c r="Z210" s="25" t="s">
        <v>335</v>
      </c>
      <c r="AA210" s="25" t="s">
        <v>73</v>
      </c>
      <c r="AB210" s="25" t="s">
        <v>78</v>
      </c>
      <c r="AC210" s="25" t="s">
        <v>73</v>
      </c>
      <c r="AD210" s="25" t="s">
        <v>336</v>
      </c>
      <c r="AE210" s="25"/>
      <c r="AF210" s="25"/>
      <c r="AG210" s="25" t="s">
        <v>75</v>
      </c>
      <c r="AH210" s="25" t="s">
        <v>80</v>
      </c>
      <c r="AI210" s="25"/>
      <c r="AJ210" s="25"/>
    </row>
    <row r="211" spans="1:36">
      <c r="A211" s="36">
        <v>209</v>
      </c>
      <c r="B211" s="36" t="s">
        <v>537</v>
      </c>
      <c r="C211" s="53">
        <v>1</v>
      </c>
      <c r="D211" s="53">
        <v>48000</v>
      </c>
      <c r="E211" s="53">
        <v>48000</v>
      </c>
      <c r="F211" s="53">
        <v>60000</v>
      </c>
      <c r="G211" s="53">
        <v>60000</v>
      </c>
      <c r="H211" s="60">
        <v>3500</v>
      </c>
      <c r="I211" s="60">
        <v>2100000</v>
      </c>
      <c r="J211" s="63">
        <v>2000</v>
      </c>
      <c r="K211" s="63">
        <v>2000</v>
      </c>
      <c r="L211" s="27">
        <v>0</v>
      </c>
      <c r="M211" s="27">
        <f t="shared" si="3"/>
        <v>1780</v>
      </c>
      <c r="N211" s="31">
        <v>1900</v>
      </c>
      <c r="O211" s="31">
        <v>2800</v>
      </c>
      <c r="P211" s="31">
        <v>1750</v>
      </c>
      <c r="Q211" s="31">
        <v>120</v>
      </c>
      <c r="R211" s="31">
        <v>2800</v>
      </c>
      <c r="S211" s="31">
        <v>20</v>
      </c>
      <c r="T211" s="31">
        <v>2800</v>
      </c>
      <c r="U211" s="31">
        <v>16</v>
      </c>
      <c r="V211" s="31">
        <v>28</v>
      </c>
      <c r="W211" s="31">
        <v>19</v>
      </c>
      <c r="X211" s="31">
        <v>19</v>
      </c>
      <c r="Y211" s="25" t="s">
        <v>73</v>
      </c>
      <c r="Z211" s="25" t="s">
        <v>335</v>
      </c>
      <c r="AA211" s="25" t="s">
        <v>73</v>
      </c>
      <c r="AB211" s="25" t="s">
        <v>78</v>
      </c>
      <c r="AC211" s="25" t="s">
        <v>73</v>
      </c>
      <c r="AD211" s="25" t="s">
        <v>336</v>
      </c>
      <c r="AE211" s="25"/>
      <c r="AF211" s="25"/>
      <c r="AG211" s="25" t="s">
        <v>75</v>
      </c>
      <c r="AH211" s="25" t="s">
        <v>80</v>
      </c>
      <c r="AI211" s="25"/>
      <c r="AJ211" s="25"/>
    </row>
    <row r="212" spans="1:36">
      <c r="A212" s="37">
        <v>210</v>
      </c>
      <c r="B212" s="50" t="s">
        <v>546</v>
      </c>
      <c r="C212" s="53">
        <v>1</v>
      </c>
      <c r="D212" s="53">
        <v>84000</v>
      </c>
      <c r="E212" s="53">
        <v>84000</v>
      </c>
      <c r="F212" s="53">
        <v>105000</v>
      </c>
      <c r="G212" s="53">
        <v>105000</v>
      </c>
      <c r="H212" s="60">
        <v>3500</v>
      </c>
      <c r="I212" s="60">
        <v>2100000</v>
      </c>
      <c r="J212" s="63">
        <v>2000</v>
      </c>
      <c r="K212" s="63">
        <v>2000</v>
      </c>
      <c r="L212" s="27">
        <v>0</v>
      </c>
      <c r="M212" s="27">
        <f t="shared" si="3"/>
        <v>1730</v>
      </c>
      <c r="N212" s="31">
        <v>1750</v>
      </c>
      <c r="O212" s="31">
        <v>2800</v>
      </c>
      <c r="P212" s="31">
        <v>2884.5</v>
      </c>
      <c r="Q212" s="31">
        <v>20</v>
      </c>
      <c r="R212" s="31">
        <v>2800</v>
      </c>
      <c r="S212" s="31">
        <v>120</v>
      </c>
      <c r="T212" s="31">
        <v>2800</v>
      </c>
      <c r="U212" s="31">
        <v>16</v>
      </c>
      <c r="V212" s="31">
        <v>28</v>
      </c>
      <c r="W212" s="31">
        <v>25</v>
      </c>
      <c r="X212" s="31">
        <v>25</v>
      </c>
      <c r="Y212" s="32" t="s">
        <v>73</v>
      </c>
      <c r="Z212" s="32" t="s">
        <v>755</v>
      </c>
      <c r="AA212" s="32" t="s">
        <v>73</v>
      </c>
      <c r="AB212" s="32" t="s">
        <v>79</v>
      </c>
      <c r="AC212" s="32" t="s">
        <v>73</v>
      </c>
      <c r="AD212" s="32" t="s">
        <v>756</v>
      </c>
      <c r="AE212" s="25"/>
      <c r="AF212" s="25"/>
      <c r="AG212" s="25" t="s">
        <v>75</v>
      </c>
      <c r="AH212" s="25" t="s">
        <v>80</v>
      </c>
      <c r="AI212" s="25"/>
      <c r="AJ212" s="25"/>
    </row>
    <row r="213" spans="1:36">
      <c r="A213" s="36">
        <v>211</v>
      </c>
      <c r="B213" s="51" t="s">
        <v>547</v>
      </c>
      <c r="C213" s="54">
        <v>1</v>
      </c>
      <c r="D213" s="54">
        <v>84000</v>
      </c>
      <c r="E213" s="54">
        <v>84000</v>
      </c>
      <c r="F213" s="54">
        <v>105000</v>
      </c>
      <c r="G213" s="54">
        <v>105000</v>
      </c>
      <c r="H213" s="59">
        <v>3500</v>
      </c>
      <c r="I213" s="59">
        <v>2100000</v>
      </c>
      <c r="J213" s="62">
        <v>2000</v>
      </c>
      <c r="K213" s="62">
        <v>2000</v>
      </c>
      <c r="L213" s="33">
        <v>0</v>
      </c>
      <c r="M213" s="33">
        <f t="shared" si="3"/>
        <v>1730</v>
      </c>
      <c r="N213" s="34">
        <v>1750</v>
      </c>
      <c r="O213" s="34">
        <v>2800</v>
      </c>
      <c r="P213" s="34">
        <v>2862</v>
      </c>
      <c r="Q213" s="34">
        <v>20</v>
      </c>
      <c r="R213" s="34">
        <v>2800</v>
      </c>
      <c r="S213" s="34">
        <v>120</v>
      </c>
      <c r="T213" s="34">
        <v>2800</v>
      </c>
      <c r="U213" s="34">
        <v>16</v>
      </c>
      <c r="V213" s="34">
        <v>28</v>
      </c>
      <c r="W213" s="34">
        <v>25</v>
      </c>
      <c r="X213" s="34">
        <v>25</v>
      </c>
      <c r="Y213" s="35" t="s">
        <v>73</v>
      </c>
      <c r="Z213" s="35" t="s">
        <v>755</v>
      </c>
      <c r="AA213" s="35" t="s">
        <v>73</v>
      </c>
      <c r="AB213" s="35" t="s">
        <v>79</v>
      </c>
      <c r="AC213" s="35" t="s">
        <v>73</v>
      </c>
      <c r="AD213" s="35" t="s">
        <v>757</v>
      </c>
      <c r="AE213" s="25"/>
      <c r="AF213" s="25"/>
      <c r="AG213" s="25" t="s">
        <v>75</v>
      </c>
      <c r="AH213" s="25" t="s">
        <v>80</v>
      </c>
      <c r="AI213" s="25"/>
      <c r="AJ213" s="25"/>
    </row>
    <row r="214" spans="1:36">
      <c r="A214" s="37">
        <v>212</v>
      </c>
      <c r="B214" s="52" t="s">
        <v>548</v>
      </c>
      <c r="C214" s="55">
        <v>1</v>
      </c>
      <c r="D214" s="55">
        <v>84000</v>
      </c>
      <c r="E214" s="55">
        <v>84000</v>
      </c>
      <c r="F214" s="55">
        <v>105000</v>
      </c>
      <c r="G214" s="55">
        <v>105000</v>
      </c>
      <c r="H214" s="60">
        <v>3500</v>
      </c>
      <c r="I214" s="60">
        <v>2100000</v>
      </c>
      <c r="J214" s="63">
        <v>2000</v>
      </c>
      <c r="K214" s="63">
        <v>2000</v>
      </c>
      <c r="L214" s="27">
        <v>0</v>
      </c>
      <c r="M214" s="27">
        <f t="shared" si="3"/>
        <v>1730</v>
      </c>
      <c r="N214" s="26">
        <v>1750</v>
      </c>
      <c r="O214" s="26">
        <v>2800</v>
      </c>
      <c r="P214" s="26">
        <v>2827</v>
      </c>
      <c r="Q214" s="26">
        <v>20</v>
      </c>
      <c r="R214" s="26">
        <v>2800</v>
      </c>
      <c r="S214" s="26">
        <v>120</v>
      </c>
      <c r="T214" s="26">
        <v>3192</v>
      </c>
      <c r="U214" s="26">
        <v>16</v>
      </c>
      <c r="V214" s="26">
        <v>28</v>
      </c>
      <c r="W214" s="26">
        <v>25</v>
      </c>
      <c r="X214" s="26">
        <v>25</v>
      </c>
      <c r="Y214" s="25" t="s">
        <v>73</v>
      </c>
      <c r="Z214" s="25" t="s">
        <v>755</v>
      </c>
      <c r="AA214" s="25" t="s">
        <v>73</v>
      </c>
      <c r="AB214" s="25" t="s">
        <v>79</v>
      </c>
      <c r="AC214" s="25" t="s">
        <v>73</v>
      </c>
      <c r="AD214" s="25" t="s">
        <v>758</v>
      </c>
      <c r="AE214" s="25"/>
      <c r="AF214" s="25"/>
      <c r="AG214" s="25" t="s">
        <v>75</v>
      </c>
      <c r="AH214" s="25" t="s">
        <v>80</v>
      </c>
      <c r="AI214" s="25"/>
      <c r="AJ214" s="25"/>
    </row>
    <row r="215" spans="1:36">
      <c r="A215" s="36">
        <v>213</v>
      </c>
      <c r="B215" s="52" t="s">
        <v>549</v>
      </c>
      <c r="C215" s="55">
        <v>1</v>
      </c>
      <c r="D215" s="55">
        <v>84000</v>
      </c>
      <c r="E215" s="55">
        <v>84000</v>
      </c>
      <c r="F215" s="55">
        <v>105000</v>
      </c>
      <c r="G215" s="55">
        <v>105000</v>
      </c>
      <c r="H215" s="60">
        <v>3500</v>
      </c>
      <c r="I215" s="60">
        <v>2100000</v>
      </c>
      <c r="J215" s="63">
        <v>2000</v>
      </c>
      <c r="K215" s="63">
        <v>2000</v>
      </c>
      <c r="L215" s="27">
        <v>0</v>
      </c>
      <c r="M215" s="27">
        <f t="shared" si="3"/>
        <v>1730</v>
      </c>
      <c r="N215" s="26">
        <v>1750</v>
      </c>
      <c r="O215" s="26">
        <v>2800</v>
      </c>
      <c r="P215" s="26">
        <v>2804</v>
      </c>
      <c r="Q215" s="26">
        <v>20</v>
      </c>
      <c r="R215" s="26">
        <v>2800</v>
      </c>
      <c r="S215" s="26">
        <v>120</v>
      </c>
      <c r="T215" s="26">
        <v>3615</v>
      </c>
      <c r="U215" s="26">
        <v>16</v>
      </c>
      <c r="V215" s="26">
        <v>28</v>
      </c>
      <c r="W215" s="26">
        <v>25</v>
      </c>
      <c r="X215" s="26">
        <v>25</v>
      </c>
      <c r="Y215" s="25" t="s">
        <v>73</v>
      </c>
      <c r="Z215" s="25" t="s">
        <v>755</v>
      </c>
      <c r="AA215" s="25" t="s">
        <v>73</v>
      </c>
      <c r="AB215" s="25" t="s">
        <v>79</v>
      </c>
      <c r="AC215" s="25" t="s">
        <v>73</v>
      </c>
      <c r="AD215" s="25" t="s">
        <v>759</v>
      </c>
      <c r="AE215" s="25"/>
      <c r="AF215" s="25"/>
      <c r="AG215" s="25" t="s">
        <v>75</v>
      </c>
      <c r="AH215" s="25" t="s">
        <v>80</v>
      </c>
      <c r="AI215" s="25"/>
      <c r="AJ215" s="25"/>
    </row>
    <row r="216" spans="1:36">
      <c r="A216" s="37">
        <v>214</v>
      </c>
      <c r="B216" s="51" t="s">
        <v>550</v>
      </c>
      <c r="C216" s="54">
        <v>1</v>
      </c>
      <c r="D216" s="54">
        <v>84000</v>
      </c>
      <c r="E216" s="54">
        <v>84000</v>
      </c>
      <c r="F216" s="54">
        <v>105000</v>
      </c>
      <c r="G216" s="54">
        <v>105000</v>
      </c>
      <c r="H216" s="59">
        <v>3500</v>
      </c>
      <c r="I216" s="59">
        <v>2100000</v>
      </c>
      <c r="J216" s="62">
        <v>2000</v>
      </c>
      <c r="K216" s="62">
        <v>2000</v>
      </c>
      <c r="L216" s="33">
        <v>0</v>
      </c>
      <c r="M216" s="33">
        <f t="shared" si="3"/>
        <v>1730</v>
      </c>
      <c r="N216" s="34">
        <v>1750</v>
      </c>
      <c r="O216" s="34">
        <v>2800</v>
      </c>
      <c r="P216" s="34">
        <v>2782</v>
      </c>
      <c r="Q216" s="34">
        <v>20</v>
      </c>
      <c r="R216" s="34">
        <v>2800</v>
      </c>
      <c r="S216" s="34">
        <v>120</v>
      </c>
      <c r="T216" s="34">
        <v>4000</v>
      </c>
      <c r="U216" s="34">
        <v>16</v>
      </c>
      <c r="V216" s="34">
        <v>28</v>
      </c>
      <c r="W216" s="34">
        <v>25</v>
      </c>
      <c r="X216" s="34">
        <v>25</v>
      </c>
      <c r="Y216" s="35" t="s">
        <v>73</v>
      </c>
      <c r="Z216" s="35" t="s">
        <v>755</v>
      </c>
      <c r="AA216" s="35" t="s">
        <v>73</v>
      </c>
      <c r="AB216" s="35" t="s">
        <v>79</v>
      </c>
      <c r="AC216" s="35" t="s">
        <v>73</v>
      </c>
      <c r="AD216" s="35" t="s">
        <v>760</v>
      </c>
      <c r="AE216" s="25"/>
      <c r="AF216" s="25"/>
      <c r="AG216" s="25" t="s">
        <v>75</v>
      </c>
      <c r="AH216" s="25" t="s">
        <v>80</v>
      </c>
      <c r="AI216" s="25"/>
      <c r="AJ216" s="25"/>
    </row>
    <row r="217" spans="1:36">
      <c r="A217" s="36">
        <v>215</v>
      </c>
      <c r="B217" s="51" t="s">
        <v>551</v>
      </c>
      <c r="C217" s="54">
        <v>1</v>
      </c>
      <c r="D217" s="54">
        <v>84000</v>
      </c>
      <c r="E217" s="54">
        <v>84000</v>
      </c>
      <c r="F217" s="54">
        <v>105000</v>
      </c>
      <c r="G217" s="54">
        <v>105000</v>
      </c>
      <c r="H217" s="60">
        <v>3500</v>
      </c>
      <c r="I217" s="60">
        <v>2100000</v>
      </c>
      <c r="J217" s="63">
        <v>2000</v>
      </c>
      <c r="K217" s="63">
        <v>2000</v>
      </c>
      <c r="L217" s="27">
        <v>0</v>
      </c>
      <c r="M217" s="27">
        <f t="shared" si="3"/>
        <v>1730</v>
      </c>
      <c r="N217" s="34">
        <v>1750</v>
      </c>
      <c r="O217" s="34">
        <v>2800</v>
      </c>
      <c r="P217" s="34">
        <v>2782</v>
      </c>
      <c r="Q217" s="34">
        <v>20</v>
      </c>
      <c r="R217" s="34">
        <v>2800</v>
      </c>
      <c r="S217" s="34">
        <v>120</v>
      </c>
      <c r="T217" s="34">
        <v>4000</v>
      </c>
      <c r="U217" s="34">
        <v>16</v>
      </c>
      <c r="V217" s="34">
        <v>28</v>
      </c>
      <c r="W217" s="34">
        <v>25</v>
      </c>
      <c r="X217" s="34">
        <v>25</v>
      </c>
      <c r="Y217" s="35" t="s">
        <v>73</v>
      </c>
      <c r="Z217" s="35" t="s">
        <v>755</v>
      </c>
      <c r="AA217" s="35" t="s">
        <v>73</v>
      </c>
      <c r="AB217" s="35" t="s">
        <v>79</v>
      </c>
      <c r="AC217" s="35" t="s">
        <v>73</v>
      </c>
      <c r="AD217" s="35" t="s">
        <v>761</v>
      </c>
      <c r="AE217" s="25"/>
      <c r="AF217" s="25"/>
      <c r="AG217" s="25" t="s">
        <v>75</v>
      </c>
      <c r="AH217" s="25" t="s">
        <v>80</v>
      </c>
      <c r="AI217" s="25"/>
      <c r="AJ217" s="25"/>
    </row>
    <row r="218" spans="1:36">
      <c r="A218" s="37">
        <v>216</v>
      </c>
      <c r="B218" s="52" t="s">
        <v>552</v>
      </c>
      <c r="C218" s="55">
        <v>1</v>
      </c>
      <c r="D218" s="55">
        <v>84000</v>
      </c>
      <c r="E218" s="55">
        <v>84000</v>
      </c>
      <c r="F218" s="55">
        <v>105000</v>
      </c>
      <c r="G218" s="55">
        <v>105000</v>
      </c>
      <c r="H218" s="60">
        <v>3500</v>
      </c>
      <c r="I218" s="60">
        <v>2100000</v>
      </c>
      <c r="J218" s="63">
        <v>2000</v>
      </c>
      <c r="K218" s="63">
        <v>2000</v>
      </c>
      <c r="L218" s="27">
        <v>0</v>
      </c>
      <c r="M218" s="27">
        <f t="shared" si="3"/>
        <v>1730</v>
      </c>
      <c r="N218" s="26">
        <v>1750</v>
      </c>
      <c r="O218" s="26">
        <v>2800</v>
      </c>
      <c r="P218" s="26">
        <v>2757</v>
      </c>
      <c r="Q218" s="26">
        <v>20</v>
      </c>
      <c r="R218" s="26">
        <v>2800</v>
      </c>
      <c r="S218" s="26">
        <v>120</v>
      </c>
      <c r="T218" s="26">
        <v>4000</v>
      </c>
      <c r="U218" s="26">
        <v>16</v>
      </c>
      <c r="V218" s="26">
        <v>28</v>
      </c>
      <c r="W218" s="26">
        <v>25</v>
      </c>
      <c r="X218" s="26">
        <v>25</v>
      </c>
      <c r="Y218" s="25" t="s">
        <v>73</v>
      </c>
      <c r="Z218" s="25" t="s">
        <v>755</v>
      </c>
      <c r="AA218" s="25" t="s">
        <v>73</v>
      </c>
      <c r="AB218" s="25" t="s">
        <v>79</v>
      </c>
      <c r="AC218" s="25" t="s">
        <v>73</v>
      </c>
      <c r="AD218" s="25" t="s">
        <v>762</v>
      </c>
      <c r="AE218" s="25"/>
      <c r="AF218" s="25"/>
      <c r="AG218" s="25" t="s">
        <v>75</v>
      </c>
      <c r="AH218" s="25" t="s">
        <v>80</v>
      </c>
      <c r="AI218" s="25"/>
      <c r="AJ218" s="25"/>
    </row>
    <row r="219" spans="1:36">
      <c r="A219" s="36">
        <v>217</v>
      </c>
      <c r="B219" s="52" t="s">
        <v>553</v>
      </c>
      <c r="C219" s="55">
        <v>1</v>
      </c>
      <c r="D219" s="55">
        <v>84000</v>
      </c>
      <c r="E219" s="55">
        <v>84000</v>
      </c>
      <c r="F219" s="55">
        <v>105000</v>
      </c>
      <c r="G219" s="55">
        <v>105000</v>
      </c>
      <c r="H219" s="59">
        <v>3500</v>
      </c>
      <c r="I219" s="59">
        <v>2100000</v>
      </c>
      <c r="J219" s="62">
        <v>2000</v>
      </c>
      <c r="K219" s="62">
        <v>2000</v>
      </c>
      <c r="L219" s="33">
        <v>0</v>
      </c>
      <c r="M219" s="33">
        <f t="shared" si="3"/>
        <v>1730</v>
      </c>
      <c r="N219" s="26">
        <v>1750</v>
      </c>
      <c r="O219" s="26">
        <v>2800</v>
      </c>
      <c r="P219" s="26">
        <v>2732</v>
      </c>
      <c r="Q219" s="26">
        <v>20</v>
      </c>
      <c r="R219" s="26">
        <v>2800</v>
      </c>
      <c r="S219" s="26">
        <v>120</v>
      </c>
      <c r="T219" s="26">
        <v>4000</v>
      </c>
      <c r="U219" s="26">
        <v>16</v>
      </c>
      <c r="V219" s="26">
        <v>28</v>
      </c>
      <c r="W219" s="26">
        <v>25</v>
      </c>
      <c r="X219" s="26">
        <v>25</v>
      </c>
      <c r="Y219" s="25" t="s">
        <v>73</v>
      </c>
      <c r="Z219" s="25" t="s">
        <v>755</v>
      </c>
      <c r="AA219" s="25" t="s">
        <v>73</v>
      </c>
      <c r="AB219" s="25" t="s">
        <v>79</v>
      </c>
      <c r="AC219" s="25" t="s">
        <v>73</v>
      </c>
      <c r="AD219" s="25" t="s">
        <v>763</v>
      </c>
      <c r="AE219" s="25"/>
      <c r="AF219" s="25"/>
      <c r="AG219" s="25" t="s">
        <v>75</v>
      </c>
      <c r="AH219" s="25" t="s">
        <v>80</v>
      </c>
      <c r="AI219" s="25"/>
      <c r="AJ219" s="25"/>
    </row>
    <row r="220" spans="1:36">
      <c r="A220" s="37">
        <v>218</v>
      </c>
      <c r="B220" s="52" t="s">
        <v>554</v>
      </c>
      <c r="C220" s="55">
        <v>1</v>
      </c>
      <c r="D220" s="55">
        <v>84000</v>
      </c>
      <c r="E220" s="55">
        <v>84000</v>
      </c>
      <c r="F220" s="55">
        <v>105000</v>
      </c>
      <c r="G220" s="55">
        <v>105000</v>
      </c>
      <c r="H220" s="60">
        <v>3500</v>
      </c>
      <c r="I220" s="60">
        <v>2100000</v>
      </c>
      <c r="J220" s="63">
        <v>2000</v>
      </c>
      <c r="K220" s="63">
        <v>2000</v>
      </c>
      <c r="L220" s="27">
        <v>0</v>
      </c>
      <c r="M220" s="27">
        <f t="shared" si="3"/>
        <v>1730</v>
      </c>
      <c r="N220" s="26">
        <v>1750</v>
      </c>
      <c r="O220" s="26">
        <v>2800</v>
      </c>
      <c r="P220" s="26">
        <v>2707</v>
      </c>
      <c r="Q220" s="26">
        <v>20</v>
      </c>
      <c r="R220" s="26">
        <v>2800</v>
      </c>
      <c r="S220" s="26">
        <v>120</v>
      </c>
      <c r="T220" s="26">
        <v>4000</v>
      </c>
      <c r="U220" s="26">
        <v>16</v>
      </c>
      <c r="V220" s="26">
        <v>28</v>
      </c>
      <c r="W220" s="26">
        <v>25</v>
      </c>
      <c r="X220" s="26">
        <v>25</v>
      </c>
      <c r="Y220" s="25" t="s">
        <v>73</v>
      </c>
      <c r="Z220" s="25" t="s">
        <v>755</v>
      </c>
      <c r="AA220" s="25" t="s">
        <v>73</v>
      </c>
      <c r="AB220" s="25" t="s">
        <v>79</v>
      </c>
      <c r="AC220" s="25" t="s">
        <v>73</v>
      </c>
      <c r="AD220" s="25" t="s">
        <v>764</v>
      </c>
      <c r="AE220" s="25"/>
      <c r="AF220" s="25"/>
      <c r="AG220" s="25" t="s">
        <v>75</v>
      </c>
      <c r="AH220" s="25" t="s">
        <v>80</v>
      </c>
      <c r="AI220" s="25"/>
      <c r="AJ220" s="25"/>
    </row>
    <row r="221" spans="1:36">
      <c r="A221" s="36">
        <v>219</v>
      </c>
      <c r="B221" s="51" t="s">
        <v>555</v>
      </c>
      <c r="C221" s="54">
        <v>1</v>
      </c>
      <c r="D221" s="54">
        <v>84000</v>
      </c>
      <c r="E221" s="54">
        <v>84000</v>
      </c>
      <c r="F221" s="54">
        <v>105000</v>
      </c>
      <c r="G221" s="54">
        <v>105000</v>
      </c>
      <c r="H221" s="60">
        <v>3500</v>
      </c>
      <c r="I221" s="60">
        <v>2100000</v>
      </c>
      <c r="J221" s="63">
        <v>2000</v>
      </c>
      <c r="K221" s="63">
        <v>2000</v>
      </c>
      <c r="L221" s="27">
        <v>0</v>
      </c>
      <c r="M221" s="27">
        <f t="shared" si="3"/>
        <v>1730</v>
      </c>
      <c r="N221" s="34">
        <v>1750</v>
      </c>
      <c r="O221" s="34">
        <v>2800</v>
      </c>
      <c r="P221" s="34">
        <v>2682</v>
      </c>
      <c r="Q221" s="34">
        <v>20</v>
      </c>
      <c r="R221" s="34">
        <v>2800</v>
      </c>
      <c r="S221" s="34">
        <v>120</v>
      </c>
      <c r="T221" s="34">
        <v>4000</v>
      </c>
      <c r="U221" s="34">
        <v>16</v>
      </c>
      <c r="V221" s="34">
        <v>28</v>
      </c>
      <c r="W221" s="34">
        <v>25</v>
      </c>
      <c r="X221" s="34">
        <v>25</v>
      </c>
      <c r="Y221" s="35" t="s">
        <v>73</v>
      </c>
      <c r="Z221" s="35" t="s">
        <v>755</v>
      </c>
      <c r="AA221" s="35" t="s">
        <v>73</v>
      </c>
      <c r="AB221" s="35" t="s">
        <v>79</v>
      </c>
      <c r="AC221" s="35" t="s">
        <v>73</v>
      </c>
      <c r="AD221" s="35" t="s">
        <v>765</v>
      </c>
      <c r="AE221" s="25"/>
      <c r="AF221" s="25"/>
      <c r="AG221" s="25" t="s">
        <v>75</v>
      </c>
      <c r="AH221" s="25" t="s">
        <v>80</v>
      </c>
      <c r="AI221" s="25"/>
      <c r="AJ221" s="25"/>
    </row>
    <row r="222" spans="1:36">
      <c r="A222" s="37">
        <v>220</v>
      </c>
      <c r="B222" s="52" t="s">
        <v>556</v>
      </c>
      <c r="C222" s="55">
        <v>1</v>
      </c>
      <c r="D222" s="55">
        <v>84000</v>
      </c>
      <c r="E222" s="55">
        <v>84000</v>
      </c>
      <c r="F222" s="55">
        <v>105000</v>
      </c>
      <c r="G222" s="55">
        <v>105000</v>
      </c>
      <c r="H222" s="59">
        <v>3500</v>
      </c>
      <c r="I222" s="59">
        <v>2100000</v>
      </c>
      <c r="J222" s="62">
        <v>2000</v>
      </c>
      <c r="K222" s="62">
        <v>2000</v>
      </c>
      <c r="L222" s="33">
        <v>0</v>
      </c>
      <c r="M222" s="33">
        <f t="shared" si="3"/>
        <v>1730</v>
      </c>
      <c r="N222" s="26">
        <v>1750</v>
      </c>
      <c r="O222" s="26">
        <v>2800</v>
      </c>
      <c r="P222" s="26">
        <v>2657</v>
      </c>
      <c r="Q222" s="26">
        <v>20</v>
      </c>
      <c r="R222" s="26">
        <v>2800</v>
      </c>
      <c r="S222" s="26">
        <v>120</v>
      </c>
      <c r="T222" s="26">
        <v>4000</v>
      </c>
      <c r="U222" s="26">
        <v>16</v>
      </c>
      <c r="V222" s="26">
        <v>28</v>
      </c>
      <c r="W222" s="26">
        <v>25</v>
      </c>
      <c r="X222" s="26">
        <v>25</v>
      </c>
      <c r="Y222" s="25" t="s">
        <v>73</v>
      </c>
      <c r="Z222" s="25" t="s">
        <v>755</v>
      </c>
      <c r="AA222" s="25" t="s">
        <v>73</v>
      </c>
      <c r="AB222" s="25" t="s">
        <v>79</v>
      </c>
      <c r="AC222" s="25" t="s">
        <v>73</v>
      </c>
      <c r="AD222" s="25" t="s">
        <v>766</v>
      </c>
      <c r="AE222" s="25"/>
      <c r="AF222" s="25"/>
      <c r="AG222" s="25" t="s">
        <v>75</v>
      </c>
      <c r="AH222" s="25" t="s">
        <v>80</v>
      </c>
      <c r="AI222" s="25"/>
      <c r="AJ222" s="25"/>
    </row>
    <row r="223" spans="1:36">
      <c r="A223" s="36">
        <v>221</v>
      </c>
      <c r="B223" s="52" t="s">
        <v>557</v>
      </c>
      <c r="C223" s="55">
        <v>1</v>
      </c>
      <c r="D223" s="55">
        <v>84000</v>
      </c>
      <c r="E223" s="55">
        <v>84000</v>
      </c>
      <c r="F223" s="55">
        <v>105000</v>
      </c>
      <c r="G223" s="55">
        <v>105000</v>
      </c>
      <c r="H223" s="60">
        <v>3500</v>
      </c>
      <c r="I223" s="60">
        <v>2100000</v>
      </c>
      <c r="J223" s="63">
        <v>2000</v>
      </c>
      <c r="K223" s="63">
        <v>2000</v>
      </c>
      <c r="L223" s="27">
        <v>0</v>
      </c>
      <c r="M223" s="27">
        <f t="shared" si="3"/>
        <v>1730</v>
      </c>
      <c r="N223" s="26">
        <v>1750</v>
      </c>
      <c r="O223" s="26">
        <v>2800</v>
      </c>
      <c r="P223" s="26">
        <v>2632</v>
      </c>
      <c r="Q223" s="26">
        <v>20</v>
      </c>
      <c r="R223" s="26">
        <v>2800</v>
      </c>
      <c r="S223" s="26">
        <v>120</v>
      </c>
      <c r="T223" s="26">
        <v>4000</v>
      </c>
      <c r="U223" s="26">
        <v>16</v>
      </c>
      <c r="V223" s="26">
        <v>28</v>
      </c>
      <c r="W223" s="26">
        <v>25</v>
      </c>
      <c r="X223" s="26">
        <v>25</v>
      </c>
      <c r="Y223" s="25" t="s">
        <v>73</v>
      </c>
      <c r="Z223" s="25" t="s">
        <v>755</v>
      </c>
      <c r="AA223" s="25" t="s">
        <v>73</v>
      </c>
      <c r="AB223" s="25" t="s">
        <v>79</v>
      </c>
      <c r="AC223" s="25" t="s">
        <v>73</v>
      </c>
      <c r="AD223" s="25" t="s">
        <v>767</v>
      </c>
      <c r="AE223" s="25"/>
      <c r="AF223" s="25"/>
      <c r="AG223" s="25" t="s">
        <v>75</v>
      </c>
      <c r="AH223" s="25" t="s">
        <v>80</v>
      </c>
      <c r="AI223" s="25"/>
      <c r="AJ223" s="25"/>
    </row>
    <row r="224" spans="1:36">
      <c r="A224" s="37">
        <v>222</v>
      </c>
      <c r="B224" s="52" t="s">
        <v>558</v>
      </c>
      <c r="C224" s="55">
        <v>1</v>
      </c>
      <c r="D224" s="55">
        <v>84000</v>
      </c>
      <c r="E224" s="55">
        <v>84000</v>
      </c>
      <c r="F224" s="55">
        <v>105000</v>
      </c>
      <c r="G224" s="55">
        <v>105000</v>
      </c>
      <c r="H224" s="60">
        <v>3500</v>
      </c>
      <c r="I224" s="60">
        <v>2100000</v>
      </c>
      <c r="J224" s="63">
        <v>2000</v>
      </c>
      <c r="K224" s="63">
        <v>2000</v>
      </c>
      <c r="L224" s="27">
        <v>0</v>
      </c>
      <c r="M224" s="27">
        <f t="shared" si="3"/>
        <v>1730</v>
      </c>
      <c r="N224" s="26">
        <v>1750</v>
      </c>
      <c r="O224" s="26">
        <v>2800</v>
      </c>
      <c r="P224" s="26">
        <v>2607</v>
      </c>
      <c r="Q224" s="26">
        <v>20</v>
      </c>
      <c r="R224" s="26">
        <v>2800</v>
      </c>
      <c r="S224" s="26">
        <v>120</v>
      </c>
      <c r="T224" s="26">
        <v>4000</v>
      </c>
      <c r="U224" s="26">
        <v>16</v>
      </c>
      <c r="V224" s="26">
        <v>28</v>
      </c>
      <c r="W224" s="26">
        <v>25</v>
      </c>
      <c r="X224" s="26">
        <v>25</v>
      </c>
      <c r="Y224" s="25" t="s">
        <v>73</v>
      </c>
      <c r="Z224" s="25" t="s">
        <v>755</v>
      </c>
      <c r="AA224" s="25" t="s">
        <v>73</v>
      </c>
      <c r="AB224" s="25" t="s">
        <v>79</v>
      </c>
      <c r="AC224" s="25" t="s">
        <v>73</v>
      </c>
      <c r="AD224" s="25" t="s">
        <v>768</v>
      </c>
      <c r="AE224" s="25"/>
      <c r="AF224" s="25"/>
      <c r="AG224" s="25" t="s">
        <v>75</v>
      </c>
      <c r="AH224" s="25" t="s">
        <v>80</v>
      </c>
      <c r="AI224" s="25"/>
      <c r="AJ224" s="25"/>
    </row>
    <row r="225" spans="1:36">
      <c r="A225" s="36">
        <v>223</v>
      </c>
      <c r="B225" s="51" t="s">
        <v>559</v>
      </c>
      <c r="C225" s="54">
        <v>1</v>
      </c>
      <c r="D225" s="54">
        <v>84000</v>
      </c>
      <c r="E225" s="54">
        <v>84000</v>
      </c>
      <c r="F225" s="54">
        <v>105000</v>
      </c>
      <c r="G225" s="54">
        <v>105000</v>
      </c>
      <c r="H225" s="59">
        <v>3500</v>
      </c>
      <c r="I225" s="59">
        <v>2100000</v>
      </c>
      <c r="J225" s="62">
        <v>2000</v>
      </c>
      <c r="K225" s="62">
        <v>2000</v>
      </c>
      <c r="L225" s="33">
        <v>0</v>
      </c>
      <c r="M225" s="33">
        <f t="shared" si="3"/>
        <v>1730</v>
      </c>
      <c r="N225" s="34">
        <v>1750</v>
      </c>
      <c r="O225" s="34">
        <v>2800</v>
      </c>
      <c r="P225" s="34">
        <v>2582</v>
      </c>
      <c r="Q225" s="34">
        <v>20</v>
      </c>
      <c r="R225" s="34">
        <v>2800</v>
      </c>
      <c r="S225" s="34">
        <v>120</v>
      </c>
      <c r="T225" s="34">
        <v>4000</v>
      </c>
      <c r="U225" s="34">
        <v>16</v>
      </c>
      <c r="V225" s="34">
        <v>28</v>
      </c>
      <c r="W225" s="34">
        <v>25</v>
      </c>
      <c r="X225" s="34">
        <v>25</v>
      </c>
      <c r="Y225" s="35" t="s">
        <v>73</v>
      </c>
      <c r="Z225" s="35" t="s">
        <v>755</v>
      </c>
      <c r="AA225" s="35" t="s">
        <v>73</v>
      </c>
      <c r="AB225" s="35" t="s">
        <v>79</v>
      </c>
      <c r="AC225" s="35" t="s">
        <v>73</v>
      </c>
      <c r="AD225" s="35" t="s">
        <v>769</v>
      </c>
      <c r="AE225" s="25"/>
      <c r="AF225" s="25"/>
      <c r="AG225" s="25" t="s">
        <v>75</v>
      </c>
      <c r="AH225" s="25" t="s">
        <v>80</v>
      </c>
      <c r="AI225" s="25"/>
      <c r="AJ225" s="25"/>
    </row>
    <row r="226" spans="1:36">
      <c r="A226" s="37">
        <v>224</v>
      </c>
      <c r="B226" s="52" t="s">
        <v>560</v>
      </c>
      <c r="C226" s="55">
        <v>1</v>
      </c>
      <c r="D226" s="55">
        <v>84000</v>
      </c>
      <c r="E226" s="55">
        <v>84000</v>
      </c>
      <c r="F226" s="55">
        <v>105000</v>
      </c>
      <c r="G226" s="55">
        <v>105000</v>
      </c>
      <c r="H226" s="60">
        <v>3500</v>
      </c>
      <c r="I226" s="60">
        <v>2100000</v>
      </c>
      <c r="J226" s="63">
        <v>2000</v>
      </c>
      <c r="K226" s="63">
        <v>2000</v>
      </c>
      <c r="L226" s="27">
        <v>0</v>
      </c>
      <c r="M226" s="27">
        <f t="shared" si="3"/>
        <v>1730</v>
      </c>
      <c r="N226" s="26">
        <v>1750</v>
      </c>
      <c r="O226" s="26">
        <v>2800</v>
      </c>
      <c r="P226" s="26">
        <v>2557</v>
      </c>
      <c r="Q226" s="26">
        <v>20</v>
      </c>
      <c r="R226" s="26">
        <v>2800</v>
      </c>
      <c r="S226" s="26">
        <v>120</v>
      </c>
      <c r="T226" s="26">
        <v>4000</v>
      </c>
      <c r="U226" s="26">
        <v>16</v>
      </c>
      <c r="V226" s="26">
        <v>28</v>
      </c>
      <c r="W226" s="26">
        <v>25</v>
      </c>
      <c r="X226" s="26">
        <v>25</v>
      </c>
      <c r="Y226" s="25" t="s">
        <v>73</v>
      </c>
      <c r="Z226" s="25" t="s">
        <v>755</v>
      </c>
      <c r="AA226" s="25" t="s">
        <v>73</v>
      </c>
      <c r="AB226" s="25" t="s">
        <v>79</v>
      </c>
      <c r="AC226" s="25" t="s">
        <v>73</v>
      </c>
      <c r="AD226" s="25" t="s">
        <v>770</v>
      </c>
      <c r="AE226" s="25"/>
      <c r="AF226" s="25"/>
      <c r="AG226" s="25" t="s">
        <v>75</v>
      </c>
      <c r="AH226" s="25" t="s">
        <v>80</v>
      </c>
      <c r="AI226" s="25"/>
      <c r="AJ226" s="25"/>
    </row>
    <row r="227" spans="1:36">
      <c r="A227" s="36">
        <v>225</v>
      </c>
      <c r="B227" s="52" t="s">
        <v>561</v>
      </c>
      <c r="C227" s="55">
        <v>1</v>
      </c>
      <c r="D227" s="55">
        <v>84000</v>
      </c>
      <c r="E227" s="55">
        <v>84000</v>
      </c>
      <c r="F227" s="55">
        <v>105000</v>
      </c>
      <c r="G227" s="55">
        <v>105000</v>
      </c>
      <c r="H227" s="60">
        <v>3500</v>
      </c>
      <c r="I227" s="60">
        <v>2100000</v>
      </c>
      <c r="J227" s="63">
        <v>2000</v>
      </c>
      <c r="K227" s="63">
        <v>2000</v>
      </c>
      <c r="L227" s="27">
        <v>0</v>
      </c>
      <c r="M227" s="27">
        <f t="shared" si="3"/>
        <v>1730</v>
      </c>
      <c r="N227" s="26">
        <v>1750</v>
      </c>
      <c r="O227" s="26">
        <v>2800</v>
      </c>
      <c r="P227" s="26">
        <v>2532</v>
      </c>
      <c r="Q227" s="26">
        <v>20</v>
      </c>
      <c r="R227" s="26">
        <v>2800</v>
      </c>
      <c r="S227" s="26">
        <v>120</v>
      </c>
      <c r="T227" s="26">
        <v>4000</v>
      </c>
      <c r="U227" s="26">
        <v>16</v>
      </c>
      <c r="V227" s="26">
        <v>28</v>
      </c>
      <c r="W227" s="26">
        <v>25</v>
      </c>
      <c r="X227" s="26">
        <v>25</v>
      </c>
      <c r="Y227" s="25" t="s">
        <v>73</v>
      </c>
      <c r="Z227" s="25" t="s">
        <v>755</v>
      </c>
      <c r="AA227" s="25" t="s">
        <v>73</v>
      </c>
      <c r="AB227" s="25" t="s">
        <v>79</v>
      </c>
      <c r="AC227" s="25" t="s">
        <v>73</v>
      </c>
      <c r="AD227" s="25" t="s">
        <v>771</v>
      </c>
      <c r="AE227" s="25"/>
      <c r="AF227" s="25"/>
      <c r="AG227" s="25" t="s">
        <v>75</v>
      </c>
      <c r="AH227" s="25" t="s">
        <v>80</v>
      </c>
      <c r="AI227" s="25"/>
      <c r="AJ227" s="25"/>
    </row>
    <row r="228" spans="1:36">
      <c r="A228" s="37">
        <v>226</v>
      </c>
      <c r="B228" s="52" t="s">
        <v>562</v>
      </c>
      <c r="C228" s="55">
        <v>1</v>
      </c>
      <c r="D228" s="55">
        <v>84000</v>
      </c>
      <c r="E228" s="55">
        <v>84000</v>
      </c>
      <c r="F228" s="55">
        <v>105000</v>
      </c>
      <c r="G228" s="55">
        <v>105000</v>
      </c>
      <c r="H228" s="59">
        <v>3500</v>
      </c>
      <c r="I228" s="59">
        <v>2100000</v>
      </c>
      <c r="J228" s="62">
        <v>2000</v>
      </c>
      <c r="K228" s="62">
        <v>2000</v>
      </c>
      <c r="L228" s="33">
        <v>0</v>
      </c>
      <c r="M228" s="33">
        <f t="shared" si="3"/>
        <v>1730</v>
      </c>
      <c r="N228" s="26">
        <v>1750</v>
      </c>
      <c r="O228" s="26">
        <v>2800</v>
      </c>
      <c r="P228" s="26">
        <v>2507</v>
      </c>
      <c r="Q228" s="26">
        <v>20</v>
      </c>
      <c r="R228" s="26">
        <v>2800</v>
      </c>
      <c r="S228" s="26">
        <v>120</v>
      </c>
      <c r="T228" s="26">
        <v>4000</v>
      </c>
      <c r="U228" s="26">
        <v>16</v>
      </c>
      <c r="V228" s="26">
        <v>28</v>
      </c>
      <c r="W228" s="26">
        <v>25</v>
      </c>
      <c r="X228" s="26">
        <v>25</v>
      </c>
      <c r="Y228" s="25" t="s">
        <v>73</v>
      </c>
      <c r="Z228" s="25" t="s">
        <v>755</v>
      </c>
      <c r="AA228" s="25" t="s">
        <v>73</v>
      </c>
      <c r="AB228" s="25" t="s">
        <v>79</v>
      </c>
      <c r="AC228" s="25" t="s">
        <v>73</v>
      </c>
      <c r="AD228" s="25" t="s">
        <v>772</v>
      </c>
      <c r="AE228" s="25"/>
      <c r="AF228" s="25"/>
      <c r="AG228" s="25" t="s">
        <v>75</v>
      </c>
      <c r="AH228" s="25" t="s">
        <v>80</v>
      </c>
      <c r="AI228" s="25"/>
      <c r="AJ228" s="25"/>
    </row>
    <row r="229" spans="1:36">
      <c r="A229" s="36">
        <v>227</v>
      </c>
      <c r="B229" s="51" t="s">
        <v>563</v>
      </c>
      <c r="C229" s="54">
        <v>1</v>
      </c>
      <c r="D229" s="54">
        <v>84000</v>
      </c>
      <c r="E229" s="54">
        <v>84000</v>
      </c>
      <c r="F229" s="54">
        <v>105000</v>
      </c>
      <c r="G229" s="54">
        <v>105000</v>
      </c>
      <c r="H229" s="60">
        <v>3500</v>
      </c>
      <c r="I229" s="60">
        <v>2100000</v>
      </c>
      <c r="J229" s="63">
        <v>2000</v>
      </c>
      <c r="K229" s="63">
        <v>2000</v>
      </c>
      <c r="L229" s="27">
        <v>0</v>
      </c>
      <c r="M229" s="27">
        <f t="shared" si="3"/>
        <v>1730</v>
      </c>
      <c r="N229" s="34">
        <v>1750</v>
      </c>
      <c r="O229" s="34">
        <v>2800</v>
      </c>
      <c r="P229" s="34">
        <v>2482</v>
      </c>
      <c r="Q229" s="34">
        <v>20</v>
      </c>
      <c r="R229" s="34">
        <v>2800</v>
      </c>
      <c r="S229" s="34">
        <v>120</v>
      </c>
      <c r="T229" s="34">
        <v>4002</v>
      </c>
      <c r="U229" s="34">
        <v>16</v>
      </c>
      <c r="V229" s="34">
        <v>28</v>
      </c>
      <c r="W229" s="34">
        <v>25</v>
      </c>
      <c r="X229" s="34">
        <v>25</v>
      </c>
      <c r="Y229" s="35" t="s">
        <v>73</v>
      </c>
      <c r="Z229" s="35" t="s">
        <v>755</v>
      </c>
      <c r="AA229" s="35" t="s">
        <v>73</v>
      </c>
      <c r="AB229" s="35" t="s">
        <v>79</v>
      </c>
      <c r="AC229" s="35" t="s">
        <v>73</v>
      </c>
      <c r="AD229" s="35" t="s">
        <v>773</v>
      </c>
      <c r="AE229" s="25"/>
      <c r="AF229" s="25"/>
      <c r="AG229" s="25" t="s">
        <v>75</v>
      </c>
      <c r="AH229" s="25" t="s">
        <v>80</v>
      </c>
      <c r="AI229" s="25"/>
      <c r="AJ229" s="25"/>
    </row>
    <row r="230" spans="1:36">
      <c r="A230" s="37">
        <v>228</v>
      </c>
      <c r="B230" s="51" t="s">
        <v>564</v>
      </c>
      <c r="C230" s="54">
        <v>1</v>
      </c>
      <c r="D230" s="54">
        <v>84000</v>
      </c>
      <c r="E230" s="54">
        <v>84000</v>
      </c>
      <c r="F230" s="54">
        <v>105000</v>
      </c>
      <c r="G230" s="54">
        <v>105000</v>
      </c>
      <c r="H230" s="60">
        <v>3500</v>
      </c>
      <c r="I230" s="60">
        <v>2100000</v>
      </c>
      <c r="J230" s="63">
        <v>2000</v>
      </c>
      <c r="K230" s="63">
        <v>2000</v>
      </c>
      <c r="L230" s="27">
        <v>0</v>
      </c>
      <c r="M230" s="27">
        <f t="shared" si="3"/>
        <v>1730</v>
      </c>
      <c r="N230" s="34">
        <v>1750</v>
      </c>
      <c r="O230" s="34">
        <v>2800</v>
      </c>
      <c r="P230" s="34">
        <v>2482</v>
      </c>
      <c r="Q230" s="34">
        <v>20</v>
      </c>
      <c r="R230" s="34">
        <v>2800</v>
      </c>
      <c r="S230" s="34">
        <v>120</v>
      </c>
      <c r="T230" s="34">
        <v>4002</v>
      </c>
      <c r="U230" s="34">
        <v>16</v>
      </c>
      <c r="V230" s="34">
        <v>32</v>
      </c>
      <c r="W230" s="34">
        <v>25</v>
      </c>
      <c r="X230" s="34">
        <v>25</v>
      </c>
      <c r="Y230" s="35" t="s">
        <v>73</v>
      </c>
      <c r="Z230" s="35" t="s">
        <v>755</v>
      </c>
      <c r="AA230" s="35" t="s">
        <v>73</v>
      </c>
      <c r="AB230" s="35" t="s">
        <v>79</v>
      </c>
      <c r="AC230" s="35" t="s">
        <v>73</v>
      </c>
      <c r="AD230" s="35" t="s">
        <v>774</v>
      </c>
      <c r="AE230" s="25"/>
      <c r="AF230" s="25"/>
      <c r="AG230" s="25" t="s">
        <v>75</v>
      </c>
      <c r="AH230" s="25" t="s">
        <v>80</v>
      </c>
      <c r="AI230" s="25"/>
      <c r="AJ230" s="25"/>
    </row>
    <row r="231" spans="1:36">
      <c r="A231" s="36">
        <v>229</v>
      </c>
      <c r="B231" s="52" t="s">
        <v>565</v>
      </c>
      <c r="C231" s="55">
        <v>1</v>
      </c>
      <c r="D231" s="55">
        <v>84000</v>
      </c>
      <c r="E231" s="55">
        <v>84000</v>
      </c>
      <c r="F231" s="55">
        <v>105000</v>
      </c>
      <c r="G231" s="55">
        <v>105000</v>
      </c>
      <c r="H231" s="59">
        <v>3500</v>
      </c>
      <c r="I231" s="59">
        <v>2100000</v>
      </c>
      <c r="J231" s="62">
        <v>2000</v>
      </c>
      <c r="K231" s="62">
        <v>2000</v>
      </c>
      <c r="L231" s="33">
        <v>0</v>
      </c>
      <c r="M231" s="33">
        <f t="shared" si="3"/>
        <v>1730</v>
      </c>
      <c r="N231" s="26">
        <v>1750</v>
      </c>
      <c r="O231" s="26">
        <v>2800</v>
      </c>
      <c r="P231" s="26">
        <v>2457</v>
      </c>
      <c r="Q231" s="26">
        <v>20</v>
      </c>
      <c r="R231" s="26">
        <v>2800</v>
      </c>
      <c r="S231" s="26">
        <v>120</v>
      </c>
      <c r="T231" s="26">
        <v>4008</v>
      </c>
      <c r="U231" s="26">
        <v>16</v>
      </c>
      <c r="V231" s="26">
        <v>32</v>
      </c>
      <c r="W231" s="26">
        <v>25</v>
      </c>
      <c r="X231" s="26">
        <v>25</v>
      </c>
      <c r="Y231" s="25" t="s">
        <v>73</v>
      </c>
      <c r="Z231" s="25" t="s">
        <v>755</v>
      </c>
      <c r="AA231" s="25" t="s">
        <v>73</v>
      </c>
      <c r="AB231" s="25" t="s">
        <v>79</v>
      </c>
      <c r="AC231" s="25" t="s">
        <v>73</v>
      </c>
      <c r="AD231" s="25" t="s">
        <v>775</v>
      </c>
      <c r="AE231" s="25"/>
      <c r="AF231" s="25"/>
      <c r="AG231" s="25" t="s">
        <v>75</v>
      </c>
      <c r="AH231" s="25" t="s">
        <v>80</v>
      </c>
      <c r="AI231" s="25"/>
      <c r="AJ231" s="25"/>
    </row>
    <row r="232" spans="1:36">
      <c r="A232" s="37">
        <v>230</v>
      </c>
      <c r="B232" s="52" t="s">
        <v>566</v>
      </c>
      <c r="C232" s="55">
        <v>1</v>
      </c>
      <c r="D232" s="55">
        <v>84000</v>
      </c>
      <c r="E232" s="55">
        <v>84000</v>
      </c>
      <c r="F232" s="55">
        <v>105000</v>
      </c>
      <c r="G232" s="55">
        <v>105000</v>
      </c>
      <c r="H232" s="60">
        <v>3500</v>
      </c>
      <c r="I232" s="60">
        <v>2100000</v>
      </c>
      <c r="J232" s="63">
        <v>2000</v>
      </c>
      <c r="K232" s="63">
        <v>2000</v>
      </c>
      <c r="L232" s="27">
        <v>0</v>
      </c>
      <c r="M232" s="27">
        <f t="shared" si="3"/>
        <v>1730</v>
      </c>
      <c r="N232" s="26">
        <v>1750</v>
      </c>
      <c r="O232" s="26">
        <v>2800</v>
      </c>
      <c r="P232" s="26">
        <v>2432</v>
      </c>
      <c r="Q232" s="26">
        <v>20</v>
      </c>
      <c r="R232" s="26">
        <v>2800</v>
      </c>
      <c r="S232" s="26">
        <v>120</v>
      </c>
      <c r="T232" s="26">
        <v>4018</v>
      </c>
      <c r="U232" s="26">
        <v>16</v>
      </c>
      <c r="V232" s="26">
        <v>32</v>
      </c>
      <c r="W232" s="26">
        <v>25</v>
      </c>
      <c r="X232" s="26">
        <v>25</v>
      </c>
      <c r="Y232" s="25" t="s">
        <v>73</v>
      </c>
      <c r="Z232" s="25" t="s">
        <v>755</v>
      </c>
      <c r="AA232" s="25" t="s">
        <v>73</v>
      </c>
      <c r="AB232" s="25" t="s">
        <v>79</v>
      </c>
      <c r="AC232" s="25" t="s">
        <v>73</v>
      </c>
      <c r="AD232" s="25" t="s">
        <v>776</v>
      </c>
      <c r="AE232" s="25"/>
      <c r="AF232" s="25"/>
      <c r="AG232" s="25" t="s">
        <v>75</v>
      </c>
      <c r="AH232" s="25" t="s">
        <v>80</v>
      </c>
      <c r="AI232" s="25"/>
      <c r="AJ232" s="25"/>
    </row>
    <row r="233" spans="1:36">
      <c r="A233" s="36">
        <v>231</v>
      </c>
      <c r="B233" s="52" t="s">
        <v>567</v>
      </c>
      <c r="C233" s="55">
        <v>1</v>
      </c>
      <c r="D233" s="55">
        <v>84000</v>
      </c>
      <c r="E233" s="55">
        <v>84000</v>
      </c>
      <c r="F233" s="55">
        <v>105000</v>
      </c>
      <c r="G233" s="55">
        <v>105000</v>
      </c>
      <c r="H233" s="60">
        <v>3500</v>
      </c>
      <c r="I233" s="60">
        <v>2100000</v>
      </c>
      <c r="J233" s="63">
        <v>2000</v>
      </c>
      <c r="K233" s="63">
        <v>2000</v>
      </c>
      <c r="L233" s="27">
        <v>0</v>
      </c>
      <c r="M233" s="27">
        <f t="shared" si="3"/>
        <v>1730</v>
      </c>
      <c r="N233" s="26">
        <v>1750</v>
      </c>
      <c r="O233" s="26">
        <v>2800</v>
      </c>
      <c r="P233" s="26">
        <v>2407</v>
      </c>
      <c r="Q233" s="26">
        <v>20</v>
      </c>
      <c r="R233" s="26">
        <v>2800</v>
      </c>
      <c r="S233" s="26">
        <v>120</v>
      </c>
      <c r="T233" s="26">
        <v>4032</v>
      </c>
      <c r="U233" s="26">
        <v>16</v>
      </c>
      <c r="V233" s="26">
        <v>32</v>
      </c>
      <c r="W233" s="26">
        <v>25</v>
      </c>
      <c r="X233" s="26">
        <v>25</v>
      </c>
      <c r="Y233" s="25" t="s">
        <v>73</v>
      </c>
      <c r="Z233" s="25" t="s">
        <v>755</v>
      </c>
      <c r="AA233" s="25" t="s">
        <v>73</v>
      </c>
      <c r="AB233" s="25" t="s">
        <v>79</v>
      </c>
      <c r="AC233" s="25" t="s">
        <v>73</v>
      </c>
      <c r="AD233" s="25" t="s">
        <v>777</v>
      </c>
      <c r="AE233" s="25"/>
      <c r="AF233" s="25"/>
      <c r="AG233" s="25" t="s">
        <v>75</v>
      </c>
      <c r="AH233" s="25" t="s">
        <v>80</v>
      </c>
      <c r="AI233" s="25"/>
      <c r="AJ233" s="25"/>
    </row>
    <row r="234" spans="1:36">
      <c r="A234" s="37">
        <v>232</v>
      </c>
      <c r="B234" s="51" t="s">
        <v>568</v>
      </c>
      <c r="C234" s="54">
        <v>1</v>
      </c>
      <c r="D234" s="54">
        <v>84000</v>
      </c>
      <c r="E234" s="54">
        <v>84000</v>
      </c>
      <c r="F234" s="54">
        <v>105000</v>
      </c>
      <c r="G234" s="54">
        <v>105000</v>
      </c>
      <c r="H234" s="59">
        <v>3500</v>
      </c>
      <c r="I234" s="59">
        <v>2100000</v>
      </c>
      <c r="J234" s="62">
        <v>2000</v>
      </c>
      <c r="K234" s="62">
        <v>2000</v>
      </c>
      <c r="L234" s="33">
        <v>0</v>
      </c>
      <c r="M234" s="33">
        <f t="shared" si="3"/>
        <v>1730</v>
      </c>
      <c r="N234" s="34">
        <v>1750</v>
      </c>
      <c r="O234" s="34">
        <v>2800</v>
      </c>
      <c r="P234" s="34">
        <v>2382</v>
      </c>
      <c r="Q234" s="34">
        <v>20</v>
      </c>
      <c r="R234" s="34">
        <v>2800</v>
      </c>
      <c r="S234" s="34">
        <v>120</v>
      </c>
      <c r="T234" s="34">
        <v>4049</v>
      </c>
      <c r="U234" s="34">
        <v>16</v>
      </c>
      <c r="V234" s="34">
        <v>35</v>
      </c>
      <c r="W234" s="34">
        <v>25</v>
      </c>
      <c r="X234" s="34">
        <v>25</v>
      </c>
      <c r="Y234" s="35" t="s">
        <v>73</v>
      </c>
      <c r="Z234" s="35" t="s">
        <v>755</v>
      </c>
      <c r="AA234" s="35" t="s">
        <v>73</v>
      </c>
      <c r="AB234" s="35" t="s">
        <v>79</v>
      </c>
      <c r="AC234" s="35" t="s">
        <v>73</v>
      </c>
      <c r="AD234" s="35" t="s">
        <v>778</v>
      </c>
      <c r="AE234" s="25"/>
      <c r="AF234" s="25"/>
      <c r="AG234" s="25" t="s">
        <v>75</v>
      </c>
      <c r="AH234" s="25" t="s">
        <v>80</v>
      </c>
      <c r="AI234" s="25"/>
      <c r="AJ234" s="25"/>
    </row>
    <row r="235" spans="1:36">
      <c r="A235" s="36">
        <v>233</v>
      </c>
      <c r="B235" s="52" t="s">
        <v>569</v>
      </c>
      <c r="C235" s="55">
        <v>1</v>
      </c>
      <c r="D235" s="55">
        <v>84000</v>
      </c>
      <c r="E235" s="55">
        <v>84000</v>
      </c>
      <c r="F235" s="55">
        <v>105000</v>
      </c>
      <c r="G235" s="55">
        <v>105000</v>
      </c>
      <c r="H235" s="60">
        <v>3500</v>
      </c>
      <c r="I235" s="60">
        <v>2100000</v>
      </c>
      <c r="J235" s="63">
        <v>2000</v>
      </c>
      <c r="K235" s="63">
        <v>2000</v>
      </c>
      <c r="L235" s="27">
        <v>0</v>
      </c>
      <c r="M235" s="27">
        <f t="shared" si="3"/>
        <v>1730</v>
      </c>
      <c r="N235" s="26">
        <v>1750</v>
      </c>
      <c r="O235" s="26">
        <v>2800</v>
      </c>
      <c r="P235" s="26">
        <v>2357</v>
      </c>
      <c r="Q235" s="26">
        <v>20</v>
      </c>
      <c r="R235" s="26">
        <v>2800</v>
      </c>
      <c r="S235" s="26">
        <v>120</v>
      </c>
      <c r="T235" s="26">
        <v>4071</v>
      </c>
      <c r="U235" s="26">
        <v>16</v>
      </c>
      <c r="V235" s="26">
        <v>35</v>
      </c>
      <c r="W235" s="26">
        <v>25</v>
      </c>
      <c r="X235" s="26">
        <v>25</v>
      </c>
      <c r="Y235" s="25" t="s">
        <v>73</v>
      </c>
      <c r="Z235" s="25" t="s">
        <v>755</v>
      </c>
      <c r="AA235" s="25" t="s">
        <v>73</v>
      </c>
      <c r="AB235" s="25" t="s">
        <v>79</v>
      </c>
      <c r="AC235" s="25" t="s">
        <v>73</v>
      </c>
      <c r="AD235" s="25" t="s">
        <v>779</v>
      </c>
      <c r="AE235" s="25"/>
      <c r="AF235" s="25"/>
      <c r="AG235" s="25" t="s">
        <v>75</v>
      </c>
      <c r="AH235" s="25" t="s">
        <v>80</v>
      </c>
      <c r="AI235" s="25"/>
      <c r="AJ235" s="25"/>
    </row>
    <row r="236" spans="1:36">
      <c r="A236" s="37">
        <v>234</v>
      </c>
      <c r="B236" s="52" t="s">
        <v>570</v>
      </c>
      <c r="C236" s="55">
        <v>1</v>
      </c>
      <c r="D236" s="55">
        <v>84000</v>
      </c>
      <c r="E236" s="55">
        <v>84000</v>
      </c>
      <c r="F236" s="55">
        <v>105000</v>
      </c>
      <c r="G236" s="55">
        <v>105000</v>
      </c>
      <c r="H236" s="60">
        <v>3500</v>
      </c>
      <c r="I236" s="60">
        <v>2100000</v>
      </c>
      <c r="J236" s="63">
        <v>2000</v>
      </c>
      <c r="K236" s="63">
        <v>2000</v>
      </c>
      <c r="L236" s="27">
        <v>0</v>
      </c>
      <c r="M236" s="27">
        <f t="shared" si="3"/>
        <v>1730</v>
      </c>
      <c r="N236" s="26">
        <v>1750</v>
      </c>
      <c r="O236" s="26">
        <v>2800</v>
      </c>
      <c r="P236" s="26">
        <v>2332</v>
      </c>
      <c r="Q236" s="26">
        <v>20</v>
      </c>
      <c r="R236" s="26">
        <v>2800</v>
      </c>
      <c r="S236" s="26">
        <v>120</v>
      </c>
      <c r="T236" s="26">
        <v>4097</v>
      </c>
      <c r="U236" s="26">
        <v>16</v>
      </c>
      <c r="V236" s="26">
        <v>35</v>
      </c>
      <c r="W236" s="26">
        <v>25</v>
      </c>
      <c r="X236" s="26">
        <v>25</v>
      </c>
      <c r="Y236" s="25" t="s">
        <v>73</v>
      </c>
      <c r="Z236" s="25" t="s">
        <v>755</v>
      </c>
      <c r="AA236" s="25" t="s">
        <v>73</v>
      </c>
      <c r="AB236" s="25" t="s">
        <v>79</v>
      </c>
      <c r="AC236" s="25" t="s">
        <v>73</v>
      </c>
      <c r="AD236" s="25" t="s">
        <v>780</v>
      </c>
      <c r="AE236" s="25"/>
      <c r="AF236" s="25"/>
      <c r="AG236" s="25" t="s">
        <v>75</v>
      </c>
      <c r="AH236" s="25" t="s">
        <v>80</v>
      </c>
      <c r="AI236" s="25"/>
      <c r="AJ236" s="25"/>
    </row>
    <row r="237" spans="1:36">
      <c r="A237" s="36">
        <v>235</v>
      </c>
      <c r="B237" s="52" t="s">
        <v>571</v>
      </c>
      <c r="C237" s="55">
        <v>1</v>
      </c>
      <c r="D237" s="55">
        <v>84000</v>
      </c>
      <c r="E237" s="55">
        <v>84000</v>
      </c>
      <c r="F237" s="55">
        <v>105000</v>
      </c>
      <c r="G237" s="55">
        <v>105000</v>
      </c>
      <c r="H237" s="59">
        <v>3500</v>
      </c>
      <c r="I237" s="59">
        <v>2100000</v>
      </c>
      <c r="J237" s="62">
        <v>2000</v>
      </c>
      <c r="K237" s="62">
        <v>2000</v>
      </c>
      <c r="L237" s="33">
        <v>0</v>
      </c>
      <c r="M237" s="33">
        <f t="shared" si="3"/>
        <v>1730</v>
      </c>
      <c r="N237" s="26">
        <v>1750</v>
      </c>
      <c r="O237" s="26">
        <v>2800</v>
      </c>
      <c r="P237" s="26">
        <v>2307</v>
      </c>
      <c r="Q237" s="26">
        <v>20</v>
      </c>
      <c r="R237" s="26">
        <v>2800</v>
      </c>
      <c r="S237" s="26">
        <v>120</v>
      </c>
      <c r="T237" s="26">
        <v>4126</v>
      </c>
      <c r="U237" s="26">
        <v>16</v>
      </c>
      <c r="V237" s="26">
        <v>35</v>
      </c>
      <c r="W237" s="26">
        <v>25</v>
      </c>
      <c r="X237" s="26">
        <v>25</v>
      </c>
      <c r="Y237" s="25" t="s">
        <v>73</v>
      </c>
      <c r="Z237" s="25" t="s">
        <v>755</v>
      </c>
      <c r="AA237" s="25" t="s">
        <v>73</v>
      </c>
      <c r="AB237" s="25" t="s">
        <v>79</v>
      </c>
      <c r="AC237" s="25" t="s">
        <v>73</v>
      </c>
      <c r="AD237" s="25" t="s">
        <v>781</v>
      </c>
      <c r="AE237" s="25"/>
      <c r="AF237" s="25"/>
      <c r="AG237" s="25" t="s">
        <v>75</v>
      </c>
      <c r="AH237" s="25" t="s">
        <v>80</v>
      </c>
      <c r="AI237" s="25"/>
      <c r="AJ237" s="25"/>
    </row>
    <row r="238" spans="1:36">
      <c r="A238" s="37">
        <v>236</v>
      </c>
      <c r="B238" s="51" t="s">
        <v>572</v>
      </c>
      <c r="C238" s="54">
        <v>1</v>
      </c>
      <c r="D238" s="54">
        <v>84000</v>
      </c>
      <c r="E238" s="54">
        <v>84000</v>
      </c>
      <c r="F238" s="54">
        <v>105000</v>
      </c>
      <c r="G238" s="54">
        <v>105000</v>
      </c>
      <c r="H238" s="60">
        <v>3500</v>
      </c>
      <c r="I238" s="60">
        <v>2100000</v>
      </c>
      <c r="J238" s="63">
        <v>2000</v>
      </c>
      <c r="K238" s="63">
        <v>2000</v>
      </c>
      <c r="L238" s="27">
        <v>0</v>
      </c>
      <c r="M238" s="27">
        <f t="shared" si="3"/>
        <v>1730</v>
      </c>
      <c r="N238" s="34">
        <v>1750</v>
      </c>
      <c r="O238" s="34">
        <v>2800</v>
      </c>
      <c r="P238" s="34">
        <v>2282</v>
      </c>
      <c r="Q238" s="34">
        <v>20</v>
      </c>
      <c r="R238" s="34">
        <v>2800</v>
      </c>
      <c r="S238" s="34">
        <v>120</v>
      </c>
      <c r="T238" s="34">
        <v>4157</v>
      </c>
      <c r="U238" s="34">
        <v>16</v>
      </c>
      <c r="V238" s="34">
        <v>35</v>
      </c>
      <c r="W238" s="34">
        <v>25</v>
      </c>
      <c r="X238" s="34">
        <v>25</v>
      </c>
      <c r="Y238" s="35" t="s">
        <v>73</v>
      </c>
      <c r="Z238" s="35" t="s">
        <v>755</v>
      </c>
      <c r="AA238" s="35" t="s">
        <v>73</v>
      </c>
      <c r="AB238" s="35" t="s">
        <v>79</v>
      </c>
      <c r="AC238" s="35" t="s">
        <v>73</v>
      </c>
      <c r="AD238" s="35" t="s">
        <v>782</v>
      </c>
      <c r="AE238" s="25"/>
      <c r="AF238" s="25"/>
      <c r="AG238" s="25" t="s">
        <v>75</v>
      </c>
      <c r="AH238" s="25" t="s">
        <v>80</v>
      </c>
      <c r="AI238" s="25"/>
      <c r="AJ238" s="25"/>
    </row>
    <row r="239" spans="1:36">
      <c r="A239" s="36">
        <v>237</v>
      </c>
      <c r="B239" s="51" t="s">
        <v>573</v>
      </c>
      <c r="C239" s="54">
        <v>1</v>
      </c>
      <c r="D239" s="54">
        <v>84000</v>
      </c>
      <c r="E239" s="54">
        <v>84000</v>
      </c>
      <c r="F239" s="54">
        <v>105000</v>
      </c>
      <c r="G239" s="54">
        <v>105000</v>
      </c>
      <c r="H239" s="60">
        <v>3500</v>
      </c>
      <c r="I239" s="60">
        <v>2100000</v>
      </c>
      <c r="J239" s="63">
        <v>2000</v>
      </c>
      <c r="K239" s="63">
        <v>2000</v>
      </c>
      <c r="L239" s="27">
        <v>0</v>
      </c>
      <c r="M239" s="27">
        <f t="shared" si="3"/>
        <v>1730</v>
      </c>
      <c r="N239" s="34">
        <v>1750</v>
      </c>
      <c r="O239" s="34">
        <v>2800</v>
      </c>
      <c r="P239" s="34">
        <v>2282</v>
      </c>
      <c r="Q239" s="34">
        <v>20</v>
      </c>
      <c r="R239" s="34">
        <v>2800</v>
      </c>
      <c r="S239" s="34">
        <v>120</v>
      </c>
      <c r="T239" s="34">
        <v>4157</v>
      </c>
      <c r="U239" s="34">
        <v>16</v>
      </c>
      <c r="V239" s="34">
        <v>35</v>
      </c>
      <c r="W239" s="34">
        <v>25</v>
      </c>
      <c r="X239" s="34">
        <v>25</v>
      </c>
      <c r="Y239" s="35" t="s">
        <v>73</v>
      </c>
      <c r="Z239" s="35" t="s">
        <v>755</v>
      </c>
      <c r="AA239" s="35" t="s">
        <v>73</v>
      </c>
      <c r="AB239" s="35" t="s">
        <v>79</v>
      </c>
      <c r="AC239" s="35" t="s">
        <v>73</v>
      </c>
      <c r="AD239" s="35" t="s">
        <v>783</v>
      </c>
      <c r="AE239" s="25"/>
      <c r="AF239" s="25"/>
      <c r="AG239" s="25" t="s">
        <v>75</v>
      </c>
      <c r="AH239" s="25" t="s">
        <v>80</v>
      </c>
      <c r="AI239" s="25"/>
      <c r="AJ239" s="25"/>
    </row>
    <row r="240" spans="1:36">
      <c r="A240" s="37">
        <v>238</v>
      </c>
      <c r="B240" s="52" t="s">
        <v>574</v>
      </c>
      <c r="C240" s="55">
        <v>1</v>
      </c>
      <c r="D240" s="55">
        <v>84000</v>
      </c>
      <c r="E240" s="55">
        <v>84000</v>
      </c>
      <c r="F240" s="55">
        <v>105000</v>
      </c>
      <c r="G240" s="55">
        <v>105000</v>
      </c>
      <c r="H240" s="59">
        <v>3500</v>
      </c>
      <c r="I240" s="59">
        <v>2100000</v>
      </c>
      <c r="J240" s="62">
        <v>2000</v>
      </c>
      <c r="K240" s="62">
        <v>2000</v>
      </c>
      <c r="L240" s="33">
        <v>0</v>
      </c>
      <c r="M240" s="33">
        <f t="shared" si="3"/>
        <v>1730</v>
      </c>
      <c r="N240" s="26">
        <v>1750</v>
      </c>
      <c r="O240" s="26">
        <v>2800</v>
      </c>
      <c r="P240" s="26">
        <v>2256</v>
      </c>
      <c r="Q240" s="26">
        <v>20</v>
      </c>
      <c r="R240" s="26">
        <v>2800</v>
      </c>
      <c r="S240" s="26">
        <v>120</v>
      </c>
      <c r="T240" s="26">
        <v>4196</v>
      </c>
      <c r="U240" s="26">
        <v>16</v>
      </c>
      <c r="V240" s="26">
        <v>35</v>
      </c>
      <c r="W240" s="26">
        <v>25</v>
      </c>
      <c r="X240" s="26">
        <v>25</v>
      </c>
      <c r="Y240" s="25" t="s">
        <v>73</v>
      </c>
      <c r="Z240" s="25" t="s">
        <v>755</v>
      </c>
      <c r="AA240" s="25" t="s">
        <v>73</v>
      </c>
      <c r="AB240" s="25" t="s">
        <v>79</v>
      </c>
      <c r="AC240" s="25" t="s">
        <v>73</v>
      </c>
      <c r="AD240" s="25" t="s">
        <v>784</v>
      </c>
      <c r="AE240" s="25"/>
      <c r="AF240" s="25"/>
      <c r="AG240" s="25" t="s">
        <v>75</v>
      </c>
      <c r="AH240" s="25" t="s">
        <v>80</v>
      </c>
      <c r="AI240" s="25"/>
      <c r="AJ240" s="25"/>
    </row>
    <row r="241" spans="1:36">
      <c r="A241" s="36">
        <v>239</v>
      </c>
      <c r="B241" s="52" t="s">
        <v>575</v>
      </c>
      <c r="C241" s="55">
        <v>1</v>
      </c>
      <c r="D241" s="55">
        <v>84000</v>
      </c>
      <c r="E241" s="55">
        <v>84000</v>
      </c>
      <c r="F241" s="55">
        <v>105000</v>
      </c>
      <c r="G241" s="55">
        <v>105000</v>
      </c>
      <c r="H241" s="60">
        <v>3500</v>
      </c>
      <c r="I241" s="60">
        <v>2100000</v>
      </c>
      <c r="J241" s="63">
        <v>2000</v>
      </c>
      <c r="K241" s="63">
        <v>2000</v>
      </c>
      <c r="L241" s="27">
        <v>0</v>
      </c>
      <c r="M241" s="27">
        <f t="shared" si="3"/>
        <v>1730</v>
      </c>
      <c r="N241" s="26">
        <v>1750</v>
      </c>
      <c r="O241" s="26">
        <v>2800</v>
      </c>
      <c r="P241" s="26">
        <v>2230</v>
      </c>
      <c r="Q241" s="26">
        <v>20</v>
      </c>
      <c r="R241" s="26">
        <v>2800</v>
      </c>
      <c r="S241" s="26">
        <v>120</v>
      </c>
      <c r="T241" s="26">
        <v>4237</v>
      </c>
      <c r="U241" s="26">
        <v>16</v>
      </c>
      <c r="V241" s="26">
        <v>35</v>
      </c>
      <c r="W241" s="26">
        <v>25</v>
      </c>
      <c r="X241" s="26">
        <v>25</v>
      </c>
      <c r="Y241" s="25" t="s">
        <v>73</v>
      </c>
      <c r="Z241" s="25" t="s">
        <v>755</v>
      </c>
      <c r="AA241" s="25" t="s">
        <v>73</v>
      </c>
      <c r="AB241" s="25" t="s">
        <v>79</v>
      </c>
      <c r="AC241" s="25" t="s">
        <v>73</v>
      </c>
      <c r="AD241" s="25" t="s">
        <v>784</v>
      </c>
      <c r="AE241" s="25"/>
      <c r="AF241" s="25"/>
      <c r="AG241" s="25" t="s">
        <v>75</v>
      </c>
      <c r="AH241" s="25" t="s">
        <v>80</v>
      </c>
      <c r="AI241" s="25"/>
      <c r="AJ241" s="25"/>
    </row>
    <row r="242" spans="1:36">
      <c r="A242" s="37">
        <v>240</v>
      </c>
      <c r="B242" s="52" t="s">
        <v>576</v>
      </c>
      <c r="C242" s="55">
        <v>1</v>
      </c>
      <c r="D242" s="55">
        <v>84000</v>
      </c>
      <c r="E242" s="55">
        <v>84000</v>
      </c>
      <c r="F242" s="55">
        <v>105000</v>
      </c>
      <c r="G242" s="55">
        <v>105000</v>
      </c>
      <c r="H242" s="60">
        <v>3500</v>
      </c>
      <c r="I242" s="60">
        <v>2100000</v>
      </c>
      <c r="J242" s="63">
        <v>2000</v>
      </c>
      <c r="K242" s="63">
        <v>2000</v>
      </c>
      <c r="L242" s="27">
        <v>0</v>
      </c>
      <c r="M242" s="27">
        <f t="shared" si="3"/>
        <v>1730</v>
      </c>
      <c r="N242" s="26">
        <v>1750</v>
      </c>
      <c r="O242" s="26">
        <v>2800</v>
      </c>
      <c r="P242" s="26">
        <v>2204</v>
      </c>
      <c r="Q242" s="26">
        <v>20</v>
      </c>
      <c r="R242" s="26">
        <v>2800</v>
      </c>
      <c r="S242" s="26">
        <v>120</v>
      </c>
      <c r="T242" s="26">
        <v>4281</v>
      </c>
      <c r="U242" s="26">
        <v>16</v>
      </c>
      <c r="V242" s="26">
        <v>35</v>
      </c>
      <c r="W242" s="26">
        <v>25</v>
      </c>
      <c r="X242" s="26">
        <v>25</v>
      </c>
      <c r="Y242" s="25" t="s">
        <v>73</v>
      </c>
      <c r="Z242" s="25" t="s">
        <v>755</v>
      </c>
      <c r="AA242" s="25" t="s">
        <v>73</v>
      </c>
      <c r="AB242" s="25" t="s">
        <v>79</v>
      </c>
      <c r="AC242" s="25" t="s">
        <v>73</v>
      </c>
      <c r="AD242" s="25" t="s">
        <v>784</v>
      </c>
      <c r="AE242" s="25"/>
      <c r="AF242" s="25"/>
      <c r="AG242" s="25" t="s">
        <v>75</v>
      </c>
      <c r="AH242" s="25" t="s">
        <v>80</v>
      </c>
      <c r="AI242" s="25"/>
      <c r="AJ242" s="25"/>
    </row>
    <row r="243" spans="1:36">
      <c r="A243" s="36">
        <v>241</v>
      </c>
      <c r="B243" s="51" t="s">
        <v>577</v>
      </c>
      <c r="C243" s="54">
        <v>1</v>
      </c>
      <c r="D243" s="54">
        <v>84000</v>
      </c>
      <c r="E243" s="54">
        <v>84000</v>
      </c>
      <c r="F243" s="54">
        <v>105000</v>
      </c>
      <c r="G243" s="54">
        <v>105000</v>
      </c>
      <c r="H243" s="59">
        <v>3500</v>
      </c>
      <c r="I243" s="59">
        <v>2100000</v>
      </c>
      <c r="J243" s="62">
        <v>2000</v>
      </c>
      <c r="K243" s="62">
        <v>2000</v>
      </c>
      <c r="L243" s="33">
        <v>0</v>
      </c>
      <c r="M243" s="33">
        <f t="shared" si="3"/>
        <v>1730</v>
      </c>
      <c r="N243" s="34">
        <v>1750</v>
      </c>
      <c r="O243" s="34">
        <v>2800</v>
      </c>
      <c r="P243" s="34">
        <v>2178</v>
      </c>
      <c r="Q243" s="34">
        <v>20</v>
      </c>
      <c r="R243" s="34">
        <v>2800</v>
      </c>
      <c r="S243" s="34">
        <v>120</v>
      </c>
      <c r="T243" s="34">
        <v>4325</v>
      </c>
      <c r="U243" s="34">
        <v>16</v>
      </c>
      <c r="V243" s="34">
        <v>38</v>
      </c>
      <c r="W243" s="34">
        <v>25</v>
      </c>
      <c r="X243" s="34">
        <v>25</v>
      </c>
      <c r="Y243" s="35" t="s">
        <v>73</v>
      </c>
      <c r="Z243" s="35" t="s">
        <v>755</v>
      </c>
      <c r="AA243" s="35" t="s">
        <v>73</v>
      </c>
      <c r="AB243" s="35" t="s">
        <v>79</v>
      </c>
      <c r="AC243" s="35" t="s">
        <v>73</v>
      </c>
      <c r="AD243" s="35" t="s">
        <v>783</v>
      </c>
      <c r="AE243" s="25"/>
      <c r="AF243" s="25"/>
      <c r="AG243" s="25" t="s">
        <v>75</v>
      </c>
      <c r="AH243" s="25" t="s">
        <v>80</v>
      </c>
      <c r="AI243" s="25"/>
      <c r="AJ243" s="25"/>
    </row>
    <row r="244" spans="1:36">
      <c r="A244" s="37">
        <v>242</v>
      </c>
      <c r="B244" s="52" t="s">
        <v>578</v>
      </c>
      <c r="C244" s="55">
        <v>1</v>
      </c>
      <c r="D244" s="55">
        <v>84000</v>
      </c>
      <c r="E244" s="55">
        <v>84000</v>
      </c>
      <c r="F244" s="55">
        <v>105000</v>
      </c>
      <c r="G244" s="55">
        <v>105000</v>
      </c>
      <c r="H244" s="60">
        <v>3500</v>
      </c>
      <c r="I244" s="60">
        <v>2100000</v>
      </c>
      <c r="J244" s="63">
        <v>2000</v>
      </c>
      <c r="K244" s="63">
        <v>2000</v>
      </c>
      <c r="L244" s="27">
        <v>0</v>
      </c>
      <c r="M244" s="27">
        <f t="shared" si="3"/>
        <v>1730</v>
      </c>
      <c r="N244" s="26">
        <v>1750</v>
      </c>
      <c r="O244" s="26">
        <v>2800</v>
      </c>
      <c r="P244" s="26">
        <v>2153</v>
      </c>
      <c r="Q244" s="26">
        <v>20</v>
      </c>
      <c r="R244" s="26">
        <v>2800</v>
      </c>
      <c r="S244" s="26">
        <v>120</v>
      </c>
      <c r="T244" s="26">
        <v>4382</v>
      </c>
      <c r="U244" s="26">
        <v>16</v>
      </c>
      <c r="V244" s="26">
        <v>38</v>
      </c>
      <c r="W244" s="26">
        <v>25</v>
      </c>
      <c r="X244" s="26">
        <v>25</v>
      </c>
      <c r="Y244" s="25" t="s">
        <v>73</v>
      </c>
      <c r="Z244" s="25" t="s">
        <v>755</v>
      </c>
      <c r="AA244" s="25" t="s">
        <v>73</v>
      </c>
      <c r="AB244" s="25" t="s">
        <v>79</v>
      </c>
      <c r="AC244" s="25" t="s">
        <v>73</v>
      </c>
      <c r="AD244" s="25" t="s">
        <v>785</v>
      </c>
      <c r="AE244" s="25"/>
      <c r="AF244" s="25"/>
      <c r="AG244" s="25" t="s">
        <v>75</v>
      </c>
      <c r="AH244" s="25" t="s">
        <v>80</v>
      </c>
      <c r="AI244" s="25"/>
      <c r="AJ244" s="25"/>
    </row>
    <row r="245" spans="1:36">
      <c r="A245" s="36">
        <v>243</v>
      </c>
      <c r="B245" s="52" t="s">
        <v>579</v>
      </c>
      <c r="C245" s="55">
        <v>1</v>
      </c>
      <c r="D245" s="55">
        <v>84000</v>
      </c>
      <c r="E245" s="55">
        <v>84000</v>
      </c>
      <c r="F245" s="55">
        <v>105000</v>
      </c>
      <c r="G245" s="55">
        <v>105000</v>
      </c>
      <c r="H245" s="60">
        <v>3500</v>
      </c>
      <c r="I245" s="60">
        <v>2100000</v>
      </c>
      <c r="J245" s="63">
        <v>2000</v>
      </c>
      <c r="K245" s="63">
        <v>2000</v>
      </c>
      <c r="L245" s="27">
        <v>0</v>
      </c>
      <c r="M245" s="27">
        <f t="shared" si="3"/>
        <v>1730</v>
      </c>
      <c r="N245" s="26">
        <v>1750</v>
      </c>
      <c r="O245" s="26">
        <v>2800</v>
      </c>
      <c r="P245" s="26">
        <v>2127</v>
      </c>
      <c r="Q245" s="26">
        <v>20</v>
      </c>
      <c r="R245" s="26">
        <v>2800</v>
      </c>
      <c r="S245" s="26">
        <v>120</v>
      </c>
      <c r="T245" s="26">
        <v>4438</v>
      </c>
      <c r="U245" s="26">
        <v>16</v>
      </c>
      <c r="V245" s="26">
        <v>38</v>
      </c>
      <c r="W245" s="26">
        <v>25</v>
      </c>
      <c r="X245" s="26">
        <v>25</v>
      </c>
      <c r="Y245" s="25" t="s">
        <v>73</v>
      </c>
      <c r="Z245" s="25" t="s">
        <v>755</v>
      </c>
      <c r="AA245" s="25" t="s">
        <v>73</v>
      </c>
      <c r="AB245" s="25" t="s">
        <v>79</v>
      </c>
      <c r="AC245" s="25" t="s">
        <v>73</v>
      </c>
      <c r="AD245" s="25" t="s">
        <v>786</v>
      </c>
      <c r="AE245" s="25"/>
      <c r="AF245" s="25"/>
      <c r="AG245" s="25" t="s">
        <v>75</v>
      </c>
      <c r="AH245" s="25" t="s">
        <v>80</v>
      </c>
      <c r="AI245" s="25"/>
      <c r="AJ245" s="25"/>
    </row>
    <row r="246" spans="1:36">
      <c r="A246" s="37">
        <v>244</v>
      </c>
      <c r="B246" s="52" t="s">
        <v>580</v>
      </c>
      <c r="C246" s="55">
        <v>1</v>
      </c>
      <c r="D246" s="55">
        <v>84000</v>
      </c>
      <c r="E246" s="55">
        <v>84000</v>
      </c>
      <c r="F246" s="55">
        <v>105000</v>
      </c>
      <c r="G246" s="55">
        <v>105000</v>
      </c>
      <c r="H246" s="59">
        <v>3500</v>
      </c>
      <c r="I246" s="59">
        <v>2100000</v>
      </c>
      <c r="J246" s="62">
        <v>2000</v>
      </c>
      <c r="K246" s="62">
        <v>2000</v>
      </c>
      <c r="L246" s="33">
        <v>0</v>
      </c>
      <c r="M246" s="33">
        <f t="shared" si="3"/>
        <v>1730</v>
      </c>
      <c r="N246" s="26">
        <v>1750</v>
      </c>
      <c r="O246" s="26">
        <v>2800</v>
      </c>
      <c r="P246" s="26">
        <v>2101</v>
      </c>
      <c r="Q246" s="26">
        <v>20</v>
      </c>
      <c r="R246" s="26">
        <v>2800</v>
      </c>
      <c r="S246" s="26">
        <v>120</v>
      </c>
      <c r="T246" s="26">
        <v>4499</v>
      </c>
      <c r="U246" s="26">
        <v>16</v>
      </c>
      <c r="V246" s="26">
        <v>38</v>
      </c>
      <c r="W246" s="26">
        <v>25</v>
      </c>
      <c r="X246" s="26">
        <v>25</v>
      </c>
      <c r="Y246" s="25" t="s">
        <v>73</v>
      </c>
      <c r="Z246" s="25" t="s">
        <v>755</v>
      </c>
      <c r="AA246" s="25" t="s">
        <v>73</v>
      </c>
      <c r="AB246" s="25" t="s">
        <v>79</v>
      </c>
      <c r="AC246" s="25" t="s">
        <v>73</v>
      </c>
      <c r="AD246" s="25" t="s">
        <v>787</v>
      </c>
      <c r="AE246" s="25"/>
      <c r="AF246" s="25"/>
      <c r="AG246" s="25" t="s">
        <v>75</v>
      </c>
      <c r="AH246" s="25" t="s">
        <v>80</v>
      </c>
      <c r="AI246" s="25"/>
      <c r="AJ246" s="25"/>
    </row>
    <row r="247" spans="1:36">
      <c r="A247" s="36">
        <v>245</v>
      </c>
      <c r="B247" s="51" t="s">
        <v>581</v>
      </c>
      <c r="C247" s="54">
        <v>1</v>
      </c>
      <c r="D247" s="54">
        <v>84000</v>
      </c>
      <c r="E247" s="54">
        <v>84000</v>
      </c>
      <c r="F247" s="54">
        <v>105000</v>
      </c>
      <c r="G247" s="54">
        <v>105000</v>
      </c>
      <c r="H247" s="60">
        <v>3500</v>
      </c>
      <c r="I247" s="60">
        <v>2100000</v>
      </c>
      <c r="J247" s="63">
        <v>2000</v>
      </c>
      <c r="K247" s="63">
        <v>2000</v>
      </c>
      <c r="L247" s="27">
        <v>0</v>
      </c>
      <c r="M247" s="27">
        <f t="shared" si="3"/>
        <v>1730</v>
      </c>
      <c r="N247" s="34">
        <v>1750</v>
      </c>
      <c r="O247" s="34">
        <v>2800</v>
      </c>
      <c r="P247" s="34">
        <v>2075</v>
      </c>
      <c r="Q247" s="34">
        <v>20</v>
      </c>
      <c r="R247" s="34">
        <v>2800</v>
      </c>
      <c r="S247" s="34">
        <v>120</v>
      </c>
      <c r="T247" s="34">
        <v>4555</v>
      </c>
      <c r="U247" s="34">
        <v>16</v>
      </c>
      <c r="V247" s="34">
        <v>38</v>
      </c>
      <c r="W247" s="34">
        <v>25</v>
      </c>
      <c r="X247" s="34">
        <v>25</v>
      </c>
      <c r="Y247" s="35" t="s">
        <v>73</v>
      </c>
      <c r="Z247" s="35" t="s">
        <v>755</v>
      </c>
      <c r="AA247" s="35" t="s">
        <v>73</v>
      </c>
      <c r="AB247" s="35" t="s">
        <v>79</v>
      </c>
      <c r="AC247" s="35" t="s">
        <v>73</v>
      </c>
      <c r="AD247" s="35" t="s">
        <v>788</v>
      </c>
      <c r="AE247" s="25"/>
      <c r="AF247" s="25"/>
      <c r="AG247" s="25" t="s">
        <v>75</v>
      </c>
      <c r="AH247" s="25" t="s">
        <v>80</v>
      </c>
      <c r="AI247" s="25"/>
      <c r="AJ247" s="25"/>
    </row>
    <row r="248" spans="1:36">
      <c r="A248" s="37">
        <v>246</v>
      </c>
      <c r="B248" s="52" t="s">
        <v>582</v>
      </c>
      <c r="C248" s="55">
        <v>1</v>
      </c>
      <c r="D248" s="55">
        <v>84000</v>
      </c>
      <c r="E248" s="55">
        <v>84000</v>
      </c>
      <c r="F248" s="55">
        <v>105000</v>
      </c>
      <c r="G248" s="55">
        <v>105000</v>
      </c>
      <c r="H248" s="60">
        <v>3500</v>
      </c>
      <c r="I248" s="60">
        <v>2100000</v>
      </c>
      <c r="J248" s="63">
        <v>2000</v>
      </c>
      <c r="K248" s="63">
        <v>2000</v>
      </c>
      <c r="L248" s="27">
        <v>0</v>
      </c>
      <c r="M248" s="27">
        <f t="shared" si="3"/>
        <v>1730</v>
      </c>
      <c r="N248" s="26">
        <v>1750</v>
      </c>
      <c r="O248" s="26">
        <v>2800</v>
      </c>
      <c r="P248" s="26">
        <v>2049</v>
      </c>
      <c r="Q248" s="26">
        <v>20</v>
      </c>
      <c r="R248" s="26">
        <v>2800</v>
      </c>
      <c r="S248" s="26">
        <v>120</v>
      </c>
      <c r="T248" s="26">
        <v>4630</v>
      </c>
      <c r="U248" s="26">
        <v>16</v>
      </c>
      <c r="V248" s="26">
        <v>38</v>
      </c>
      <c r="W248" s="26">
        <v>25</v>
      </c>
      <c r="X248" s="26">
        <v>25</v>
      </c>
      <c r="Y248" s="25" t="s">
        <v>73</v>
      </c>
      <c r="Z248" s="25" t="s">
        <v>755</v>
      </c>
      <c r="AA248" s="25" t="s">
        <v>73</v>
      </c>
      <c r="AB248" s="25" t="s">
        <v>79</v>
      </c>
      <c r="AC248" s="25" t="s">
        <v>73</v>
      </c>
      <c r="AD248" s="25" t="s">
        <v>789</v>
      </c>
      <c r="AE248" s="25"/>
      <c r="AF248" s="25"/>
      <c r="AG248" s="25" t="s">
        <v>75</v>
      </c>
      <c r="AH248" s="25" t="s">
        <v>80</v>
      </c>
      <c r="AI248" s="25"/>
      <c r="AJ248" s="25"/>
    </row>
    <row r="249" spans="1:36">
      <c r="A249" s="36">
        <v>247</v>
      </c>
      <c r="B249" s="52" t="s">
        <v>583</v>
      </c>
      <c r="C249" s="55">
        <v>1</v>
      </c>
      <c r="D249" s="55">
        <v>84000</v>
      </c>
      <c r="E249" s="55">
        <v>84000</v>
      </c>
      <c r="F249" s="55">
        <v>105000</v>
      </c>
      <c r="G249" s="55">
        <v>105000</v>
      </c>
      <c r="H249" s="59">
        <v>3500</v>
      </c>
      <c r="I249" s="59">
        <v>2100000</v>
      </c>
      <c r="J249" s="62">
        <v>2000</v>
      </c>
      <c r="K249" s="62">
        <v>2000</v>
      </c>
      <c r="L249" s="33">
        <v>0</v>
      </c>
      <c r="M249" s="33">
        <f t="shared" si="3"/>
        <v>1730</v>
      </c>
      <c r="N249" s="26">
        <v>1750</v>
      </c>
      <c r="O249" s="26">
        <v>2800</v>
      </c>
      <c r="P249" s="26">
        <v>2023</v>
      </c>
      <c r="Q249" s="26">
        <v>20</v>
      </c>
      <c r="R249" s="26">
        <v>2800</v>
      </c>
      <c r="S249" s="26">
        <v>120</v>
      </c>
      <c r="T249" s="26">
        <v>4702</v>
      </c>
      <c r="U249" s="26">
        <v>16</v>
      </c>
      <c r="V249" s="26">
        <v>38</v>
      </c>
      <c r="W249" s="26">
        <v>25</v>
      </c>
      <c r="X249" s="26">
        <v>25</v>
      </c>
      <c r="Y249" s="25" t="s">
        <v>73</v>
      </c>
      <c r="Z249" s="25" t="s">
        <v>755</v>
      </c>
      <c r="AA249" s="25" t="s">
        <v>73</v>
      </c>
      <c r="AB249" s="25" t="s">
        <v>79</v>
      </c>
      <c r="AC249" s="25" t="s">
        <v>73</v>
      </c>
      <c r="AD249" s="25" t="s">
        <v>790</v>
      </c>
      <c r="AE249" s="25"/>
      <c r="AF249" s="25"/>
      <c r="AG249" s="25" t="s">
        <v>75</v>
      </c>
      <c r="AH249" s="25" t="s">
        <v>80</v>
      </c>
      <c r="AI249" s="25"/>
      <c r="AJ249" s="25"/>
    </row>
    <row r="250" spans="1:36">
      <c r="A250" s="37">
        <v>248</v>
      </c>
      <c r="B250" s="52" t="s">
        <v>584</v>
      </c>
      <c r="C250" s="55">
        <v>1</v>
      </c>
      <c r="D250" s="55">
        <v>84000</v>
      </c>
      <c r="E250" s="55">
        <v>84000</v>
      </c>
      <c r="F250" s="55">
        <v>105000</v>
      </c>
      <c r="G250" s="55">
        <v>105000</v>
      </c>
      <c r="H250" s="60">
        <v>3500</v>
      </c>
      <c r="I250" s="60">
        <v>2100000</v>
      </c>
      <c r="J250" s="63">
        <v>2000</v>
      </c>
      <c r="K250" s="63">
        <v>2000</v>
      </c>
      <c r="L250" s="27">
        <v>0</v>
      </c>
      <c r="M250" s="27">
        <f t="shared" si="3"/>
        <v>1730</v>
      </c>
      <c r="N250" s="26">
        <v>1750</v>
      </c>
      <c r="O250" s="26">
        <v>2800</v>
      </c>
      <c r="P250" s="26">
        <v>1997</v>
      </c>
      <c r="Q250" s="26">
        <v>20</v>
      </c>
      <c r="R250" s="26">
        <v>2800</v>
      </c>
      <c r="S250" s="26">
        <v>120</v>
      </c>
      <c r="T250" s="26">
        <v>4778</v>
      </c>
      <c r="U250" s="26">
        <v>16</v>
      </c>
      <c r="V250" s="26">
        <v>38</v>
      </c>
      <c r="W250" s="26">
        <v>25</v>
      </c>
      <c r="X250" s="26">
        <v>25</v>
      </c>
      <c r="Y250" s="25" t="s">
        <v>73</v>
      </c>
      <c r="Z250" s="25" t="s">
        <v>755</v>
      </c>
      <c r="AA250" s="25" t="s">
        <v>73</v>
      </c>
      <c r="AB250" s="25" t="s">
        <v>79</v>
      </c>
      <c r="AC250" s="25" t="s">
        <v>73</v>
      </c>
      <c r="AD250" s="25" t="s">
        <v>791</v>
      </c>
      <c r="AE250" s="25"/>
      <c r="AF250" s="25"/>
      <c r="AG250" s="25" t="s">
        <v>75</v>
      </c>
      <c r="AH250" s="25" t="s">
        <v>80</v>
      </c>
      <c r="AI250" s="25"/>
      <c r="AJ250" s="25"/>
    </row>
    <row r="251" spans="1:36">
      <c r="A251" s="36">
        <v>249</v>
      </c>
      <c r="B251" s="51" t="s">
        <v>585</v>
      </c>
      <c r="C251" s="54">
        <v>1</v>
      </c>
      <c r="D251" s="54">
        <v>84000</v>
      </c>
      <c r="E251" s="54">
        <v>84000</v>
      </c>
      <c r="F251" s="54">
        <v>105000</v>
      </c>
      <c r="G251" s="54">
        <v>105000</v>
      </c>
      <c r="H251" s="60">
        <v>3500</v>
      </c>
      <c r="I251" s="60">
        <v>2100000</v>
      </c>
      <c r="J251" s="63">
        <v>2000</v>
      </c>
      <c r="K251" s="63">
        <v>2000</v>
      </c>
      <c r="L251" s="27">
        <v>0</v>
      </c>
      <c r="M251" s="27">
        <f t="shared" si="3"/>
        <v>1730</v>
      </c>
      <c r="N251" s="34">
        <v>1750</v>
      </c>
      <c r="O251" s="34">
        <v>2800</v>
      </c>
      <c r="P251" s="34">
        <v>1971</v>
      </c>
      <c r="Q251" s="34">
        <v>20</v>
      </c>
      <c r="R251" s="34">
        <v>2800</v>
      </c>
      <c r="S251" s="34">
        <v>120</v>
      </c>
      <c r="T251" s="34">
        <v>4845</v>
      </c>
      <c r="U251" s="34">
        <v>16</v>
      </c>
      <c r="V251" s="34">
        <v>38</v>
      </c>
      <c r="W251" s="34">
        <v>25</v>
      </c>
      <c r="X251" s="34">
        <v>25</v>
      </c>
      <c r="Y251" s="35" t="s">
        <v>73</v>
      </c>
      <c r="Z251" s="35" t="s">
        <v>755</v>
      </c>
      <c r="AA251" s="35" t="s">
        <v>73</v>
      </c>
      <c r="AB251" s="35" t="s">
        <v>79</v>
      </c>
      <c r="AC251" s="35" t="s">
        <v>73</v>
      </c>
      <c r="AD251" s="35" t="s">
        <v>792</v>
      </c>
      <c r="AE251" s="25"/>
      <c r="AF251" s="25"/>
      <c r="AG251" s="25" t="s">
        <v>75</v>
      </c>
      <c r="AH251" s="25" t="s">
        <v>80</v>
      </c>
      <c r="AI251" s="25"/>
      <c r="AJ251" s="25"/>
    </row>
    <row r="252" spans="1:36">
      <c r="A252" s="37">
        <v>250</v>
      </c>
      <c r="B252" s="51" t="s">
        <v>586</v>
      </c>
      <c r="C252" s="54">
        <v>1</v>
      </c>
      <c r="D252" s="54">
        <v>84000</v>
      </c>
      <c r="E252" s="54">
        <v>84000</v>
      </c>
      <c r="F252" s="54">
        <v>105000</v>
      </c>
      <c r="G252" s="54">
        <v>105000</v>
      </c>
      <c r="H252" s="59">
        <v>3500</v>
      </c>
      <c r="I252" s="59">
        <v>2100000</v>
      </c>
      <c r="J252" s="62">
        <v>2000</v>
      </c>
      <c r="K252" s="62">
        <v>2000</v>
      </c>
      <c r="L252" s="33">
        <v>0</v>
      </c>
      <c r="M252" s="33">
        <f t="shared" si="3"/>
        <v>1730</v>
      </c>
      <c r="N252" s="34">
        <v>1750</v>
      </c>
      <c r="O252" s="34">
        <v>2800</v>
      </c>
      <c r="P252" s="34">
        <v>1971</v>
      </c>
      <c r="Q252" s="34">
        <v>20</v>
      </c>
      <c r="R252" s="34">
        <v>2800</v>
      </c>
      <c r="S252" s="34">
        <v>120</v>
      </c>
      <c r="T252" s="34">
        <v>4845</v>
      </c>
      <c r="U252" s="34">
        <v>16</v>
      </c>
      <c r="V252" s="34">
        <v>38</v>
      </c>
      <c r="W252" s="34">
        <v>25</v>
      </c>
      <c r="X252" s="34">
        <v>25</v>
      </c>
      <c r="Y252" s="35" t="s">
        <v>73</v>
      </c>
      <c r="Z252" s="35" t="s">
        <v>755</v>
      </c>
      <c r="AA252" s="35" t="s">
        <v>73</v>
      </c>
      <c r="AB252" s="35" t="s">
        <v>79</v>
      </c>
      <c r="AC252" s="35" t="s">
        <v>73</v>
      </c>
      <c r="AD252" s="35" t="s">
        <v>793</v>
      </c>
      <c r="AE252" s="25"/>
      <c r="AF252" s="25"/>
      <c r="AG252" s="25" t="s">
        <v>75</v>
      </c>
      <c r="AH252" s="25" t="s">
        <v>80</v>
      </c>
      <c r="AI252" s="25"/>
      <c r="AJ252" s="25"/>
    </row>
    <row r="253" spans="1:36">
      <c r="A253" s="36">
        <v>251</v>
      </c>
      <c r="B253" s="52" t="s">
        <v>587</v>
      </c>
      <c r="C253" s="55">
        <v>1</v>
      </c>
      <c r="D253" s="55">
        <v>84000</v>
      </c>
      <c r="E253" s="55">
        <v>84000</v>
      </c>
      <c r="F253" s="55">
        <v>105000</v>
      </c>
      <c r="G253" s="55">
        <v>105000</v>
      </c>
      <c r="H253" s="60">
        <v>3500</v>
      </c>
      <c r="I253" s="60">
        <v>2100000</v>
      </c>
      <c r="J253" s="63">
        <v>2000</v>
      </c>
      <c r="K253" s="63">
        <v>2000</v>
      </c>
      <c r="L253" s="27">
        <v>0</v>
      </c>
      <c r="M253" s="27">
        <f t="shared" ref="M253:M316" si="4">N253-Q253</f>
        <v>1730</v>
      </c>
      <c r="N253" s="26">
        <v>1750</v>
      </c>
      <c r="O253" s="26">
        <v>2800</v>
      </c>
      <c r="P253" s="26">
        <v>1945</v>
      </c>
      <c r="Q253" s="26">
        <v>20</v>
      </c>
      <c r="R253" s="26">
        <v>2800</v>
      </c>
      <c r="S253" s="26">
        <v>120</v>
      </c>
      <c r="T253" s="26">
        <v>4940</v>
      </c>
      <c r="U253" s="26">
        <v>16</v>
      </c>
      <c r="V253" s="26">
        <v>38</v>
      </c>
      <c r="W253" s="26">
        <v>25</v>
      </c>
      <c r="X253" s="26">
        <v>25</v>
      </c>
      <c r="Y253" s="25" t="s">
        <v>73</v>
      </c>
      <c r="Z253" s="25" t="s">
        <v>755</v>
      </c>
      <c r="AA253" s="25" t="s">
        <v>73</v>
      </c>
      <c r="AB253" s="25" t="s">
        <v>79</v>
      </c>
      <c r="AC253" s="25" t="s">
        <v>73</v>
      </c>
      <c r="AD253" s="25" t="s">
        <v>794</v>
      </c>
      <c r="AE253" s="25"/>
      <c r="AF253" s="25"/>
      <c r="AG253" s="25" t="s">
        <v>75</v>
      </c>
      <c r="AH253" s="25" t="s">
        <v>80</v>
      </c>
      <c r="AI253" s="25"/>
      <c r="AJ253" s="25"/>
    </row>
    <row r="254" spans="1:36">
      <c r="A254" s="37">
        <v>252</v>
      </c>
      <c r="B254" s="52" t="s">
        <v>588</v>
      </c>
      <c r="C254" s="55">
        <v>1</v>
      </c>
      <c r="D254" s="55">
        <v>84000</v>
      </c>
      <c r="E254" s="55">
        <v>84000</v>
      </c>
      <c r="F254" s="55">
        <v>105000</v>
      </c>
      <c r="G254" s="55">
        <v>105000</v>
      </c>
      <c r="H254" s="60">
        <v>3500</v>
      </c>
      <c r="I254" s="60">
        <v>2100000</v>
      </c>
      <c r="J254" s="63">
        <v>2000</v>
      </c>
      <c r="K254" s="63">
        <v>2000</v>
      </c>
      <c r="L254" s="27">
        <v>0</v>
      </c>
      <c r="M254" s="27">
        <f t="shared" si="4"/>
        <v>1730</v>
      </c>
      <c r="N254" s="26">
        <v>1750</v>
      </c>
      <c r="O254" s="26">
        <v>2800</v>
      </c>
      <c r="P254" s="26">
        <v>1919</v>
      </c>
      <c r="Q254" s="26">
        <v>20</v>
      </c>
      <c r="R254" s="26">
        <v>2800</v>
      </c>
      <c r="S254" s="26">
        <v>120</v>
      </c>
      <c r="T254" s="26">
        <v>5027</v>
      </c>
      <c r="U254" s="26">
        <v>16</v>
      </c>
      <c r="V254" s="26">
        <v>38</v>
      </c>
      <c r="W254" s="26">
        <v>25</v>
      </c>
      <c r="X254" s="26">
        <v>25</v>
      </c>
      <c r="Y254" s="25" t="s">
        <v>73</v>
      </c>
      <c r="Z254" s="25" t="s">
        <v>755</v>
      </c>
      <c r="AA254" s="25" t="s">
        <v>73</v>
      </c>
      <c r="AB254" s="25" t="s">
        <v>79</v>
      </c>
      <c r="AC254" s="25" t="s">
        <v>73</v>
      </c>
      <c r="AD254" s="25" t="s">
        <v>794</v>
      </c>
      <c r="AE254" s="25"/>
      <c r="AF254" s="25"/>
      <c r="AG254" s="25" t="s">
        <v>75</v>
      </c>
      <c r="AH254" s="25" t="s">
        <v>80</v>
      </c>
      <c r="AI254" s="25"/>
      <c r="AJ254" s="25"/>
    </row>
    <row r="255" spans="1:36">
      <c r="A255" s="36">
        <v>253</v>
      </c>
      <c r="B255" s="52" t="s">
        <v>589</v>
      </c>
      <c r="C255" s="55">
        <v>1</v>
      </c>
      <c r="D255" s="55">
        <v>84000</v>
      </c>
      <c r="E255" s="55">
        <v>84000</v>
      </c>
      <c r="F255" s="55">
        <v>105000</v>
      </c>
      <c r="G255" s="55">
        <v>105000</v>
      </c>
      <c r="H255" s="59">
        <v>3500</v>
      </c>
      <c r="I255" s="59">
        <v>2100000</v>
      </c>
      <c r="J255" s="62">
        <v>2000</v>
      </c>
      <c r="K255" s="62">
        <v>2000</v>
      </c>
      <c r="L255" s="33">
        <v>0</v>
      </c>
      <c r="M255" s="33">
        <f t="shared" si="4"/>
        <v>1730</v>
      </c>
      <c r="N255" s="26">
        <v>1750</v>
      </c>
      <c r="O255" s="26">
        <v>2800</v>
      </c>
      <c r="P255" s="26">
        <v>1893</v>
      </c>
      <c r="Q255" s="26">
        <v>20</v>
      </c>
      <c r="R255" s="26">
        <v>2800</v>
      </c>
      <c r="S255" s="26">
        <v>120</v>
      </c>
      <c r="T255" s="26">
        <v>5118</v>
      </c>
      <c r="U255" s="26">
        <v>16</v>
      </c>
      <c r="V255" s="26">
        <v>38</v>
      </c>
      <c r="W255" s="26">
        <v>25</v>
      </c>
      <c r="X255" s="26">
        <v>25</v>
      </c>
      <c r="Y255" s="25" t="s">
        <v>73</v>
      </c>
      <c r="Z255" s="25" t="s">
        <v>755</v>
      </c>
      <c r="AA255" s="25" t="s">
        <v>73</v>
      </c>
      <c r="AB255" s="25" t="s">
        <v>79</v>
      </c>
      <c r="AC255" s="25" t="s">
        <v>73</v>
      </c>
      <c r="AD255" s="25" t="s">
        <v>794</v>
      </c>
      <c r="AE255" s="25"/>
      <c r="AF255" s="25"/>
      <c r="AG255" s="25" t="s">
        <v>75</v>
      </c>
      <c r="AH255" s="25" t="s">
        <v>80</v>
      </c>
      <c r="AI255" s="25"/>
      <c r="AJ255" s="25"/>
    </row>
    <row r="256" spans="1:36">
      <c r="A256" s="37">
        <v>254</v>
      </c>
      <c r="B256" s="51" t="s">
        <v>590</v>
      </c>
      <c r="C256" s="54">
        <v>1</v>
      </c>
      <c r="D256" s="54">
        <v>84000</v>
      </c>
      <c r="E256" s="54">
        <v>84000</v>
      </c>
      <c r="F256" s="54">
        <v>105000</v>
      </c>
      <c r="G256" s="54">
        <v>105000</v>
      </c>
      <c r="H256" s="60">
        <v>3500</v>
      </c>
      <c r="I256" s="60">
        <v>2100000</v>
      </c>
      <c r="J256" s="63">
        <v>2000</v>
      </c>
      <c r="K256" s="63">
        <v>2000</v>
      </c>
      <c r="L256" s="27">
        <v>0</v>
      </c>
      <c r="M256" s="27">
        <f t="shared" si="4"/>
        <v>1730</v>
      </c>
      <c r="N256" s="34">
        <v>1750</v>
      </c>
      <c r="O256" s="34">
        <v>2800</v>
      </c>
      <c r="P256" s="34">
        <v>1900</v>
      </c>
      <c r="Q256" s="34">
        <v>20</v>
      </c>
      <c r="R256" s="34">
        <v>2800</v>
      </c>
      <c r="S256" s="34">
        <v>120</v>
      </c>
      <c r="T256" s="34">
        <v>5196</v>
      </c>
      <c r="U256" s="34">
        <v>16</v>
      </c>
      <c r="V256" s="34">
        <v>40</v>
      </c>
      <c r="W256" s="34">
        <v>32</v>
      </c>
      <c r="X256" s="34">
        <v>32</v>
      </c>
      <c r="Y256" s="35" t="s">
        <v>73</v>
      </c>
      <c r="Z256" s="35" t="s">
        <v>755</v>
      </c>
      <c r="AA256" s="35" t="s">
        <v>73</v>
      </c>
      <c r="AB256" s="35" t="s">
        <v>79</v>
      </c>
      <c r="AC256" s="35" t="s">
        <v>73</v>
      </c>
      <c r="AD256" s="35" t="s">
        <v>793</v>
      </c>
      <c r="AE256" s="25"/>
      <c r="AF256" s="25"/>
      <c r="AG256" s="25" t="s">
        <v>75</v>
      </c>
      <c r="AH256" s="25" t="s">
        <v>80</v>
      </c>
      <c r="AI256" s="25"/>
      <c r="AJ256" s="25"/>
    </row>
    <row r="257" spans="1:36">
      <c r="A257" s="36">
        <v>255</v>
      </c>
      <c r="B257" s="52" t="s">
        <v>591</v>
      </c>
      <c r="C257" s="55">
        <v>1</v>
      </c>
      <c r="D257" s="55">
        <v>84000</v>
      </c>
      <c r="E257" s="55">
        <v>84000</v>
      </c>
      <c r="F257" s="55">
        <v>105000</v>
      </c>
      <c r="G257" s="55">
        <v>105000</v>
      </c>
      <c r="H257" s="60">
        <v>3500</v>
      </c>
      <c r="I257" s="60">
        <v>2100000</v>
      </c>
      <c r="J257" s="63">
        <v>2000</v>
      </c>
      <c r="K257" s="63">
        <v>2000</v>
      </c>
      <c r="L257" s="27">
        <v>0</v>
      </c>
      <c r="M257" s="27">
        <f t="shared" si="4"/>
        <v>1730</v>
      </c>
      <c r="N257" s="26">
        <v>1750</v>
      </c>
      <c r="O257" s="26">
        <v>2800</v>
      </c>
      <c r="P257" s="26">
        <v>1900</v>
      </c>
      <c r="Q257" s="26">
        <v>20</v>
      </c>
      <c r="R257" s="26">
        <v>2800</v>
      </c>
      <c r="S257" s="26">
        <v>120</v>
      </c>
      <c r="T257" s="26">
        <v>5312</v>
      </c>
      <c r="U257" s="26">
        <v>16</v>
      </c>
      <c r="V257" s="26">
        <v>40</v>
      </c>
      <c r="W257" s="26">
        <v>32</v>
      </c>
      <c r="X257" s="26">
        <v>32</v>
      </c>
      <c r="Y257" s="25" t="s">
        <v>73</v>
      </c>
      <c r="Z257" s="25" t="s">
        <v>755</v>
      </c>
      <c r="AA257" s="25" t="s">
        <v>73</v>
      </c>
      <c r="AB257" s="25" t="s">
        <v>79</v>
      </c>
      <c r="AC257" s="25" t="s">
        <v>73</v>
      </c>
      <c r="AD257" s="25" t="s">
        <v>794</v>
      </c>
      <c r="AE257" s="25"/>
      <c r="AF257" s="25"/>
      <c r="AG257" s="25" t="s">
        <v>75</v>
      </c>
      <c r="AH257" s="25" t="s">
        <v>80</v>
      </c>
      <c r="AI257" s="25"/>
      <c r="AJ257" s="25"/>
    </row>
    <row r="258" spans="1:36">
      <c r="A258" s="37">
        <v>256</v>
      </c>
      <c r="B258" s="52" t="s">
        <v>592</v>
      </c>
      <c r="C258" s="55">
        <v>1</v>
      </c>
      <c r="D258" s="55">
        <v>84000</v>
      </c>
      <c r="E258" s="55">
        <v>84000</v>
      </c>
      <c r="F258" s="55">
        <v>105000</v>
      </c>
      <c r="G258" s="55">
        <v>105000</v>
      </c>
      <c r="H258" s="59">
        <v>3500</v>
      </c>
      <c r="I258" s="59">
        <v>2100000</v>
      </c>
      <c r="J258" s="62">
        <v>2000</v>
      </c>
      <c r="K258" s="62">
        <v>2000</v>
      </c>
      <c r="L258" s="33">
        <v>0</v>
      </c>
      <c r="M258" s="33">
        <f t="shared" si="4"/>
        <v>1730</v>
      </c>
      <c r="N258" s="26">
        <v>1750</v>
      </c>
      <c r="O258" s="26">
        <v>2800</v>
      </c>
      <c r="P258" s="26">
        <v>1900</v>
      </c>
      <c r="Q258" s="26">
        <v>20</v>
      </c>
      <c r="R258" s="26">
        <v>2800</v>
      </c>
      <c r="S258" s="26">
        <v>120</v>
      </c>
      <c r="T258" s="26">
        <v>5414</v>
      </c>
      <c r="U258" s="26">
        <v>16</v>
      </c>
      <c r="V258" s="26">
        <v>40</v>
      </c>
      <c r="W258" s="26">
        <v>32</v>
      </c>
      <c r="X258" s="26">
        <v>32</v>
      </c>
      <c r="Y258" s="25" t="s">
        <v>73</v>
      </c>
      <c r="Z258" s="25" t="s">
        <v>755</v>
      </c>
      <c r="AA258" s="25" t="s">
        <v>73</v>
      </c>
      <c r="AB258" s="25" t="s">
        <v>79</v>
      </c>
      <c r="AC258" s="25" t="s">
        <v>73</v>
      </c>
      <c r="AD258" s="25" t="s">
        <v>794</v>
      </c>
      <c r="AE258" s="25"/>
      <c r="AF258" s="25"/>
      <c r="AG258" s="25" t="s">
        <v>75</v>
      </c>
      <c r="AH258" s="25" t="s">
        <v>80</v>
      </c>
      <c r="AI258" s="25"/>
      <c r="AJ258" s="25"/>
    </row>
    <row r="259" spans="1:36">
      <c r="A259" s="36">
        <v>257</v>
      </c>
      <c r="B259" s="52" t="s">
        <v>593</v>
      </c>
      <c r="C259" s="55">
        <v>2</v>
      </c>
      <c r="D259" s="55">
        <v>80834.532374100716</v>
      </c>
      <c r="E259" s="55">
        <v>80834.532374100716</v>
      </c>
      <c r="F259" s="55">
        <v>105000</v>
      </c>
      <c r="G259" s="55">
        <v>105000</v>
      </c>
      <c r="H259" s="60">
        <v>3500</v>
      </c>
      <c r="I259" s="60">
        <v>2100000</v>
      </c>
      <c r="J259" s="63">
        <v>2000</v>
      </c>
      <c r="K259" s="63">
        <v>2000</v>
      </c>
      <c r="L259" s="27">
        <v>0</v>
      </c>
      <c r="M259" s="27">
        <f t="shared" si="4"/>
        <v>1730</v>
      </c>
      <c r="N259" s="26">
        <v>1750</v>
      </c>
      <c r="O259" s="26">
        <v>2800</v>
      </c>
      <c r="P259" s="26">
        <v>1900</v>
      </c>
      <c r="Q259" s="26">
        <v>20</v>
      </c>
      <c r="R259" s="26">
        <v>2800</v>
      </c>
      <c r="S259" s="26">
        <v>120</v>
      </c>
      <c r="T259" s="26">
        <v>5520</v>
      </c>
      <c r="U259" s="26">
        <v>16</v>
      </c>
      <c r="V259" s="26">
        <v>40</v>
      </c>
      <c r="W259" s="26">
        <v>32</v>
      </c>
      <c r="X259" s="26">
        <v>32</v>
      </c>
      <c r="Y259" s="25" t="s">
        <v>73</v>
      </c>
      <c r="Z259" s="25" t="s">
        <v>755</v>
      </c>
      <c r="AA259" s="25" t="s">
        <v>73</v>
      </c>
      <c r="AB259" s="25" t="s">
        <v>79</v>
      </c>
      <c r="AC259" s="25" t="s">
        <v>73</v>
      </c>
      <c r="AD259" s="25" t="s">
        <v>794</v>
      </c>
      <c r="AE259" s="25"/>
      <c r="AF259" s="25"/>
      <c r="AG259" s="25" t="s">
        <v>75</v>
      </c>
      <c r="AH259" s="25" t="s">
        <v>80</v>
      </c>
      <c r="AI259" s="25"/>
      <c r="AJ259" s="25"/>
    </row>
    <row r="260" spans="1:36">
      <c r="A260" s="37">
        <v>258</v>
      </c>
      <c r="B260" s="51" t="s">
        <v>594</v>
      </c>
      <c r="C260" s="54">
        <v>2</v>
      </c>
      <c r="D260" s="54">
        <v>77669.064748201432</v>
      </c>
      <c r="E260" s="54">
        <v>77669.064748201432</v>
      </c>
      <c r="F260" s="54">
        <v>105000</v>
      </c>
      <c r="G260" s="54">
        <v>105000</v>
      </c>
      <c r="H260" s="60">
        <v>3500</v>
      </c>
      <c r="I260" s="60">
        <v>2100000</v>
      </c>
      <c r="J260" s="63">
        <v>2000</v>
      </c>
      <c r="K260" s="63">
        <v>2000</v>
      </c>
      <c r="L260" s="27">
        <v>0</v>
      </c>
      <c r="M260" s="27">
        <f t="shared" si="4"/>
        <v>1730</v>
      </c>
      <c r="N260" s="34">
        <v>1750</v>
      </c>
      <c r="O260" s="34">
        <v>2800</v>
      </c>
      <c r="P260" s="34">
        <v>1900</v>
      </c>
      <c r="Q260" s="34">
        <v>20</v>
      </c>
      <c r="R260" s="34">
        <v>2800</v>
      </c>
      <c r="S260" s="34">
        <v>120</v>
      </c>
      <c r="T260" s="34">
        <v>5608</v>
      </c>
      <c r="U260" s="34">
        <v>16</v>
      </c>
      <c r="V260" s="34">
        <v>40</v>
      </c>
      <c r="W260" s="34">
        <v>32</v>
      </c>
      <c r="X260" s="34">
        <v>32</v>
      </c>
      <c r="Y260" s="35" t="s">
        <v>73</v>
      </c>
      <c r="Z260" s="35" t="s">
        <v>755</v>
      </c>
      <c r="AA260" s="35" t="s">
        <v>73</v>
      </c>
      <c r="AB260" s="35" t="s">
        <v>79</v>
      </c>
      <c r="AC260" s="35" t="s">
        <v>73</v>
      </c>
      <c r="AD260" s="35" t="s">
        <v>793</v>
      </c>
      <c r="AE260" s="25"/>
      <c r="AF260" s="25"/>
      <c r="AG260" s="25" t="s">
        <v>75</v>
      </c>
      <c r="AH260" s="25" t="s">
        <v>80</v>
      </c>
      <c r="AI260" s="25"/>
      <c r="AJ260" s="25"/>
    </row>
    <row r="261" spans="1:36">
      <c r="A261" s="36">
        <v>259</v>
      </c>
      <c r="B261" s="52" t="s">
        <v>595</v>
      </c>
      <c r="C261" s="55">
        <v>2</v>
      </c>
      <c r="D261" s="55">
        <v>74503.597122302162</v>
      </c>
      <c r="E261" s="55">
        <v>74503.597122302162</v>
      </c>
      <c r="F261" s="55">
        <v>105000</v>
      </c>
      <c r="G261" s="55">
        <v>105000</v>
      </c>
      <c r="H261" s="59">
        <v>3500</v>
      </c>
      <c r="I261" s="59">
        <v>2100000</v>
      </c>
      <c r="J261" s="62">
        <v>2000</v>
      </c>
      <c r="K261" s="62">
        <v>2000</v>
      </c>
      <c r="L261" s="33">
        <v>0</v>
      </c>
      <c r="M261" s="33">
        <f t="shared" si="4"/>
        <v>1730</v>
      </c>
      <c r="N261" s="26">
        <v>1750</v>
      </c>
      <c r="O261" s="26">
        <v>2800</v>
      </c>
      <c r="P261" s="26">
        <v>1900</v>
      </c>
      <c r="Q261" s="26">
        <v>20</v>
      </c>
      <c r="R261" s="26">
        <v>2800</v>
      </c>
      <c r="S261" s="26">
        <v>120</v>
      </c>
      <c r="T261" s="26">
        <v>5745</v>
      </c>
      <c r="U261" s="26">
        <v>16</v>
      </c>
      <c r="V261" s="26">
        <v>40</v>
      </c>
      <c r="W261" s="26">
        <v>32</v>
      </c>
      <c r="X261" s="26">
        <v>32</v>
      </c>
      <c r="Y261" s="25" t="s">
        <v>73</v>
      </c>
      <c r="Z261" s="25" t="s">
        <v>755</v>
      </c>
      <c r="AA261" s="25" t="s">
        <v>73</v>
      </c>
      <c r="AB261" s="25" t="s">
        <v>79</v>
      </c>
      <c r="AC261" s="25" t="s">
        <v>73</v>
      </c>
      <c r="AD261" s="25" t="s">
        <v>794</v>
      </c>
      <c r="AE261" s="25"/>
      <c r="AF261" s="25"/>
      <c r="AG261" s="25" t="s">
        <v>75</v>
      </c>
      <c r="AH261" s="25" t="s">
        <v>80</v>
      </c>
      <c r="AI261" s="25"/>
      <c r="AJ261" s="25"/>
    </row>
    <row r="262" spans="1:36">
      <c r="A262" s="37">
        <v>260</v>
      </c>
      <c r="B262" s="52" t="s">
        <v>596</v>
      </c>
      <c r="C262" s="55">
        <v>2</v>
      </c>
      <c r="D262" s="55">
        <v>71338.129496402878</v>
      </c>
      <c r="E262" s="55">
        <v>71338.129496402878</v>
      </c>
      <c r="F262" s="55">
        <v>105000</v>
      </c>
      <c r="G262" s="55">
        <v>105000</v>
      </c>
      <c r="H262" s="60">
        <v>3500</v>
      </c>
      <c r="I262" s="60">
        <v>2100000</v>
      </c>
      <c r="J262" s="63">
        <v>2000</v>
      </c>
      <c r="K262" s="63">
        <v>2000</v>
      </c>
      <c r="L262" s="27">
        <v>0</v>
      </c>
      <c r="M262" s="27">
        <f t="shared" si="4"/>
        <v>1730</v>
      </c>
      <c r="N262" s="26">
        <v>1750</v>
      </c>
      <c r="O262" s="26">
        <v>2800</v>
      </c>
      <c r="P262" s="26">
        <v>1900</v>
      </c>
      <c r="Q262" s="26">
        <v>20</v>
      </c>
      <c r="R262" s="26">
        <v>2800</v>
      </c>
      <c r="S262" s="26">
        <v>120</v>
      </c>
      <c r="T262" s="26">
        <v>5863</v>
      </c>
      <c r="U262" s="26">
        <v>16</v>
      </c>
      <c r="V262" s="26">
        <v>40</v>
      </c>
      <c r="W262" s="26">
        <v>32</v>
      </c>
      <c r="X262" s="26">
        <v>32</v>
      </c>
      <c r="Y262" s="25" t="s">
        <v>73</v>
      </c>
      <c r="Z262" s="25" t="s">
        <v>755</v>
      </c>
      <c r="AA262" s="25" t="s">
        <v>73</v>
      </c>
      <c r="AB262" s="25" t="s">
        <v>79</v>
      </c>
      <c r="AC262" s="25" t="s">
        <v>73</v>
      </c>
      <c r="AD262" s="25" t="s">
        <v>794</v>
      </c>
      <c r="AE262" s="25"/>
      <c r="AF262" s="25"/>
      <c r="AG262" s="25" t="s">
        <v>75</v>
      </c>
      <c r="AH262" s="25" t="s">
        <v>80</v>
      </c>
      <c r="AI262" s="25"/>
      <c r="AJ262" s="25"/>
    </row>
    <row r="263" spans="1:36">
      <c r="A263" s="36">
        <v>261</v>
      </c>
      <c r="B263" s="52" t="s">
        <v>597</v>
      </c>
      <c r="C263" s="55">
        <v>2</v>
      </c>
      <c r="D263" s="55">
        <v>68172.661870503594</v>
      </c>
      <c r="E263" s="55">
        <v>68172.661870503594</v>
      </c>
      <c r="F263" s="55">
        <v>105000</v>
      </c>
      <c r="G263" s="55">
        <v>105000</v>
      </c>
      <c r="H263" s="60">
        <v>3500</v>
      </c>
      <c r="I263" s="60">
        <v>2100000</v>
      </c>
      <c r="J263" s="63">
        <v>2000</v>
      </c>
      <c r="K263" s="63">
        <v>2000</v>
      </c>
      <c r="L263" s="27">
        <v>0</v>
      </c>
      <c r="M263" s="27">
        <f t="shared" si="4"/>
        <v>1730</v>
      </c>
      <c r="N263" s="26">
        <v>1750</v>
      </c>
      <c r="O263" s="26">
        <v>2800</v>
      </c>
      <c r="P263" s="26">
        <v>1900</v>
      </c>
      <c r="Q263" s="26">
        <v>20</v>
      </c>
      <c r="R263" s="26">
        <v>2800</v>
      </c>
      <c r="S263" s="26">
        <v>120</v>
      </c>
      <c r="T263" s="26">
        <v>5985</v>
      </c>
      <c r="U263" s="26">
        <v>16</v>
      </c>
      <c r="V263" s="26">
        <v>40</v>
      </c>
      <c r="W263" s="26">
        <v>32</v>
      </c>
      <c r="X263" s="26">
        <v>32</v>
      </c>
      <c r="Y263" s="25" t="s">
        <v>73</v>
      </c>
      <c r="Z263" s="25" t="s">
        <v>755</v>
      </c>
      <c r="AA263" s="25" t="s">
        <v>73</v>
      </c>
      <c r="AB263" s="25" t="s">
        <v>79</v>
      </c>
      <c r="AC263" s="25" t="s">
        <v>73</v>
      </c>
      <c r="AD263" s="25" t="s">
        <v>794</v>
      </c>
      <c r="AE263" s="25"/>
      <c r="AF263" s="25"/>
      <c r="AG263" s="25" t="s">
        <v>75</v>
      </c>
      <c r="AH263" s="25" t="s">
        <v>80</v>
      </c>
      <c r="AI263" s="25"/>
      <c r="AJ263" s="25"/>
    </row>
    <row r="264" spans="1:36">
      <c r="A264" s="37">
        <v>262</v>
      </c>
      <c r="B264" s="51" t="s">
        <v>598</v>
      </c>
      <c r="C264" s="54">
        <v>2</v>
      </c>
      <c r="D264" s="54">
        <v>65007.194244604318</v>
      </c>
      <c r="E264" s="54">
        <v>65007.194244604318</v>
      </c>
      <c r="F264" s="54">
        <v>105000</v>
      </c>
      <c r="G264" s="54">
        <v>105000</v>
      </c>
      <c r="H264" s="59">
        <v>3500</v>
      </c>
      <c r="I264" s="59">
        <v>2100000</v>
      </c>
      <c r="J264" s="62">
        <v>2000</v>
      </c>
      <c r="K264" s="62">
        <v>2000</v>
      </c>
      <c r="L264" s="33">
        <v>0</v>
      </c>
      <c r="M264" s="33">
        <f t="shared" si="4"/>
        <v>1730</v>
      </c>
      <c r="N264" s="34">
        <v>1750</v>
      </c>
      <c r="O264" s="34">
        <v>2800</v>
      </c>
      <c r="P264" s="34">
        <v>1900</v>
      </c>
      <c r="Q264" s="34">
        <v>20</v>
      </c>
      <c r="R264" s="34">
        <v>2800</v>
      </c>
      <c r="S264" s="34">
        <v>120</v>
      </c>
      <c r="T264" s="34">
        <v>6081</v>
      </c>
      <c r="U264" s="34">
        <v>16</v>
      </c>
      <c r="V264" s="34">
        <v>40</v>
      </c>
      <c r="W264" s="34">
        <v>38</v>
      </c>
      <c r="X264" s="34">
        <v>38</v>
      </c>
      <c r="Y264" s="35" t="s">
        <v>73</v>
      </c>
      <c r="Z264" s="35" t="s">
        <v>755</v>
      </c>
      <c r="AA264" s="35" t="s">
        <v>73</v>
      </c>
      <c r="AB264" s="35" t="s">
        <v>79</v>
      </c>
      <c r="AC264" s="35" t="s">
        <v>73</v>
      </c>
      <c r="AD264" s="35" t="s">
        <v>793</v>
      </c>
      <c r="AE264" s="25"/>
      <c r="AF264" s="25"/>
      <c r="AG264" s="25" t="s">
        <v>75</v>
      </c>
      <c r="AH264" s="25" t="s">
        <v>80</v>
      </c>
      <c r="AI264" s="25"/>
      <c r="AJ264" s="25"/>
    </row>
    <row r="265" spans="1:36">
      <c r="A265" s="36">
        <v>263</v>
      </c>
      <c r="B265" s="52" t="s">
        <v>599</v>
      </c>
      <c r="C265" s="55">
        <v>2</v>
      </c>
      <c r="D265" s="55">
        <v>61841.726618705041</v>
      </c>
      <c r="E265" s="55">
        <v>61841.726618705041</v>
      </c>
      <c r="F265" s="55">
        <v>105000</v>
      </c>
      <c r="G265" s="55">
        <v>105000</v>
      </c>
      <c r="H265" s="60">
        <v>3500</v>
      </c>
      <c r="I265" s="60">
        <v>2100000</v>
      </c>
      <c r="J265" s="63">
        <v>2000</v>
      </c>
      <c r="K265" s="63">
        <v>2000</v>
      </c>
      <c r="L265" s="27">
        <v>0</v>
      </c>
      <c r="M265" s="27">
        <f t="shared" si="4"/>
        <v>1730</v>
      </c>
      <c r="N265" s="26">
        <v>1750</v>
      </c>
      <c r="O265" s="26">
        <v>2800</v>
      </c>
      <c r="P265" s="26">
        <v>1900</v>
      </c>
      <c r="Q265" s="26">
        <v>20</v>
      </c>
      <c r="R265" s="26">
        <v>2800</v>
      </c>
      <c r="S265" s="26">
        <v>120</v>
      </c>
      <c r="T265" s="26">
        <v>6240</v>
      </c>
      <c r="U265" s="26">
        <v>16</v>
      </c>
      <c r="V265" s="26">
        <v>40</v>
      </c>
      <c r="W265" s="26">
        <v>38</v>
      </c>
      <c r="X265" s="26">
        <v>38</v>
      </c>
      <c r="Y265" s="25" t="s">
        <v>73</v>
      </c>
      <c r="Z265" s="25" t="s">
        <v>755</v>
      </c>
      <c r="AA265" s="25" t="s">
        <v>73</v>
      </c>
      <c r="AB265" s="25" t="s">
        <v>79</v>
      </c>
      <c r="AC265" s="25" t="s">
        <v>73</v>
      </c>
      <c r="AD265" s="25" t="s">
        <v>794</v>
      </c>
      <c r="AE265" s="25"/>
      <c r="AF265" s="25"/>
      <c r="AG265" s="25" t="s">
        <v>75</v>
      </c>
      <c r="AH265" s="25" t="s">
        <v>80</v>
      </c>
      <c r="AI265" s="25"/>
      <c r="AJ265" s="25"/>
    </row>
    <row r="266" spans="1:36">
      <c r="A266" s="37">
        <v>264</v>
      </c>
      <c r="B266" s="52" t="s">
        <v>600</v>
      </c>
      <c r="C266" s="55">
        <v>2</v>
      </c>
      <c r="D266" s="55">
        <v>58676.258992805757</v>
      </c>
      <c r="E266" s="55">
        <v>58676.258992805757</v>
      </c>
      <c r="F266" s="55">
        <v>105000</v>
      </c>
      <c r="G266" s="55">
        <v>105000</v>
      </c>
      <c r="H266" s="60">
        <v>3500</v>
      </c>
      <c r="I266" s="60">
        <v>2100000</v>
      </c>
      <c r="J266" s="63">
        <v>2000</v>
      </c>
      <c r="K266" s="63">
        <v>2000</v>
      </c>
      <c r="L266" s="27">
        <v>0</v>
      </c>
      <c r="M266" s="27">
        <f t="shared" si="4"/>
        <v>1730</v>
      </c>
      <c r="N266" s="26">
        <v>1750</v>
      </c>
      <c r="O266" s="26">
        <v>2800</v>
      </c>
      <c r="P266" s="26">
        <v>1900</v>
      </c>
      <c r="Q266" s="26">
        <v>20</v>
      </c>
      <c r="R266" s="26">
        <v>2800</v>
      </c>
      <c r="S266" s="26">
        <v>120</v>
      </c>
      <c r="T266" s="26">
        <v>6373</v>
      </c>
      <c r="U266" s="26">
        <v>16</v>
      </c>
      <c r="V266" s="26">
        <v>40</v>
      </c>
      <c r="W266" s="26">
        <v>38</v>
      </c>
      <c r="X266" s="26">
        <v>38</v>
      </c>
      <c r="Y266" s="25" t="s">
        <v>73</v>
      </c>
      <c r="Z266" s="25" t="s">
        <v>755</v>
      </c>
      <c r="AA266" s="25" t="s">
        <v>73</v>
      </c>
      <c r="AB266" s="25" t="s">
        <v>79</v>
      </c>
      <c r="AC266" s="25" t="s">
        <v>73</v>
      </c>
      <c r="AD266" s="25" t="s">
        <v>794</v>
      </c>
      <c r="AE266" s="25"/>
      <c r="AF266" s="25"/>
      <c r="AG266" s="25" t="s">
        <v>75</v>
      </c>
      <c r="AH266" s="25" t="s">
        <v>80</v>
      </c>
      <c r="AI266" s="25"/>
      <c r="AJ266" s="25"/>
    </row>
    <row r="267" spans="1:36">
      <c r="A267" s="36">
        <v>265</v>
      </c>
      <c r="B267" s="52" t="s">
        <v>601</v>
      </c>
      <c r="C267" s="55">
        <v>2</v>
      </c>
      <c r="D267" s="55">
        <v>55589.92805755396</v>
      </c>
      <c r="E267" s="55">
        <v>55589.92805755396</v>
      </c>
      <c r="F267" s="55">
        <v>105000</v>
      </c>
      <c r="G267" s="55">
        <v>105000</v>
      </c>
      <c r="H267" s="59">
        <v>3500</v>
      </c>
      <c r="I267" s="59">
        <v>2100000</v>
      </c>
      <c r="J267" s="62">
        <v>2000</v>
      </c>
      <c r="K267" s="62">
        <v>2000</v>
      </c>
      <c r="L267" s="33">
        <v>0</v>
      </c>
      <c r="M267" s="33">
        <f t="shared" si="4"/>
        <v>1730</v>
      </c>
      <c r="N267" s="26">
        <v>1750</v>
      </c>
      <c r="O267" s="26">
        <v>2800</v>
      </c>
      <c r="P267" s="26">
        <v>1900</v>
      </c>
      <c r="Q267" s="26">
        <v>20</v>
      </c>
      <c r="R267" s="26">
        <v>2800</v>
      </c>
      <c r="S267" s="26">
        <v>120</v>
      </c>
      <c r="T267" s="26">
        <v>6500</v>
      </c>
      <c r="U267" s="26">
        <v>16</v>
      </c>
      <c r="V267" s="26">
        <v>40</v>
      </c>
      <c r="W267" s="26">
        <v>38</v>
      </c>
      <c r="X267" s="26">
        <v>38</v>
      </c>
      <c r="Y267" s="25" t="s">
        <v>73</v>
      </c>
      <c r="Z267" s="25" t="s">
        <v>755</v>
      </c>
      <c r="AA267" s="25" t="s">
        <v>73</v>
      </c>
      <c r="AB267" s="25" t="s">
        <v>79</v>
      </c>
      <c r="AC267" s="25" t="s">
        <v>73</v>
      </c>
      <c r="AD267" s="25" t="s">
        <v>794</v>
      </c>
      <c r="AE267" s="25"/>
      <c r="AF267" s="25"/>
      <c r="AG267" s="25" t="s">
        <v>75</v>
      </c>
      <c r="AH267" s="25" t="s">
        <v>80</v>
      </c>
      <c r="AI267" s="25"/>
      <c r="AJ267" s="25"/>
    </row>
    <row r="268" spans="1:36">
      <c r="A268" s="37">
        <v>266</v>
      </c>
      <c r="B268" s="50" t="s">
        <v>602</v>
      </c>
      <c r="C268" s="53">
        <v>3</v>
      </c>
      <c r="D268" s="53">
        <v>51000</v>
      </c>
      <c r="E268" s="53">
        <v>51000</v>
      </c>
      <c r="F268" s="53">
        <v>127500</v>
      </c>
      <c r="G268" s="53">
        <v>127500</v>
      </c>
      <c r="H268" s="60">
        <v>3500</v>
      </c>
      <c r="I268" s="60">
        <v>2100000</v>
      </c>
      <c r="J268" s="63">
        <v>2000</v>
      </c>
      <c r="K268" s="63">
        <v>2000</v>
      </c>
      <c r="L268" s="27">
        <v>0</v>
      </c>
      <c r="M268" s="27">
        <f t="shared" si="4"/>
        <v>1730</v>
      </c>
      <c r="N268" s="31">
        <v>1750</v>
      </c>
      <c r="O268" s="31">
        <v>2800</v>
      </c>
      <c r="P268" s="31">
        <v>1900</v>
      </c>
      <c r="Q268" s="31">
        <v>20</v>
      </c>
      <c r="R268" s="31">
        <v>2800</v>
      </c>
      <c r="S268" s="31">
        <v>120</v>
      </c>
      <c r="T268" s="31">
        <v>6500</v>
      </c>
      <c r="U268" s="31">
        <v>16</v>
      </c>
      <c r="V268" s="31">
        <v>40</v>
      </c>
      <c r="W268" s="31">
        <v>38</v>
      </c>
      <c r="X268" s="31">
        <v>38</v>
      </c>
      <c r="Y268" s="32" t="s">
        <v>73</v>
      </c>
      <c r="Z268" s="32" t="s">
        <v>755</v>
      </c>
      <c r="AA268" s="32" t="s">
        <v>73</v>
      </c>
      <c r="AB268" s="32" t="s">
        <v>79</v>
      </c>
      <c r="AC268" s="32" t="s">
        <v>73</v>
      </c>
      <c r="AD268" s="32" t="s">
        <v>793</v>
      </c>
      <c r="AE268" s="25"/>
      <c r="AF268" s="25"/>
      <c r="AG268" s="25" t="s">
        <v>75</v>
      </c>
      <c r="AH268" s="25" t="s">
        <v>80</v>
      </c>
      <c r="AI268" s="25"/>
      <c r="AJ268" s="25"/>
    </row>
    <row r="269" spans="1:36">
      <c r="A269" s="36">
        <v>267</v>
      </c>
      <c r="B269" s="52" t="s">
        <v>603</v>
      </c>
      <c r="C269" s="55">
        <v>4</v>
      </c>
      <c r="D269" s="55">
        <v>54619.199999999997</v>
      </c>
      <c r="E269" s="55">
        <v>54619.199999999997</v>
      </c>
      <c r="F269" s="55">
        <v>150000</v>
      </c>
      <c r="G269" s="55">
        <v>150000</v>
      </c>
      <c r="H269" s="60">
        <v>3500</v>
      </c>
      <c r="I269" s="60">
        <v>2100000</v>
      </c>
      <c r="J269" s="63">
        <v>2000</v>
      </c>
      <c r="K269" s="63">
        <v>2000</v>
      </c>
      <c r="L269" s="27">
        <v>0</v>
      </c>
      <c r="M269" s="27">
        <f t="shared" si="4"/>
        <v>1730</v>
      </c>
      <c r="N269" s="26">
        <v>1750</v>
      </c>
      <c r="O269" s="26">
        <v>2800</v>
      </c>
      <c r="P269" s="26">
        <v>1900</v>
      </c>
      <c r="Q269" s="26">
        <v>20</v>
      </c>
      <c r="R269" s="26">
        <v>2800</v>
      </c>
      <c r="S269" s="26">
        <v>120</v>
      </c>
      <c r="T269" s="26">
        <v>6500</v>
      </c>
      <c r="U269" s="26">
        <v>16</v>
      </c>
      <c r="V269" s="26">
        <v>40</v>
      </c>
      <c r="W269" s="26">
        <v>38</v>
      </c>
      <c r="X269" s="26">
        <v>38</v>
      </c>
      <c r="Y269" s="25" t="s">
        <v>73</v>
      </c>
      <c r="Z269" s="25" t="s">
        <v>755</v>
      </c>
      <c r="AA269" s="25" t="s">
        <v>73</v>
      </c>
      <c r="AB269" s="25" t="s">
        <v>79</v>
      </c>
      <c r="AC269" s="25" t="s">
        <v>73</v>
      </c>
      <c r="AD269" s="25" t="s">
        <v>794</v>
      </c>
      <c r="AE269" s="25"/>
      <c r="AF269" s="25"/>
      <c r="AG269" s="25" t="s">
        <v>75</v>
      </c>
      <c r="AH269" s="25" t="s">
        <v>80</v>
      </c>
      <c r="AI269" s="25"/>
      <c r="AJ269" s="25"/>
    </row>
    <row r="270" spans="1:36">
      <c r="A270" s="37">
        <v>268</v>
      </c>
      <c r="B270" s="52" t="s">
        <v>604</v>
      </c>
      <c r="C270" s="55">
        <v>4</v>
      </c>
      <c r="D270" s="55">
        <v>57333.599999999999</v>
      </c>
      <c r="E270" s="55">
        <v>57333.599999999999</v>
      </c>
      <c r="F270" s="55">
        <v>150000</v>
      </c>
      <c r="G270" s="55">
        <v>150000</v>
      </c>
      <c r="H270" s="59">
        <v>3500</v>
      </c>
      <c r="I270" s="59">
        <v>2100000</v>
      </c>
      <c r="J270" s="62">
        <v>2000</v>
      </c>
      <c r="K270" s="62">
        <v>2000</v>
      </c>
      <c r="L270" s="33">
        <v>0</v>
      </c>
      <c r="M270" s="33">
        <f t="shared" si="4"/>
        <v>1730</v>
      </c>
      <c r="N270" s="26">
        <v>1750</v>
      </c>
      <c r="O270" s="26">
        <v>2800</v>
      </c>
      <c r="P270" s="26">
        <v>1900</v>
      </c>
      <c r="Q270" s="26">
        <v>20</v>
      </c>
      <c r="R270" s="26">
        <v>2800</v>
      </c>
      <c r="S270" s="26">
        <v>120</v>
      </c>
      <c r="T270" s="26">
        <v>6358</v>
      </c>
      <c r="U270" s="26">
        <v>16</v>
      </c>
      <c r="V270" s="26">
        <v>40</v>
      </c>
      <c r="W270" s="26">
        <v>38</v>
      </c>
      <c r="X270" s="26">
        <v>38</v>
      </c>
      <c r="Y270" s="25" t="s">
        <v>73</v>
      </c>
      <c r="Z270" s="25" t="s">
        <v>755</v>
      </c>
      <c r="AA270" s="25" t="s">
        <v>73</v>
      </c>
      <c r="AB270" s="25" t="s">
        <v>79</v>
      </c>
      <c r="AC270" s="25" t="s">
        <v>73</v>
      </c>
      <c r="AD270" s="25" t="s">
        <v>794</v>
      </c>
      <c r="AE270" s="25"/>
      <c r="AF270" s="25"/>
      <c r="AG270" s="25" t="s">
        <v>75</v>
      </c>
      <c r="AH270" s="25" t="s">
        <v>80</v>
      </c>
      <c r="AI270" s="25"/>
      <c r="AJ270" s="25"/>
    </row>
    <row r="271" spans="1:36">
      <c r="A271" s="36">
        <v>269</v>
      </c>
      <c r="B271" s="51" t="s">
        <v>605</v>
      </c>
      <c r="C271" s="54">
        <v>4</v>
      </c>
      <c r="D271" s="54">
        <v>60048</v>
      </c>
      <c r="E271" s="54">
        <v>60048</v>
      </c>
      <c r="F271" s="54">
        <v>150000</v>
      </c>
      <c r="G271" s="54">
        <v>150000</v>
      </c>
      <c r="H271" s="60">
        <v>3500</v>
      </c>
      <c r="I271" s="60">
        <v>2100000</v>
      </c>
      <c r="J271" s="63">
        <v>2000</v>
      </c>
      <c r="K271" s="63">
        <v>2000</v>
      </c>
      <c r="L271" s="27">
        <v>0</v>
      </c>
      <c r="M271" s="27">
        <f t="shared" si="4"/>
        <v>1730</v>
      </c>
      <c r="N271" s="34">
        <v>1750</v>
      </c>
      <c r="O271" s="34">
        <v>2800</v>
      </c>
      <c r="P271" s="34">
        <v>1900</v>
      </c>
      <c r="Q271" s="34">
        <v>20</v>
      </c>
      <c r="R271" s="34">
        <v>2800</v>
      </c>
      <c r="S271" s="34">
        <v>120</v>
      </c>
      <c r="T271" s="34">
        <v>6214</v>
      </c>
      <c r="U271" s="34">
        <v>16</v>
      </c>
      <c r="V271" s="34">
        <v>40</v>
      </c>
      <c r="W271" s="34">
        <v>38</v>
      </c>
      <c r="X271" s="34">
        <v>38</v>
      </c>
      <c r="Y271" s="35" t="s">
        <v>73</v>
      </c>
      <c r="Z271" s="35" t="s">
        <v>755</v>
      </c>
      <c r="AA271" s="35" t="s">
        <v>73</v>
      </c>
      <c r="AB271" s="35" t="s">
        <v>79</v>
      </c>
      <c r="AC271" s="35" t="s">
        <v>73</v>
      </c>
      <c r="AD271" s="35" t="s">
        <v>794</v>
      </c>
      <c r="AE271" s="35"/>
      <c r="AF271" s="35"/>
      <c r="AG271" s="35" t="s">
        <v>75</v>
      </c>
      <c r="AH271" s="35" t="s">
        <v>80</v>
      </c>
      <c r="AI271" s="35"/>
      <c r="AJ271" s="35"/>
    </row>
    <row r="272" spans="1:36">
      <c r="A272" s="37">
        <v>270</v>
      </c>
      <c r="B272" s="52" t="s">
        <v>606</v>
      </c>
      <c r="C272" s="55">
        <v>4</v>
      </c>
      <c r="D272" s="55">
        <v>62544</v>
      </c>
      <c r="E272" s="55">
        <v>62544</v>
      </c>
      <c r="F272" s="55">
        <v>150000</v>
      </c>
      <c r="G272" s="55">
        <v>150000</v>
      </c>
      <c r="H272" s="60">
        <v>3500</v>
      </c>
      <c r="I272" s="60">
        <v>2100000</v>
      </c>
      <c r="J272" s="63">
        <v>2000</v>
      </c>
      <c r="K272" s="63">
        <v>2000</v>
      </c>
      <c r="L272" s="27">
        <v>0</v>
      </c>
      <c r="M272" s="27">
        <f t="shared" si="4"/>
        <v>1730</v>
      </c>
      <c r="N272" s="26">
        <v>1750</v>
      </c>
      <c r="O272" s="26">
        <v>2800</v>
      </c>
      <c r="P272" s="26">
        <v>1900</v>
      </c>
      <c r="Q272" s="26">
        <v>20</v>
      </c>
      <c r="R272" s="26">
        <v>2800</v>
      </c>
      <c r="S272" s="26">
        <v>120</v>
      </c>
      <c r="T272" s="26">
        <v>6085</v>
      </c>
      <c r="U272" s="26">
        <v>16</v>
      </c>
      <c r="V272" s="26">
        <v>40</v>
      </c>
      <c r="W272" s="26">
        <v>35</v>
      </c>
      <c r="X272" s="26">
        <v>35</v>
      </c>
      <c r="Y272" s="25" t="s">
        <v>73</v>
      </c>
      <c r="Z272" s="25" t="s">
        <v>755</v>
      </c>
      <c r="AA272" s="25" t="s">
        <v>73</v>
      </c>
      <c r="AB272" s="25" t="s">
        <v>79</v>
      </c>
      <c r="AC272" s="25" t="s">
        <v>73</v>
      </c>
      <c r="AD272" s="25" t="s">
        <v>794</v>
      </c>
      <c r="AE272" s="25"/>
      <c r="AF272" s="25"/>
      <c r="AG272" s="25" t="s">
        <v>75</v>
      </c>
      <c r="AH272" s="25" t="s">
        <v>80</v>
      </c>
      <c r="AI272" s="25"/>
      <c r="AJ272" s="25"/>
    </row>
    <row r="273" spans="1:36">
      <c r="A273" s="36">
        <v>271</v>
      </c>
      <c r="B273" s="52" t="s">
        <v>607</v>
      </c>
      <c r="C273" s="55">
        <v>4</v>
      </c>
      <c r="D273" s="55">
        <v>65040</v>
      </c>
      <c r="E273" s="55">
        <v>65040</v>
      </c>
      <c r="F273" s="55">
        <v>150000</v>
      </c>
      <c r="G273" s="55">
        <v>150000</v>
      </c>
      <c r="H273" s="59">
        <v>3500</v>
      </c>
      <c r="I273" s="59">
        <v>2100000</v>
      </c>
      <c r="J273" s="62">
        <v>2000</v>
      </c>
      <c r="K273" s="62">
        <v>2000</v>
      </c>
      <c r="L273" s="33">
        <v>0</v>
      </c>
      <c r="M273" s="33">
        <f t="shared" si="4"/>
        <v>1730</v>
      </c>
      <c r="N273" s="26">
        <v>1750</v>
      </c>
      <c r="O273" s="26">
        <v>2800</v>
      </c>
      <c r="P273" s="26">
        <v>1900</v>
      </c>
      <c r="Q273" s="26">
        <v>20</v>
      </c>
      <c r="R273" s="26">
        <v>2800</v>
      </c>
      <c r="S273" s="26">
        <v>120</v>
      </c>
      <c r="T273" s="26">
        <v>5960</v>
      </c>
      <c r="U273" s="26">
        <v>16</v>
      </c>
      <c r="V273" s="26">
        <v>40</v>
      </c>
      <c r="W273" s="26">
        <v>35</v>
      </c>
      <c r="X273" s="26">
        <v>35</v>
      </c>
      <c r="Y273" s="25" t="s">
        <v>73</v>
      </c>
      <c r="Z273" s="25" t="s">
        <v>755</v>
      </c>
      <c r="AA273" s="25" t="s">
        <v>73</v>
      </c>
      <c r="AB273" s="25" t="s">
        <v>79</v>
      </c>
      <c r="AC273" s="25" t="s">
        <v>73</v>
      </c>
      <c r="AD273" s="25" t="s">
        <v>794</v>
      </c>
      <c r="AE273" s="25"/>
      <c r="AF273" s="25"/>
      <c r="AG273" s="25" t="s">
        <v>75</v>
      </c>
      <c r="AH273" s="25" t="s">
        <v>80</v>
      </c>
      <c r="AI273" s="25"/>
      <c r="AJ273" s="25"/>
    </row>
    <row r="274" spans="1:36">
      <c r="A274" s="37">
        <v>272</v>
      </c>
      <c r="B274" s="52" t="s">
        <v>608</v>
      </c>
      <c r="C274" s="55">
        <v>4</v>
      </c>
      <c r="D274" s="55">
        <v>67536</v>
      </c>
      <c r="E274" s="55">
        <v>67536</v>
      </c>
      <c r="F274" s="55">
        <v>150000</v>
      </c>
      <c r="G274" s="55">
        <v>150000</v>
      </c>
      <c r="H274" s="60">
        <v>3500</v>
      </c>
      <c r="I274" s="60">
        <v>2100000</v>
      </c>
      <c r="J274" s="63">
        <v>2000</v>
      </c>
      <c r="K274" s="63">
        <v>2000</v>
      </c>
      <c r="L274" s="27">
        <v>0</v>
      </c>
      <c r="M274" s="27">
        <f t="shared" si="4"/>
        <v>1730</v>
      </c>
      <c r="N274" s="26">
        <v>1750</v>
      </c>
      <c r="O274" s="26">
        <v>2800</v>
      </c>
      <c r="P274" s="26">
        <v>1900</v>
      </c>
      <c r="Q274" s="26">
        <v>20</v>
      </c>
      <c r="R274" s="26">
        <v>2800</v>
      </c>
      <c r="S274" s="26">
        <v>120</v>
      </c>
      <c r="T274" s="26">
        <v>5839</v>
      </c>
      <c r="U274" s="26">
        <v>16</v>
      </c>
      <c r="V274" s="26">
        <v>40</v>
      </c>
      <c r="W274" s="26">
        <v>35</v>
      </c>
      <c r="X274" s="26">
        <v>35</v>
      </c>
      <c r="Y274" s="25" t="s">
        <v>73</v>
      </c>
      <c r="Z274" s="25" t="s">
        <v>755</v>
      </c>
      <c r="AA274" s="25" t="s">
        <v>73</v>
      </c>
      <c r="AB274" s="25" t="s">
        <v>79</v>
      </c>
      <c r="AC274" s="25" t="s">
        <v>73</v>
      </c>
      <c r="AD274" s="25" t="s">
        <v>794</v>
      </c>
      <c r="AE274" s="25"/>
      <c r="AF274" s="25"/>
      <c r="AG274" s="25" t="s">
        <v>75</v>
      </c>
      <c r="AH274" s="25" t="s">
        <v>80</v>
      </c>
      <c r="AI274" s="25"/>
      <c r="AJ274" s="25"/>
    </row>
    <row r="275" spans="1:36">
      <c r="A275" s="36">
        <v>273</v>
      </c>
      <c r="B275" s="51" t="s">
        <v>609</v>
      </c>
      <c r="C275" s="54">
        <v>4</v>
      </c>
      <c r="D275" s="54">
        <v>70032</v>
      </c>
      <c r="E275" s="54">
        <v>70032</v>
      </c>
      <c r="F275" s="54">
        <v>150000</v>
      </c>
      <c r="G275" s="54">
        <v>150000</v>
      </c>
      <c r="H275" s="60">
        <v>3500</v>
      </c>
      <c r="I275" s="60">
        <v>2100000</v>
      </c>
      <c r="J275" s="63">
        <v>2000</v>
      </c>
      <c r="K275" s="63">
        <v>2000</v>
      </c>
      <c r="L275" s="27">
        <v>0</v>
      </c>
      <c r="M275" s="27">
        <f t="shared" si="4"/>
        <v>1730</v>
      </c>
      <c r="N275" s="34">
        <v>1750</v>
      </c>
      <c r="O275" s="34">
        <v>2800</v>
      </c>
      <c r="P275" s="34">
        <v>1900</v>
      </c>
      <c r="Q275" s="34">
        <v>20</v>
      </c>
      <c r="R275" s="34">
        <v>2800</v>
      </c>
      <c r="S275" s="34">
        <v>120</v>
      </c>
      <c r="T275" s="34">
        <v>5722</v>
      </c>
      <c r="U275" s="34">
        <v>16</v>
      </c>
      <c r="V275" s="34">
        <v>40</v>
      </c>
      <c r="W275" s="34">
        <v>35</v>
      </c>
      <c r="X275" s="34">
        <v>35</v>
      </c>
      <c r="Y275" s="35" t="s">
        <v>73</v>
      </c>
      <c r="Z275" s="35" t="s">
        <v>755</v>
      </c>
      <c r="AA275" s="35" t="s">
        <v>73</v>
      </c>
      <c r="AB275" s="35" t="s">
        <v>79</v>
      </c>
      <c r="AC275" s="35" t="s">
        <v>73</v>
      </c>
      <c r="AD275" s="35" t="s">
        <v>794</v>
      </c>
      <c r="AE275" s="35"/>
      <c r="AF275" s="35"/>
      <c r="AG275" s="35" t="s">
        <v>75</v>
      </c>
      <c r="AH275" s="35" t="s">
        <v>80</v>
      </c>
      <c r="AI275" s="35"/>
      <c r="AJ275" s="35"/>
    </row>
    <row r="276" spans="1:36">
      <c r="A276" s="37">
        <v>274</v>
      </c>
      <c r="B276" s="52" t="s">
        <v>610</v>
      </c>
      <c r="C276" s="55">
        <v>4</v>
      </c>
      <c r="D276" s="55">
        <v>72528</v>
      </c>
      <c r="E276" s="55">
        <v>72528</v>
      </c>
      <c r="F276" s="55">
        <v>150000</v>
      </c>
      <c r="G276" s="55">
        <v>150000</v>
      </c>
      <c r="H276" s="59">
        <v>3500</v>
      </c>
      <c r="I276" s="59">
        <v>2100000</v>
      </c>
      <c r="J276" s="62">
        <v>2000</v>
      </c>
      <c r="K276" s="62">
        <v>2000</v>
      </c>
      <c r="L276" s="33">
        <v>0</v>
      </c>
      <c r="M276" s="33">
        <f t="shared" si="4"/>
        <v>1730</v>
      </c>
      <c r="N276" s="26">
        <v>1750</v>
      </c>
      <c r="O276" s="26">
        <v>2800</v>
      </c>
      <c r="P276" s="26">
        <v>1900</v>
      </c>
      <c r="Q276" s="26">
        <v>20</v>
      </c>
      <c r="R276" s="26">
        <v>2800</v>
      </c>
      <c r="S276" s="26">
        <v>120</v>
      </c>
      <c r="T276" s="26">
        <v>5608</v>
      </c>
      <c r="U276" s="26">
        <v>16</v>
      </c>
      <c r="V276" s="26">
        <v>40</v>
      </c>
      <c r="W276" s="26">
        <v>35</v>
      </c>
      <c r="X276" s="26">
        <v>35</v>
      </c>
      <c r="Y276" s="25" t="s">
        <v>73</v>
      </c>
      <c r="Z276" s="25" t="s">
        <v>755</v>
      </c>
      <c r="AA276" s="25" t="s">
        <v>73</v>
      </c>
      <c r="AB276" s="25" t="s">
        <v>79</v>
      </c>
      <c r="AC276" s="25" t="s">
        <v>73</v>
      </c>
      <c r="AD276" s="25" t="s">
        <v>794</v>
      </c>
      <c r="AE276" s="25"/>
      <c r="AF276" s="25"/>
      <c r="AG276" s="25" t="s">
        <v>75</v>
      </c>
      <c r="AH276" s="25" t="s">
        <v>80</v>
      </c>
      <c r="AI276" s="25"/>
      <c r="AJ276" s="25"/>
    </row>
    <row r="277" spans="1:36">
      <c r="A277" s="36">
        <v>275</v>
      </c>
      <c r="B277" s="52" t="s">
        <v>611</v>
      </c>
      <c r="C277" s="55">
        <v>4</v>
      </c>
      <c r="D277" s="55">
        <v>75024</v>
      </c>
      <c r="E277" s="55">
        <v>75024</v>
      </c>
      <c r="F277" s="55">
        <v>150000</v>
      </c>
      <c r="G277" s="55">
        <v>150000</v>
      </c>
      <c r="H277" s="60">
        <v>3500</v>
      </c>
      <c r="I277" s="60">
        <v>2100000</v>
      </c>
      <c r="J277" s="63">
        <v>2000</v>
      </c>
      <c r="K277" s="63">
        <v>2000</v>
      </c>
      <c r="L277" s="27">
        <v>0</v>
      </c>
      <c r="M277" s="27">
        <f t="shared" si="4"/>
        <v>1730</v>
      </c>
      <c r="N277" s="26">
        <v>1750</v>
      </c>
      <c r="O277" s="26">
        <v>2800</v>
      </c>
      <c r="P277" s="26">
        <v>1900</v>
      </c>
      <c r="Q277" s="26">
        <v>20</v>
      </c>
      <c r="R277" s="26">
        <v>2800</v>
      </c>
      <c r="S277" s="26">
        <v>120</v>
      </c>
      <c r="T277" s="26">
        <v>5499</v>
      </c>
      <c r="U277" s="26">
        <v>16</v>
      </c>
      <c r="V277" s="26">
        <v>40</v>
      </c>
      <c r="W277" s="26">
        <v>35</v>
      </c>
      <c r="X277" s="26">
        <v>35</v>
      </c>
      <c r="Y277" s="25" t="s">
        <v>73</v>
      </c>
      <c r="Z277" s="25" t="s">
        <v>755</v>
      </c>
      <c r="AA277" s="25" t="s">
        <v>73</v>
      </c>
      <c r="AB277" s="25" t="s">
        <v>79</v>
      </c>
      <c r="AC277" s="25" t="s">
        <v>73</v>
      </c>
      <c r="AD277" s="25" t="s">
        <v>794</v>
      </c>
      <c r="AE277" s="25"/>
      <c r="AF277" s="25"/>
      <c r="AG277" s="25" t="s">
        <v>75</v>
      </c>
      <c r="AH277" s="25" t="s">
        <v>80</v>
      </c>
      <c r="AI277" s="25"/>
      <c r="AJ277" s="25"/>
    </row>
    <row r="278" spans="1:36">
      <c r="A278" s="37">
        <v>276</v>
      </c>
      <c r="B278" s="52" t="s">
        <v>612</v>
      </c>
      <c r="C278" s="55">
        <v>4</v>
      </c>
      <c r="D278" s="55">
        <v>77520</v>
      </c>
      <c r="E278" s="55">
        <v>77520</v>
      </c>
      <c r="F278" s="55">
        <v>150000</v>
      </c>
      <c r="G278" s="55">
        <v>150000</v>
      </c>
      <c r="H278" s="60">
        <v>3500</v>
      </c>
      <c r="I278" s="60">
        <v>2100000</v>
      </c>
      <c r="J278" s="63">
        <v>2000</v>
      </c>
      <c r="K278" s="63">
        <v>2000</v>
      </c>
      <c r="L278" s="27">
        <v>0</v>
      </c>
      <c r="M278" s="27">
        <f t="shared" si="4"/>
        <v>1730</v>
      </c>
      <c r="N278" s="26">
        <v>1750</v>
      </c>
      <c r="O278" s="26">
        <v>2800</v>
      </c>
      <c r="P278" s="26">
        <v>1900</v>
      </c>
      <c r="Q278" s="26">
        <v>20</v>
      </c>
      <c r="R278" s="26">
        <v>2800</v>
      </c>
      <c r="S278" s="26">
        <v>120</v>
      </c>
      <c r="T278" s="26">
        <v>5393</v>
      </c>
      <c r="U278" s="26">
        <v>16</v>
      </c>
      <c r="V278" s="26">
        <v>40</v>
      </c>
      <c r="W278" s="26">
        <v>35</v>
      </c>
      <c r="X278" s="26">
        <v>35</v>
      </c>
      <c r="Y278" s="25" t="s">
        <v>73</v>
      </c>
      <c r="Z278" s="25" t="s">
        <v>755</v>
      </c>
      <c r="AA278" s="25" t="s">
        <v>73</v>
      </c>
      <c r="AB278" s="25" t="s">
        <v>79</v>
      </c>
      <c r="AC278" s="25" t="s">
        <v>73</v>
      </c>
      <c r="AD278" s="25" t="s">
        <v>794</v>
      </c>
      <c r="AE278" s="25"/>
      <c r="AF278" s="25"/>
      <c r="AG278" s="25" t="s">
        <v>75</v>
      </c>
      <c r="AH278" s="25" t="s">
        <v>80</v>
      </c>
      <c r="AI278" s="25"/>
      <c r="AJ278" s="25"/>
    </row>
    <row r="279" spans="1:36">
      <c r="A279" s="36">
        <v>277</v>
      </c>
      <c r="B279" s="51" t="s">
        <v>613</v>
      </c>
      <c r="C279" s="54">
        <v>4</v>
      </c>
      <c r="D279" s="54">
        <v>80016</v>
      </c>
      <c r="E279" s="54">
        <v>80016</v>
      </c>
      <c r="F279" s="54">
        <v>150000</v>
      </c>
      <c r="G279" s="54">
        <v>150000</v>
      </c>
      <c r="H279" s="59">
        <v>3500</v>
      </c>
      <c r="I279" s="59">
        <v>2100000</v>
      </c>
      <c r="J279" s="62">
        <v>2000</v>
      </c>
      <c r="K279" s="62">
        <v>2000</v>
      </c>
      <c r="L279" s="33">
        <v>0</v>
      </c>
      <c r="M279" s="33">
        <f t="shared" si="4"/>
        <v>1730</v>
      </c>
      <c r="N279" s="34">
        <v>1750</v>
      </c>
      <c r="O279" s="34">
        <v>2800</v>
      </c>
      <c r="P279" s="34">
        <v>1900</v>
      </c>
      <c r="Q279" s="34">
        <v>20</v>
      </c>
      <c r="R279" s="34">
        <v>2800</v>
      </c>
      <c r="S279" s="34">
        <v>120</v>
      </c>
      <c r="T279" s="34">
        <v>5292</v>
      </c>
      <c r="U279" s="34">
        <v>16</v>
      </c>
      <c r="V279" s="34">
        <v>40</v>
      </c>
      <c r="W279" s="34">
        <v>35</v>
      </c>
      <c r="X279" s="34">
        <v>35</v>
      </c>
      <c r="Y279" s="35" t="s">
        <v>73</v>
      </c>
      <c r="Z279" s="35" t="s">
        <v>755</v>
      </c>
      <c r="AA279" s="35" t="s">
        <v>73</v>
      </c>
      <c r="AB279" s="35" t="s">
        <v>79</v>
      </c>
      <c r="AC279" s="35" t="s">
        <v>73</v>
      </c>
      <c r="AD279" s="35" t="s">
        <v>794</v>
      </c>
      <c r="AE279" s="35"/>
      <c r="AF279" s="35"/>
      <c r="AG279" s="35" t="s">
        <v>75</v>
      </c>
      <c r="AH279" s="35" t="s">
        <v>80</v>
      </c>
      <c r="AI279" s="35"/>
      <c r="AJ279" s="35"/>
    </row>
    <row r="280" spans="1:36">
      <c r="A280" s="37">
        <v>278</v>
      </c>
      <c r="B280" s="52" t="s">
        <v>614</v>
      </c>
      <c r="C280" s="55">
        <v>4</v>
      </c>
      <c r="D280" s="55">
        <v>82512</v>
      </c>
      <c r="E280" s="55">
        <v>82512</v>
      </c>
      <c r="F280" s="55">
        <v>150000</v>
      </c>
      <c r="G280" s="55">
        <v>150000</v>
      </c>
      <c r="H280" s="60">
        <v>3500</v>
      </c>
      <c r="I280" s="60">
        <v>2100000</v>
      </c>
      <c r="J280" s="63">
        <v>2000</v>
      </c>
      <c r="K280" s="63">
        <v>2000</v>
      </c>
      <c r="L280" s="27">
        <v>0</v>
      </c>
      <c r="M280" s="27">
        <f t="shared" si="4"/>
        <v>1730</v>
      </c>
      <c r="N280" s="26">
        <v>1750</v>
      </c>
      <c r="O280" s="26">
        <v>2800</v>
      </c>
      <c r="P280" s="26">
        <v>1900</v>
      </c>
      <c r="Q280" s="26">
        <v>20</v>
      </c>
      <c r="R280" s="26">
        <v>2800</v>
      </c>
      <c r="S280" s="26">
        <v>120</v>
      </c>
      <c r="T280" s="26">
        <v>5194</v>
      </c>
      <c r="U280" s="26">
        <v>16</v>
      </c>
      <c r="V280" s="26">
        <v>35</v>
      </c>
      <c r="W280" s="26">
        <v>22</v>
      </c>
      <c r="X280" s="26">
        <v>22</v>
      </c>
      <c r="Y280" s="25" t="s">
        <v>73</v>
      </c>
      <c r="Z280" s="25" t="s">
        <v>755</v>
      </c>
      <c r="AA280" s="25" t="s">
        <v>73</v>
      </c>
      <c r="AB280" s="25" t="s">
        <v>79</v>
      </c>
      <c r="AC280" s="25" t="s">
        <v>73</v>
      </c>
      <c r="AD280" s="25" t="s">
        <v>794</v>
      </c>
      <c r="AE280" s="25"/>
      <c r="AF280" s="25"/>
      <c r="AG280" s="25" t="s">
        <v>75</v>
      </c>
      <c r="AH280" s="25" t="s">
        <v>80</v>
      </c>
      <c r="AI280" s="25"/>
      <c r="AJ280" s="25"/>
    </row>
    <row r="281" spans="1:36">
      <c r="A281" s="36">
        <v>279</v>
      </c>
      <c r="B281" s="52" t="s">
        <v>615</v>
      </c>
      <c r="C281" s="55">
        <v>4</v>
      </c>
      <c r="D281" s="55">
        <v>85008</v>
      </c>
      <c r="E281" s="55">
        <v>85008</v>
      </c>
      <c r="F281" s="55">
        <v>150000</v>
      </c>
      <c r="G281" s="55">
        <v>150000</v>
      </c>
      <c r="H281" s="60">
        <v>3500</v>
      </c>
      <c r="I281" s="60">
        <v>2100000</v>
      </c>
      <c r="J281" s="63">
        <v>2000</v>
      </c>
      <c r="K281" s="63">
        <v>2000</v>
      </c>
      <c r="L281" s="27">
        <v>0</v>
      </c>
      <c r="M281" s="27">
        <f t="shared" si="4"/>
        <v>1730</v>
      </c>
      <c r="N281" s="26">
        <v>1750</v>
      </c>
      <c r="O281" s="26">
        <v>2800</v>
      </c>
      <c r="P281" s="26">
        <v>1900</v>
      </c>
      <c r="Q281" s="26">
        <v>20</v>
      </c>
      <c r="R281" s="26">
        <v>2800</v>
      </c>
      <c r="S281" s="26">
        <v>120</v>
      </c>
      <c r="T281" s="26">
        <v>5100</v>
      </c>
      <c r="U281" s="26">
        <v>16</v>
      </c>
      <c r="V281" s="26">
        <v>35</v>
      </c>
      <c r="W281" s="26">
        <v>22</v>
      </c>
      <c r="X281" s="26">
        <v>22</v>
      </c>
      <c r="Y281" s="25" t="s">
        <v>73</v>
      </c>
      <c r="Z281" s="25" t="s">
        <v>755</v>
      </c>
      <c r="AA281" s="25" t="s">
        <v>73</v>
      </c>
      <c r="AB281" s="25" t="s">
        <v>79</v>
      </c>
      <c r="AC281" s="25" t="s">
        <v>73</v>
      </c>
      <c r="AD281" s="25" t="s">
        <v>794</v>
      </c>
      <c r="AE281" s="25"/>
      <c r="AF281" s="25"/>
      <c r="AG281" s="25" t="s">
        <v>75</v>
      </c>
      <c r="AH281" s="25" t="s">
        <v>80</v>
      </c>
      <c r="AI281" s="25"/>
      <c r="AJ281" s="25"/>
    </row>
    <row r="282" spans="1:36">
      <c r="A282" s="37">
        <v>280</v>
      </c>
      <c r="B282" s="52" t="s">
        <v>616</v>
      </c>
      <c r="C282" s="55">
        <v>4</v>
      </c>
      <c r="D282" s="55">
        <v>87504</v>
      </c>
      <c r="E282" s="55">
        <v>87504</v>
      </c>
      <c r="F282" s="55">
        <v>150000</v>
      </c>
      <c r="G282" s="55">
        <v>150000</v>
      </c>
      <c r="H282" s="59">
        <v>3500</v>
      </c>
      <c r="I282" s="59">
        <v>2100000</v>
      </c>
      <c r="J282" s="62">
        <v>2000</v>
      </c>
      <c r="K282" s="62">
        <v>2000</v>
      </c>
      <c r="L282" s="33">
        <v>0</v>
      </c>
      <c r="M282" s="33">
        <f t="shared" si="4"/>
        <v>1730</v>
      </c>
      <c r="N282" s="26">
        <v>1750</v>
      </c>
      <c r="O282" s="26">
        <v>2800</v>
      </c>
      <c r="P282" s="26">
        <v>1900</v>
      </c>
      <c r="Q282" s="26">
        <v>20</v>
      </c>
      <c r="R282" s="26">
        <v>2800</v>
      </c>
      <c r="S282" s="26">
        <v>120</v>
      </c>
      <c r="T282" s="26">
        <v>5010</v>
      </c>
      <c r="U282" s="26">
        <v>16</v>
      </c>
      <c r="V282" s="26">
        <v>35</v>
      </c>
      <c r="W282" s="26">
        <v>22</v>
      </c>
      <c r="X282" s="26">
        <v>22</v>
      </c>
      <c r="Y282" s="25" t="s">
        <v>73</v>
      </c>
      <c r="Z282" s="25" t="s">
        <v>755</v>
      </c>
      <c r="AA282" s="25" t="s">
        <v>73</v>
      </c>
      <c r="AB282" s="25" t="s">
        <v>79</v>
      </c>
      <c r="AC282" s="25" t="s">
        <v>73</v>
      </c>
      <c r="AD282" s="25" t="s">
        <v>794</v>
      </c>
      <c r="AE282" s="25"/>
      <c r="AF282" s="25"/>
      <c r="AG282" s="25" t="s">
        <v>75</v>
      </c>
      <c r="AH282" s="25" t="s">
        <v>80</v>
      </c>
      <c r="AI282" s="25"/>
      <c r="AJ282" s="25"/>
    </row>
    <row r="283" spans="1:36">
      <c r="A283" s="36">
        <v>281</v>
      </c>
      <c r="B283" s="51" t="s">
        <v>617</v>
      </c>
      <c r="C283" s="54">
        <v>5</v>
      </c>
      <c r="D283" s="54">
        <v>90000</v>
      </c>
      <c r="E283" s="54">
        <v>90000</v>
      </c>
      <c r="F283" s="54">
        <v>150000</v>
      </c>
      <c r="G283" s="54">
        <v>150000</v>
      </c>
      <c r="H283" s="60">
        <v>3500</v>
      </c>
      <c r="I283" s="60">
        <v>2100000</v>
      </c>
      <c r="J283" s="63">
        <v>2000</v>
      </c>
      <c r="K283" s="63">
        <v>2000</v>
      </c>
      <c r="L283" s="27">
        <v>0</v>
      </c>
      <c r="M283" s="27">
        <f t="shared" si="4"/>
        <v>1730</v>
      </c>
      <c r="N283" s="34">
        <v>1750</v>
      </c>
      <c r="O283" s="34">
        <v>2800</v>
      </c>
      <c r="P283" s="34">
        <v>1900</v>
      </c>
      <c r="Q283" s="34">
        <v>20</v>
      </c>
      <c r="R283" s="34">
        <v>2800</v>
      </c>
      <c r="S283" s="34">
        <v>120</v>
      </c>
      <c r="T283" s="34">
        <v>4923</v>
      </c>
      <c r="U283" s="34">
        <v>16</v>
      </c>
      <c r="V283" s="34">
        <v>35</v>
      </c>
      <c r="W283" s="34">
        <v>22</v>
      </c>
      <c r="X283" s="34">
        <v>22</v>
      </c>
      <c r="Y283" s="35" t="s">
        <v>73</v>
      </c>
      <c r="Z283" s="35" t="s">
        <v>755</v>
      </c>
      <c r="AA283" s="35" t="s">
        <v>73</v>
      </c>
      <c r="AB283" s="35" t="s">
        <v>79</v>
      </c>
      <c r="AC283" s="35" t="s">
        <v>73</v>
      </c>
      <c r="AD283" s="35" t="s">
        <v>794</v>
      </c>
      <c r="AE283" s="25"/>
      <c r="AF283" s="25"/>
      <c r="AG283" s="25" t="s">
        <v>75</v>
      </c>
      <c r="AH283" s="25" t="s">
        <v>80</v>
      </c>
      <c r="AI283" s="25"/>
      <c r="AJ283" s="25"/>
    </row>
    <row r="284" spans="1:36">
      <c r="A284" s="37">
        <v>282</v>
      </c>
      <c r="B284" s="52" t="s">
        <v>618</v>
      </c>
      <c r="C284" s="55">
        <v>5</v>
      </c>
      <c r="D284" s="55">
        <v>90000</v>
      </c>
      <c r="E284" s="55">
        <v>90000</v>
      </c>
      <c r="F284" s="55">
        <v>150000</v>
      </c>
      <c r="G284" s="55">
        <v>150000</v>
      </c>
      <c r="H284" s="60">
        <v>3500</v>
      </c>
      <c r="I284" s="60">
        <v>2100000</v>
      </c>
      <c r="J284" s="63">
        <v>2000</v>
      </c>
      <c r="K284" s="63">
        <v>2000</v>
      </c>
      <c r="L284" s="27">
        <v>0</v>
      </c>
      <c r="M284" s="27">
        <f t="shared" si="4"/>
        <v>1730</v>
      </c>
      <c r="N284" s="26">
        <v>1750</v>
      </c>
      <c r="O284" s="26">
        <v>2800</v>
      </c>
      <c r="P284" s="26">
        <v>1900</v>
      </c>
      <c r="Q284" s="26">
        <v>20</v>
      </c>
      <c r="R284" s="26">
        <v>2800</v>
      </c>
      <c r="S284" s="26">
        <v>120</v>
      </c>
      <c r="T284" s="26">
        <v>4841</v>
      </c>
      <c r="U284" s="26">
        <v>16</v>
      </c>
      <c r="V284" s="26">
        <v>35</v>
      </c>
      <c r="W284" s="26">
        <v>22</v>
      </c>
      <c r="X284" s="26">
        <v>22</v>
      </c>
      <c r="Y284" s="25" t="s">
        <v>73</v>
      </c>
      <c r="Z284" s="25" t="s">
        <v>755</v>
      </c>
      <c r="AA284" s="25" t="s">
        <v>73</v>
      </c>
      <c r="AB284" s="25" t="s">
        <v>79</v>
      </c>
      <c r="AC284" s="25" t="s">
        <v>73</v>
      </c>
      <c r="AD284" s="25" t="s">
        <v>794</v>
      </c>
      <c r="AE284" s="25"/>
      <c r="AF284" s="25"/>
      <c r="AG284" s="25" t="s">
        <v>75</v>
      </c>
      <c r="AH284" s="25" t="s">
        <v>80</v>
      </c>
      <c r="AI284" s="25"/>
      <c r="AJ284" s="25"/>
    </row>
    <row r="285" spans="1:36">
      <c r="A285" s="36">
        <v>283</v>
      </c>
      <c r="B285" s="52" t="s">
        <v>619</v>
      </c>
      <c r="C285" s="55">
        <v>5</v>
      </c>
      <c r="D285" s="55">
        <v>90000</v>
      </c>
      <c r="E285" s="55">
        <v>90000</v>
      </c>
      <c r="F285" s="55">
        <v>150000</v>
      </c>
      <c r="G285" s="55">
        <v>150000</v>
      </c>
      <c r="H285" s="59">
        <v>3500</v>
      </c>
      <c r="I285" s="59">
        <v>2100000</v>
      </c>
      <c r="J285" s="62">
        <v>2000</v>
      </c>
      <c r="K285" s="62">
        <v>2000</v>
      </c>
      <c r="L285" s="33">
        <v>0</v>
      </c>
      <c r="M285" s="33">
        <f t="shared" si="4"/>
        <v>1730</v>
      </c>
      <c r="N285" s="26">
        <v>1750</v>
      </c>
      <c r="O285" s="26">
        <v>2800</v>
      </c>
      <c r="P285" s="26">
        <v>1900</v>
      </c>
      <c r="Q285" s="26">
        <v>20</v>
      </c>
      <c r="R285" s="26">
        <v>2800</v>
      </c>
      <c r="S285" s="26">
        <v>120</v>
      </c>
      <c r="T285" s="26">
        <v>4762</v>
      </c>
      <c r="U285" s="26">
        <v>16</v>
      </c>
      <c r="V285" s="26">
        <v>35</v>
      </c>
      <c r="W285" s="26">
        <v>22</v>
      </c>
      <c r="X285" s="26">
        <v>22</v>
      </c>
      <c r="Y285" s="25" t="s">
        <v>73</v>
      </c>
      <c r="Z285" s="25" t="s">
        <v>755</v>
      </c>
      <c r="AA285" s="25" t="s">
        <v>73</v>
      </c>
      <c r="AB285" s="25" t="s">
        <v>79</v>
      </c>
      <c r="AC285" s="25" t="s">
        <v>73</v>
      </c>
      <c r="AD285" s="25" t="s">
        <v>794</v>
      </c>
      <c r="AE285" s="25"/>
      <c r="AF285" s="25"/>
      <c r="AG285" s="25" t="s">
        <v>75</v>
      </c>
      <c r="AH285" s="25" t="s">
        <v>80</v>
      </c>
      <c r="AI285" s="25"/>
      <c r="AJ285" s="25"/>
    </row>
    <row r="286" spans="1:36">
      <c r="A286" s="37">
        <v>284</v>
      </c>
      <c r="B286" s="52" t="s">
        <v>620</v>
      </c>
      <c r="C286" s="55">
        <v>5</v>
      </c>
      <c r="D286" s="55">
        <v>90000</v>
      </c>
      <c r="E286" s="55">
        <v>90000</v>
      </c>
      <c r="F286" s="55">
        <v>150000</v>
      </c>
      <c r="G286" s="55">
        <v>150000</v>
      </c>
      <c r="H286" s="60">
        <v>3500</v>
      </c>
      <c r="I286" s="60">
        <v>2100000</v>
      </c>
      <c r="J286" s="63">
        <v>2000</v>
      </c>
      <c r="K286" s="63">
        <v>2000</v>
      </c>
      <c r="L286" s="27">
        <v>0</v>
      </c>
      <c r="M286" s="27">
        <f t="shared" si="4"/>
        <v>1730</v>
      </c>
      <c r="N286" s="26">
        <v>1750</v>
      </c>
      <c r="O286" s="26">
        <v>2800</v>
      </c>
      <c r="P286" s="26">
        <v>1900</v>
      </c>
      <c r="Q286" s="26">
        <v>20</v>
      </c>
      <c r="R286" s="26">
        <v>2800</v>
      </c>
      <c r="S286" s="26">
        <v>120</v>
      </c>
      <c r="T286" s="26">
        <v>4687</v>
      </c>
      <c r="U286" s="26">
        <v>16</v>
      </c>
      <c r="V286" s="26">
        <v>35</v>
      </c>
      <c r="W286" s="26">
        <v>22</v>
      </c>
      <c r="X286" s="26">
        <v>22</v>
      </c>
      <c r="Y286" s="25" t="s">
        <v>73</v>
      </c>
      <c r="Z286" s="25" t="s">
        <v>755</v>
      </c>
      <c r="AA286" s="25" t="s">
        <v>73</v>
      </c>
      <c r="AB286" s="25" t="s">
        <v>79</v>
      </c>
      <c r="AC286" s="25" t="s">
        <v>73</v>
      </c>
      <c r="AD286" s="25" t="s">
        <v>794</v>
      </c>
      <c r="AE286" s="25"/>
      <c r="AF286" s="25"/>
      <c r="AG286" s="25" t="s">
        <v>75</v>
      </c>
      <c r="AH286" s="25" t="s">
        <v>80</v>
      </c>
      <c r="AI286" s="25"/>
      <c r="AJ286" s="25"/>
    </row>
    <row r="287" spans="1:36">
      <c r="A287" s="36">
        <v>285</v>
      </c>
      <c r="B287" s="51" t="s">
        <v>621</v>
      </c>
      <c r="C287" s="54">
        <v>5</v>
      </c>
      <c r="D287" s="54">
        <v>90000</v>
      </c>
      <c r="E287" s="54">
        <v>90000</v>
      </c>
      <c r="F287" s="54">
        <v>150000</v>
      </c>
      <c r="G287" s="54">
        <v>150000</v>
      </c>
      <c r="H287" s="60">
        <v>3500</v>
      </c>
      <c r="I287" s="60">
        <v>2100000</v>
      </c>
      <c r="J287" s="63">
        <v>2000</v>
      </c>
      <c r="K287" s="63">
        <v>2000</v>
      </c>
      <c r="L287" s="27">
        <v>0</v>
      </c>
      <c r="M287" s="27">
        <f t="shared" si="4"/>
        <v>1730</v>
      </c>
      <c r="N287" s="34">
        <v>1750</v>
      </c>
      <c r="O287" s="34">
        <v>2800</v>
      </c>
      <c r="P287" s="34">
        <v>1900</v>
      </c>
      <c r="Q287" s="34">
        <v>20</v>
      </c>
      <c r="R287" s="34">
        <v>2800</v>
      </c>
      <c r="S287" s="34">
        <v>120</v>
      </c>
      <c r="T287" s="34">
        <v>4616</v>
      </c>
      <c r="U287" s="34">
        <v>16</v>
      </c>
      <c r="V287" s="34">
        <v>35</v>
      </c>
      <c r="W287" s="34">
        <v>22</v>
      </c>
      <c r="X287" s="34">
        <v>22</v>
      </c>
      <c r="Y287" s="35" t="s">
        <v>73</v>
      </c>
      <c r="Z287" s="35" t="s">
        <v>755</v>
      </c>
      <c r="AA287" s="35" t="s">
        <v>73</v>
      </c>
      <c r="AB287" s="35" t="s">
        <v>79</v>
      </c>
      <c r="AC287" s="35" t="s">
        <v>73</v>
      </c>
      <c r="AD287" s="35" t="s">
        <v>794</v>
      </c>
      <c r="AE287" s="25"/>
      <c r="AF287" s="25"/>
      <c r="AG287" s="25" t="s">
        <v>75</v>
      </c>
      <c r="AH287" s="25" t="s">
        <v>80</v>
      </c>
      <c r="AI287" s="25"/>
      <c r="AJ287" s="25"/>
    </row>
    <row r="288" spans="1:36">
      <c r="A288" s="37">
        <v>286</v>
      </c>
      <c r="B288" s="52" t="s">
        <v>622</v>
      </c>
      <c r="C288" s="55">
        <v>5</v>
      </c>
      <c r="D288" s="55">
        <v>90000</v>
      </c>
      <c r="E288" s="55">
        <v>90000</v>
      </c>
      <c r="F288" s="55">
        <v>150000</v>
      </c>
      <c r="G288" s="55">
        <v>150000</v>
      </c>
      <c r="H288" s="59">
        <v>3500</v>
      </c>
      <c r="I288" s="59">
        <v>2100000</v>
      </c>
      <c r="J288" s="62">
        <v>2000</v>
      </c>
      <c r="K288" s="62">
        <v>2000</v>
      </c>
      <c r="L288" s="33">
        <v>0</v>
      </c>
      <c r="M288" s="33">
        <f t="shared" si="4"/>
        <v>1730</v>
      </c>
      <c r="N288" s="26">
        <v>1750</v>
      </c>
      <c r="O288" s="26">
        <v>2800</v>
      </c>
      <c r="P288" s="26">
        <v>1900</v>
      </c>
      <c r="Q288" s="26">
        <v>20</v>
      </c>
      <c r="R288" s="26">
        <v>2800</v>
      </c>
      <c r="S288" s="26">
        <v>120</v>
      </c>
      <c r="T288" s="26">
        <v>4550</v>
      </c>
      <c r="U288" s="26">
        <v>16</v>
      </c>
      <c r="V288" s="26">
        <v>35</v>
      </c>
      <c r="W288" s="26">
        <v>22</v>
      </c>
      <c r="X288" s="26">
        <v>22</v>
      </c>
      <c r="Y288" s="25" t="s">
        <v>73</v>
      </c>
      <c r="Z288" s="25" t="s">
        <v>755</v>
      </c>
      <c r="AA288" s="25" t="s">
        <v>73</v>
      </c>
      <c r="AB288" s="25" t="s">
        <v>79</v>
      </c>
      <c r="AC288" s="25" t="s">
        <v>73</v>
      </c>
      <c r="AD288" s="25" t="s">
        <v>794</v>
      </c>
      <c r="AE288" s="25"/>
      <c r="AF288" s="25"/>
      <c r="AG288" s="25" t="s">
        <v>75</v>
      </c>
      <c r="AH288" s="25" t="s">
        <v>80</v>
      </c>
      <c r="AI288" s="25"/>
      <c r="AJ288" s="25"/>
    </row>
    <row r="289" spans="1:36">
      <c r="A289" s="36">
        <v>287</v>
      </c>
      <c r="B289" s="52" t="s">
        <v>623</v>
      </c>
      <c r="C289" s="55">
        <v>5</v>
      </c>
      <c r="D289" s="55">
        <v>90000</v>
      </c>
      <c r="E289" s="55">
        <v>90000</v>
      </c>
      <c r="F289" s="55">
        <v>150000</v>
      </c>
      <c r="G289" s="55">
        <v>150000</v>
      </c>
      <c r="H289" s="60">
        <v>3500</v>
      </c>
      <c r="I289" s="60">
        <v>2100000</v>
      </c>
      <c r="J289" s="63">
        <v>2000</v>
      </c>
      <c r="K289" s="63">
        <v>2000</v>
      </c>
      <c r="L289" s="27">
        <v>0</v>
      </c>
      <c r="M289" s="27">
        <f t="shared" si="4"/>
        <v>1730</v>
      </c>
      <c r="N289" s="26">
        <v>1750</v>
      </c>
      <c r="O289" s="26">
        <v>2800</v>
      </c>
      <c r="P289" s="26">
        <v>1900</v>
      </c>
      <c r="Q289" s="26">
        <v>20</v>
      </c>
      <c r="R289" s="26">
        <v>2800</v>
      </c>
      <c r="S289" s="26">
        <v>120</v>
      </c>
      <c r="T289" s="26">
        <v>4486</v>
      </c>
      <c r="U289" s="26">
        <v>16</v>
      </c>
      <c r="V289" s="26">
        <v>35</v>
      </c>
      <c r="W289" s="26">
        <v>22</v>
      </c>
      <c r="X289" s="26">
        <v>22</v>
      </c>
      <c r="Y289" s="25" t="s">
        <v>73</v>
      </c>
      <c r="Z289" s="25" t="s">
        <v>755</v>
      </c>
      <c r="AA289" s="25" t="s">
        <v>73</v>
      </c>
      <c r="AB289" s="25" t="s">
        <v>79</v>
      </c>
      <c r="AC289" s="25" t="s">
        <v>73</v>
      </c>
      <c r="AD289" s="25" t="s">
        <v>794</v>
      </c>
      <c r="AE289" s="25"/>
      <c r="AF289" s="25"/>
      <c r="AG289" s="25" t="s">
        <v>75</v>
      </c>
      <c r="AH289" s="25" t="s">
        <v>80</v>
      </c>
      <c r="AI289" s="25"/>
      <c r="AJ289" s="25"/>
    </row>
    <row r="290" spans="1:36">
      <c r="A290" s="37">
        <v>288</v>
      </c>
      <c r="B290" s="52" t="s">
        <v>624</v>
      </c>
      <c r="C290" s="55">
        <v>5</v>
      </c>
      <c r="D290" s="55">
        <v>90000</v>
      </c>
      <c r="E290" s="55">
        <v>90000</v>
      </c>
      <c r="F290" s="55">
        <v>150000</v>
      </c>
      <c r="G290" s="55">
        <v>150000</v>
      </c>
      <c r="H290" s="60">
        <v>3500</v>
      </c>
      <c r="I290" s="60">
        <v>2100000</v>
      </c>
      <c r="J290" s="63">
        <v>2000</v>
      </c>
      <c r="K290" s="63">
        <v>2000</v>
      </c>
      <c r="L290" s="27">
        <v>0</v>
      </c>
      <c r="M290" s="27">
        <f t="shared" si="4"/>
        <v>1730</v>
      </c>
      <c r="N290" s="26">
        <v>1750</v>
      </c>
      <c r="O290" s="26">
        <v>2800</v>
      </c>
      <c r="P290" s="26">
        <v>1900</v>
      </c>
      <c r="Q290" s="26">
        <v>20</v>
      </c>
      <c r="R290" s="26">
        <v>2800</v>
      </c>
      <c r="S290" s="26">
        <v>120</v>
      </c>
      <c r="T290" s="26">
        <v>4427</v>
      </c>
      <c r="U290" s="26">
        <v>16</v>
      </c>
      <c r="V290" s="26">
        <v>35</v>
      </c>
      <c r="W290" s="26">
        <v>22</v>
      </c>
      <c r="X290" s="26">
        <v>22</v>
      </c>
      <c r="Y290" s="25" t="s">
        <v>73</v>
      </c>
      <c r="Z290" s="25" t="s">
        <v>755</v>
      </c>
      <c r="AA290" s="25" t="s">
        <v>73</v>
      </c>
      <c r="AB290" s="25" t="s">
        <v>79</v>
      </c>
      <c r="AC290" s="25" t="s">
        <v>73</v>
      </c>
      <c r="AD290" s="25" t="s">
        <v>794</v>
      </c>
      <c r="AE290" s="25"/>
      <c r="AF290" s="25"/>
      <c r="AG290" s="25" t="s">
        <v>75</v>
      </c>
      <c r="AH290" s="25" t="s">
        <v>80</v>
      </c>
      <c r="AI290" s="25"/>
      <c r="AJ290" s="25"/>
    </row>
    <row r="291" spans="1:36">
      <c r="A291" s="36">
        <v>289</v>
      </c>
      <c r="B291" s="51" t="s">
        <v>625</v>
      </c>
      <c r="C291" s="54">
        <v>5</v>
      </c>
      <c r="D291" s="54">
        <v>90000</v>
      </c>
      <c r="E291" s="54">
        <v>90000</v>
      </c>
      <c r="F291" s="54">
        <v>150000</v>
      </c>
      <c r="G291" s="54">
        <v>150000</v>
      </c>
      <c r="H291" s="59">
        <v>3500</v>
      </c>
      <c r="I291" s="59">
        <v>2100000</v>
      </c>
      <c r="J291" s="62">
        <v>2000</v>
      </c>
      <c r="K291" s="62">
        <v>2000</v>
      </c>
      <c r="L291" s="33">
        <v>0</v>
      </c>
      <c r="M291" s="33">
        <f t="shared" si="4"/>
        <v>1730</v>
      </c>
      <c r="N291" s="34">
        <v>1750</v>
      </c>
      <c r="O291" s="34">
        <v>2800</v>
      </c>
      <c r="P291" s="34">
        <v>1900</v>
      </c>
      <c r="Q291" s="34">
        <v>20</v>
      </c>
      <c r="R291" s="34">
        <v>2800</v>
      </c>
      <c r="S291" s="34">
        <v>120</v>
      </c>
      <c r="T291" s="34">
        <v>4372</v>
      </c>
      <c r="U291" s="34">
        <v>16</v>
      </c>
      <c r="V291" s="34">
        <v>35</v>
      </c>
      <c r="W291" s="34">
        <v>22</v>
      </c>
      <c r="X291" s="34">
        <v>22</v>
      </c>
      <c r="Y291" s="35" t="s">
        <v>73</v>
      </c>
      <c r="Z291" s="35" t="s">
        <v>755</v>
      </c>
      <c r="AA291" s="35" t="s">
        <v>73</v>
      </c>
      <c r="AB291" s="35" t="s">
        <v>79</v>
      </c>
      <c r="AC291" s="35" t="s">
        <v>73</v>
      </c>
      <c r="AD291" s="35" t="s">
        <v>794</v>
      </c>
      <c r="AE291" s="25"/>
      <c r="AF291" s="25"/>
      <c r="AG291" s="25" t="s">
        <v>75</v>
      </c>
      <c r="AH291" s="25" t="s">
        <v>80</v>
      </c>
      <c r="AI291" s="25"/>
      <c r="AJ291" s="25"/>
    </row>
    <row r="292" spans="1:36">
      <c r="A292" s="37">
        <v>290</v>
      </c>
      <c r="B292" s="52" t="s">
        <v>626</v>
      </c>
      <c r="C292" s="55">
        <v>5</v>
      </c>
      <c r="D292" s="55">
        <v>90000</v>
      </c>
      <c r="E292" s="55">
        <v>90000</v>
      </c>
      <c r="F292" s="55">
        <v>150000</v>
      </c>
      <c r="G292" s="55">
        <v>150000</v>
      </c>
      <c r="H292" s="60">
        <v>3500</v>
      </c>
      <c r="I292" s="60">
        <v>2100000</v>
      </c>
      <c r="J292" s="63">
        <v>2000</v>
      </c>
      <c r="K292" s="63">
        <v>2000</v>
      </c>
      <c r="L292" s="27">
        <v>0</v>
      </c>
      <c r="M292" s="27">
        <f t="shared" si="4"/>
        <v>1730</v>
      </c>
      <c r="N292" s="26">
        <v>1750</v>
      </c>
      <c r="O292" s="26">
        <v>2800</v>
      </c>
      <c r="P292" s="26">
        <v>1900</v>
      </c>
      <c r="Q292" s="26">
        <v>20</v>
      </c>
      <c r="R292" s="26">
        <v>2800</v>
      </c>
      <c r="S292" s="26">
        <v>120</v>
      </c>
      <c r="T292" s="26">
        <v>4320</v>
      </c>
      <c r="U292" s="26">
        <v>16</v>
      </c>
      <c r="V292" s="26">
        <v>35</v>
      </c>
      <c r="W292" s="26">
        <v>22</v>
      </c>
      <c r="X292" s="26">
        <v>22</v>
      </c>
      <c r="Y292" s="25" t="s">
        <v>73</v>
      </c>
      <c r="Z292" s="25" t="s">
        <v>755</v>
      </c>
      <c r="AA292" s="25" t="s">
        <v>73</v>
      </c>
      <c r="AB292" s="25" t="s">
        <v>79</v>
      </c>
      <c r="AC292" s="25" t="s">
        <v>73</v>
      </c>
      <c r="AD292" s="25" t="s">
        <v>794</v>
      </c>
      <c r="AE292" s="25"/>
      <c r="AF292" s="25"/>
      <c r="AG292" s="25" t="s">
        <v>75</v>
      </c>
      <c r="AH292" s="25" t="s">
        <v>80</v>
      </c>
      <c r="AI292" s="25"/>
      <c r="AJ292" s="25"/>
    </row>
    <row r="293" spans="1:36">
      <c r="A293" s="36">
        <v>291</v>
      </c>
      <c r="B293" s="52" t="s">
        <v>627</v>
      </c>
      <c r="C293" s="55">
        <v>5</v>
      </c>
      <c r="D293" s="55">
        <v>90000</v>
      </c>
      <c r="E293" s="55">
        <v>90000</v>
      </c>
      <c r="F293" s="55">
        <v>150000</v>
      </c>
      <c r="G293" s="55">
        <v>150000</v>
      </c>
      <c r="H293" s="60">
        <v>3500</v>
      </c>
      <c r="I293" s="60">
        <v>2100000</v>
      </c>
      <c r="J293" s="63">
        <v>2000</v>
      </c>
      <c r="K293" s="63">
        <v>2000</v>
      </c>
      <c r="L293" s="27">
        <v>0</v>
      </c>
      <c r="M293" s="27">
        <f t="shared" si="4"/>
        <v>1730</v>
      </c>
      <c r="N293" s="26">
        <v>1750</v>
      </c>
      <c r="O293" s="26">
        <v>2800</v>
      </c>
      <c r="P293" s="26">
        <v>1900</v>
      </c>
      <c r="Q293" s="26">
        <v>20</v>
      </c>
      <c r="R293" s="26">
        <v>2800</v>
      </c>
      <c r="S293" s="26">
        <v>120</v>
      </c>
      <c r="T293" s="26">
        <v>4272</v>
      </c>
      <c r="U293" s="26">
        <v>16</v>
      </c>
      <c r="V293" s="26">
        <v>35</v>
      </c>
      <c r="W293" s="26">
        <v>22</v>
      </c>
      <c r="X293" s="26">
        <v>22</v>
      </c>
      <c r="Y293" s="25" t="s">
        <v>73</v>
      </c>
      <c r="Z293" s="25" t="s">
        <v>755</v>
      </c>
      <c r="AA293" s="25" t="s">
        <v>73</v>
      </c>
      <c r="AB293" s="25" t="s">
        <v>79</v>
      </c>
      <c r="AC293" s="25" t="s">
        <v>73</v>
      </c>
      <c r="AD293" s="25" t="s">
        <v>794</v>
      </c>
      <c r="AE293" s="25"/>
      <c r="AF293" s="25"/>
      <c r="AG293" s="25" t="s">
        <v>75</v>
      </c>
      <c r="AH293" s="25" t="s">
        <v>80</v>
      </c>
      <c r="AI293" s="25"/>
      <c r="AJ293" s="25"/>
    </row>
    <row r="294" spans="1:36">
      <c r="A294" s="37">
        <v>292</v>
      </c>
      <c r="B294" s="52" t="s">
        <v>628</v>
      </c>
      <c r="C294" s="55">
        <v>5</v>
      </c>
      <c r="D294" s="55">
        <v>90000</v>
      </c>
      <c r="E294" s="55">
        <v>90000</v>
      </c>
      <c r="F294" s="55">
        <v>150000</v>
      </c>
      <c r="G294" s="55">
        <v>150000</v>
      </c>
      <c r="H294" s="59">
        <v>3500</v>
      </c>
      <c r="I294" s="59">
        <v>2100000</v>
      </c>
      <c r="J294" s="62">
        <v>2000</v>
      </c>
      <c r="K294" s="62">
        <v>2000</v>
      </c>
      <c r="L294" s="33">
        <v>0</v>
      </c>
      <c r="M294" s="33">
        <f t="shared" si="4"/>
        <v>1730</v>
      </c>
      <c r="N294" s="26">
        <v>1750</v>
      </c>
      <c r="O294" s="26">
        <v>2800</v>
      </c>
      <c r="P294" s="26">
        <v>1900</v>
      </c>
      <c r="Q294" s="26">
        <v>20</v>
      </c>
      <c r="R294" s="26">
        <v>2800</v>
      </c>
      <c r="S294" s="26">
        <v>120</v>
      </c>
      <c r="T294" s="26">
        <v>4228</v>
      </c>
      <c r="U294" s="26">
        <v>16</v>
      </c>
      <c r="V294" s="26">
        <v>35</v>
      </c>
      <c r="W294" s="26">
        <v>22</v>
      </c>
      <c r="X294" s="26">
        <v>22</v>
      </c>
      <c r="Y294" s="25" t="s">
        <v>73</v>
      </c>
      <c r="Z294" s="25" t="s">
        <v>755</v>
      </c>
      <c r="AA294" s="25" t="s">
        <v>73</v>
      </c>
      <c r="AB294" s="25" t="s">
        <v>79</v>
      </c>
      <c r="AC294" s="25" t="s">
        <v>73</v>
      </c>
      <c r="AD294" s="25" t="s">
        <v>794</v>
      </c>
      <c r="AE294" s="25"/>
      <c r="AF294" s="25"/>
      <c r="AG294" s="25" t="s">
        <v>75</v>
      </c>
      <c r="AH294" s="25" t="s">
        <v>80</v>
      </c>
      <c r="AI294" s="25"/>
      <c r="AJ294" s="25"/>
    </row>
    <row r="295" spans="1:36">
      <c r="A295" s="36">
        <v>293</v>
      </c>
      <c r="B295" s="51" t="s">
        <v>629</v>
      </c>
      <c r="C295" s="54">
        <v>5</v>
      </c>
      <c r="D295" s="54">
        <v>90000</v>
      </c>
      <c r="E295" s="54">
        <v>90000</v>
      </c>
      <c r="F295" s="54">
        <v>150000</v>
      </c>
      <c r="G295" s="54">
        <v>150000</v>
      </c>
      <c r="H295" s="60">
        <v>3500</v>
      </c>
      <c r="I295" s="60">
        <v>2100000</v>
      </c>
      <c r="J295" s="63">
        <v>2000</v>
      </c>
      <c r="K295" s="63">
        <v>2000</v>
      </c>
      <c r="L295" s="27">
        <v>0</v>
      </c>
      <c r="M295" s="27">
        <f t="shared" si="4"/>
        <v>1730</v>
      </c>
      <c r="N295" s="34">
        <v>1750</v>
      </c>
      <c r="O295" s="34">
        <v>2800</v>
      </c>
      <c r="P295" s="34">
        <v>1900</v>
      </c>
      <c r="Q295" s="34">
        <v>20</v>
      </c>
      <c r="R295" s="34">
        <v>2800</v>
      </c>
      <c r="S295" s="34">
        <v>120</v>
      </c>
      <c r="T295" s="34">
        <v>4188</v>
      </c>
      <c r="U295" s="34">
        <v>16</v>
      </c>
      <c r="V295" s="34">
        <v>35</v>
      </c>
      <c r="W295" s="34">
        <v>22</v>
      </c>
      <c r="X295" s="34">
        <v>22</v>
      </c>
      <c r="Y295" s="35" t="s">
        <v>73</v>
      </c>
      <c r="Z295" s="35" t="s">
        <v>755</v>
      </c>
      <c r="AA295" s="35" t="s">
        <v>73</v>
      </c>
      <c r="AB295" s="35" t="s">
        <v>79</v>
      </c>
      <c r="AC295" s="35" t="s">
        <v>73</v>
      </c>
      <c r="AD295" s="35" t="s">
        <v>794</v>
      </c>
      <c r="AE295" s="25"/>
      <c r="AF295" s="25"/>
      <c r="AG295" s="25" t="s">
        <v>75</v>
      </c>
      <c r="AH295" s="25" t="s">
        <v>80</v>
      </c>
      <c r="AI295" s="25"/>
      <c r="AJ295" s="25"/>
    </row>
    <row r="296" spans="1:36">
      <c r="A296" s="37">
        <v>294</v>
      </c>
      <c r="B296" s="52" t="s">
        <v>630</v>
      </c>
      <c r="C296" s="55">
        <v>5</v>
      </c>
      <c r="D296" s="55">
        <v>90000</v>
      </c>
      <c r="E296" s="55">
        <v>90000</v>
      </c>
      <c r="F296" s="55">
        <v>150000</v>
      </c>
      <c r="G296" s="55">
        <v>150000</v>
      </c>
      <c r="H296" s="60">
        <v>3500</v>
      </c>
      <c r="I296" s="60">
        <v>2100000</v>
      </c>
      <c r="J296" s="63">
        <v>2000</v>
      </c>
      <c r="K296" s="63">
        <v>2000</v>
      </c>
      <c r="L296" s="27">
        <v>0</v>
      </c>
      <c r="M296" s="27">
        <f t="shared" si="4"/>
        <v>1730</v>
      </c>
      <c r="N296" s="26">
        <v>1750</v>
      </c>
      <c r="O296" s="26">
        <v>2800</v>
      </c>
      <c r="P296" s="26">
        <v>1900</v>
      </c>
      <c r="Q296" s="26">
        <v>20</v>
      </c>
      <c r="R296" s="26">
        <v>2800</v>
      </c>
      <c r="S296" s="26">
        <v>120</v>
      </c>
      <c r="T296" s="26">
        <v>4152</v>
      </c>
      <c r="U296" s="26">
        <v>16</v>
      </c>
      <c r="V296" s="26">
        <v>35</v>
      </c>
      <c r="W296" s="26">
        <v>22</v>
      </c>
      <c r="X296" s="26">
        <v>22</v>
      </c>
      <c r="Y296" s="25" t="s">
        <v>73</v>
      </c>
      <c r="Z296" s="25" t="s">
        <v>755</v>
      </c>
      <c r="AA296" s="25" t="s">
        <v>73</v>
      </c>
      <c r="AB296" s="25" t="s">
        <v>79</v>
      </c>
      <c r="AC296" s="25" t="s">
        <v>73</v>
      </c>
      <c r="AD296" s="25" t="s">
        <v>794</v>
      </c>
      <c r="AE296" s="25"/>
      <c r="AF296" s="25"/>
      <c r="AG296" s="25" t="s">
        <v>75</v>
      </c>
      <c r="AH296" s="25" t="s">
        <v>80</v>
      </c>
      <c r="AI296" s="25"/>
      <c r="AJ296" s="25"/>
    </row>
    <row r="297" spans="1:36">
      <c r="A297" s="36">
        <v>295</v>
      </c>
      <c r="B297" s="52" t="s">
        <v>631</v>
      </c>
      <c r="C297" s="55">
        <v>5</v>
      </c>
      <c r="D297" s="55">
        <v>90000</v>
      </c>
      <c r="E297" s="55">
        <v>90000</v>
      </c>
      <c r="F297" s="55">
        <v>150000</v>
      </c>
      <c r="G297" s="55">
        <v>150000</v>
      </c>
      <c r="H297" s="59">
        <v>3500</v>
      </c>
      <c r="I297" s="59">
        <v>2100000</v>
      </c>
      <c r="J297" s="62">
        <v>2000</v>
      </c>
      <c r="K297" s="62">
        <v>2000</v>
      </c>
      <c r="L297" s="33">
        <v>0</v>
      </c>
      <c r="M297" s="33">
        <f t="shared" si="4"/>
        <v>1730</v>
      </c>
      <c r="N297" s="26">
        <v>1750</v>
      </c>
      <c r="O297" s="26">
        <v>2800</v>
      </c>
      <c r="P297" s="26">
        <v>1900</v>
      </c>
      <c r="Q297" s="26">
        <v>20</v>
      </c>
      <c r="R297" s="26">
        <v>2800</v>
      </c>
      <c r="S297" s="26">
        <v>120</v>
      </c>
      <c r="T297" s="26">
        <v>4120</v>
      </c>
      <c r="U297" s="26">
        <v>16</v>
      </c>
      <c r="V297" s="26">
        <v>35</v>
      </c>
      <c r="W297" s="26">
        <v>22</v>
      </c>
      <c r="X297" s="26">
        <v>22</v>
      </c>
      <c r="Y297" s="25" t="s">
        <v>73</v>
      </c>
      <c r="Z297" s="25" t="s">
        <v>755</v>
      </c>
      <c r="AA297" s="25" t="s">
        <v>73</v>
      </c>
      <c r="AB297" s="25" t="s">
        <v>79</v>
      </c>
      <c r="AC297" s="25" t="s">
        <v>73</v>
      </c>
      <c r="AD297" s="25" t="s">
        <v>794</v>
      </c>
      <c r="AE297" s="25"/>
      <c r="AF297" s="25"/>
      <c r="AG297" s="25" t="s">
        <v>75</v>
      </c>
      <c r="AH297" s="25" t="s">
        <v>80</v>
      </c>
      <c r="AI297" s="25"/>
      <c r="AJ297" s="25"/>
    </row>
    <row r="298" spans="1:36">
      <c r="A298" s="37">
        <v>296</v>
      </c>
      <c r="B298" s="52" t="s">
        <v>632</v>
      </c>
      <c r="C298" s="55">
        <v>5</v>
      </c>
      <c r="D298" s="55">
        <v>90000</v>
      </c>
      <c r="E298" s="55">
        <v>90000</v>
      </c>
      <c r="F298" s="55">
        <v>150000</v>
      </c>
      <c r="G298" s="55">
        <v>150000</v>
      </c>
      <c r="H298" s="60">
        <v>3500</v>
      </c>
      <c r="I298" s="60">
        <v>2100000</v>
      </c>
      <c r="J298" s="63">
        <v>2000</v>
      </c>
      <c r="K298" s="63">
        <v>2000</v>
      </c>
      <c r="L298" s="27">
        <v>0</v>
      </c>
      <c r="M298" s="27">
        <f t="shared" si="4"/>
        <v>1730</v>
      </c>
      <c r="N298" s="26">
        <v>1750</v>
      </c>
      <c r="O298" s="26">
        <v>2800</v>
      </c>
      <c r="P298" s="26">
        <v>1900</v>
      </c>
      <c r="Q298" s="26">
        <v>20</v>
      </c>
      <c r="R298" s="26">
        <v>2800</v>
      </c>
      <c r="S298" s="26">
        <v>120</v>
      </c>
      <c r="T298" s="26">
        <v>4091</v>
      </c>
      <c r="U298" s="26">
        <v>16</v>
      </c>
      <c r="V298" s="26">
        <v>35</v>
      </c>
      <c r="W298" s="26">
        <v>22</v>
      </c>
      <c r="X298" s="26">
        <v>22</v>
      </c>
      <c r="Y298" s="25" t="s">
        <v>73</v>
      </c>
      <c r="Z298" s="25" t="s">
        <v>755</v>
      </c>
      <c r="AA298" s="25" t="s">
        <v>73</v>
      </c>
      <c r="AB298" s="25" t="s">
        <v>79</v>
      </c>
      <c r="AC298" s="25" t="s">
        <v>73</v>
      </c>
      <c r="AD298" s="25" t="s">
        <v>794</v>
      </c>
      <c r="AE298" s="25"/>
      <c r="AF298" s="25"/>
      <c r="AG298" s="25" t="s">
        <v>75</v>
      </c>
      <c r="AH298" s="25" t="s">
        <v>80</v>
      </c>
      <c r="AI298" s="25"/>
      <c r="AJ298" s="25"/>
    </row>
    <row r="299" spans="1:36">
      <c r="A299" s="36">
        <v>297</v>
      </c>
      <c r="B299" s="51" t="s">
        <v>633</v>
      </c>
      <c r="C299" s="54">
        <v>5</v>
      </c>
      <c r="D299" s="54">
        <v>90000</v>
      </c>
      <c r="E299" s="54">
        <v>90000</v>
      </c>
      <c r="F299" s="54">
        <v>150000</v>
      </c>
      <c r="G299" s="54">
        <v>150000</v>
      </c>
      <c r="H299" s="60">
        <v>3500</v>
      </c>
      <c r="I299" s="60">
        <v>2100000</v>
      </c>
      <c r="J299" s="63">
        <v>2000</v>
      </c>
      <c r="K299" s="63">
        <v>2000</v>
      </c>
      <c r="L299" s="27">
        <v>0</v>
      </c>
      <c r="M299" s="27">
        <f t="shared" si="4"/>
        <v>1730</v>
      </c>
      <c r="N299" s="34">
        <v>1750</v>
      </c>
      <c r="O299" s="34">
        <v>2800</v>
      </c>
      <c r="P299" s="34">
        <v>1900</v>
      </c>
      <c r="Q299" s="34">
        <v>20</v>
      </c>
      <c r="R299" s="34">
        <v>2800</v>
      </c>
      <c r="S299" s="34">
        <v>120</v>
      </c>
      <c r="T299" s="34">
        <v>4067</v>
      </c>
      <c r="U299" s="34">
        <v>16</v>
      </c>
      <c r="V299" s="34">
        <v>40</v>
      </c>
      <c r="W299" s="34">
        <v>35</v>
      </c>
      <c r="X299" s="34">
        <v>35</v>
      </c>
      <c r="Y299" s="35" t="s">
        <v>73</v>
      </c>
      <c r="Z299" s="35" t="s">
        <v>755</v>
      </c>
      <c r="AA299" s="35" t="s">
        <v>73</v>
      </c>
      <c r="AB299" s="35" t="s">
        <v>79</v>
      </c>
      <c r="AC299" s="35" t="s">
        <v>73</v>
      </c>
      <c r="AD299" s="35" t="s">
        <v>794</v>
      </c>
      <c r="AE299" s="25"/>
      <c r="AF299" s="25"/>
      <c r="AG299" s="25" t="s">
        <v>75</v>
      </c>
      <c r="AH299" s="25" t="s">
        <v>80</v>
      </c>
      <c r="AI299" s="25"/>
      <c r="AJ299" s="25"/>
    </row>
    <row r="300" spans="1:36">
      <c r="A300" s="37">
        <v>298</v>
      </c>
      <c r="B300" s="52" t="s">
        <v>634</v>
      </c>
      <c r="C300" s="55">
        <v>5</v>
      </c>
      <c r="D300" s="55">
        <v>90000</v>
      </c>
      <c r="E300" s="55">
        <v>90000</v>
      </c>
      <c r="F300" s="55">
        <v>150000</v>
      </c>
      <c r="G300" s="55">
        <v>150000</v>
      </c>
      <c r="H300" s="59">
        <v>3500</v>
      </c>
      <c r="I300" s="59">
        <v>2100000</v>
      </c>
      <c r="J300" s="62">
        <v>2000</v>
      </c>
      <c r="K300" s="62">
        <v>2000</v>
      </c>
      <c r="L300" s="33">
        <v>0</v>
      </c>
      <c r="M300" s="33">
        <f t="shared" si="4"/>
        <v>1730</v>
      </c>
      <c r="N300" s="26">
        <v>1750</v>
      </c>
      <c r="O300" s="26">
        <v>2800</v>
      </c>
      <c r="P300" s="26">
        <v>1900</v>
      </c>
      <c r="Q300" s="26">
        <v>20</v>
      </c>
      <c r="R300" s="26">
        <v>2800</v>
      </c>
      <c r="S300" s="26">
        <v>120</v>
      </c>
      <c r="T300" s="26">
        <v>4046</v>
      </c>
      <c r="U300" s="26">
        <v>16</v>
      </c>
      <c r="V300" s="26">
        <v>40</v>
      </c>
      <c r="W300" s="26">
        <v>35</v>
      </c>
      <c r="X300" s="26">
        <v>35</v>
      </c>
      <c r="Y300" s="25" t="s">
        <v>73</v>
      </c>
      <c r="Z300" s="25" t="s">
        <v>755</v>
      </c>
      <c r="AA300" s="25" t="s">
        <v>73</v>
      </c>
      <c r="AB300" s="25" t="s">
        <v>79</v>
      </c>
      <c r="AC300" s="25" t="s">
        <v>73</v>
      </c>
      <c r="AD300" s="25" t="s">
        <v>794</v>
      </c>
      <c r="AE300" s="25"/>
      <c r="AF300" s="25"/>
      <c r="AG300" s="25" t="s">
        <v>75</v>
      </c>
      <c r="AH300" s="25" t="s">
        <v>80</v>
      </c>
      <c r="AI300" s="25"/>
      <c r="AJ300" s="25"/>
    </row>
    <row r="301" spans="1:36">
      <c r="A301" s="36">
        <v>299</v>
      </c>
      <c r="B301" s="52" t="s">
        <v>635</v>
      </c>
      <c r="C301" s="55">
        <v>5</v>
      </c>
      <c r="D301" s="55">
        <v>90000</v>
      </c>
      <c r="E301" s="55">
        <v>90000</v>
      </c>
      <c r="F301" s="55">
        <v>150000</v>
      </c>
      <c r="G301" s="55">
        <v>150000</v>
      </c>
      <c r="H301" s="60">
        <v>3500</v>
      </c>
      <c r="I301" s="60">
        <v>2100000</v>
      </c>
      <c r="J301" s="63">
        <v>2000</v>
      </c>
      <c r="K301" s="63">
        <v>2000</v>
      </c>
      <c r="L301" s="27">
        <v>0</v>
      </c>
      <c r="M301" s="27">
        <f t="shared" si="4"/>
        <v>1730</v>
      </c>
      <c r="N301" s="26">
        <v>1750</v>
      </c>
      <c r="O301" s="26">
        <v>2800</v>
      </c>
      <c r="P301" s="26">
        <v>1900</v>
      </c>
      <c r="Q301" s="26">
        <v>20</v>
      </c>
      <c r="R301" s="26">
        <v>2800</v>
      </c>
      <c r="S301" s="26">
        <v>120</v>
      </c>
      <c r="T301" s="26">
        <v>4029</v>
      </c>
      <c r="U301" s="26">
        <v>16</v>
      </c>
      <c r="V301" s="26">
        <v>40</v>
      </c>
      <c r="W301" s="26">
        <v>35</v>
      </c>
      <c r="X301" s="26">
        <v>35</v>
      </c>
      <c r="Y301" s="25" t="s">
        <v>73</v>
      </c>
      <c r="Z301" s="25" t="s">
        <v>755</v>
      </c>
      <c r="AA301" s="25" t="s">
        <v>73</v>
      </c>
      <c r="AB301" s="25" t="s">
        <v>79</v>
      </c>
      <c r="AC301" s="25" t="s">
        <v>73</v>
      </c>
      <c r="AD301" s="25" t="s">
        <v>794</v>
      </c>
      <c r="AE301" s="25"/>
      <c r="AF301" s="25"/>
      <c r="AG301" s="25" t="s">
        <v>75</v>
      </c>
      <c r="AH301" s="25" t="s">
        <v>80</v>
      </c>
      <c r="AI301" s="25"/>
      <c r="AJ301" s="25"/>
    </row>
    <row r="302" spans="1:36">
      <c r="A302" s="37">
        <v>300</v>
      </c>
      <c r="B302" s="52" t="s">
        <v>636</v>
      </c>
      <c r="C302" s="55">
        <v>5</v>
      </c>
      <c r="D302" s="55">
        <v>90000</v>
      </c>
      <c r="E302" s="55">
        <v>90000</v>
      </c>
      <c r="F302" s="55">
        <v>150000</v>
      </c>
      <c r="G302" s="55">
        <v>150000</v>
      </c>
      <c r="H302" s="60">
        <v>3500</v>
      </c>
      <c r="I302" s="60">
        <v>2100000</v>
      </c>
      <c r="J302" s="63">
        <v>2000</v>
      </c>
      <c r="K302" s="63">
        <v>2000</v>
      </c>
      <c r="L302" s="27">
        <v>0</v>
      </c>
      <c r="M302" s="27">
        <f t="shared" si="4"/>
        <v>1730</v>
      </c>
      <c r="N302" s="26">
        <v>1750</v>
      </c>
      <c r="O302" s="26">
        <v>2800</v>
      </c>
      <c r="P302" s="26">
        <v>1900</v>
      </c>
      <c r="Q302" s="26">
        <v>20</v>
      </c>
      <c r="R302" s="26">
        <v>2800</v>
      </c>
      <c r="S302" s="26">
        <v>120</v>
      </c>
      <c r="T302" s="26">
        <v>4016</v>
      </c>
      <c r="U302" s="26">
        <v>16</v>
      </c>
      <c r="V302" s="26">
        <v>40</v>
      </c>
      <c r="W302" s="26">
        <v>35</v>
      </c>
      <c r="X302" s="26">
        <v>35</v>
      </c>
      <c r="Y302" s="25" t="s">
        <v>73</v>
      </c>
      <c r="Z302" s="25" t="s">
        <v>755</v>
      </c>
      <c r="AA302" s="25" t="s">
        <v>73</v>
      </c>
      <c r="AB302" s="25" t="s">
        <v>79</v>
      </c>
      <c r="AC302" s="25" t="s">
        <v>73</v>
      </c>
      <c r="AD302" s="25" t="s">
        <v>794</v>
      </c>
      <c r="AE302" s="25"/>
      <c r="AF302" s="25"/>
      <c r="AG302" s="25" t="s">
        <v>75</v>
      </c>
      <c r="AH302" s="25" t="s">
        <v>80</v>
      </c>
      <c r="AI302" s="25"/>
      <c r="AJ302" s="25"/>
    </row>
    <row r="303" spans="1:36">
      <c r="A303" s="36">
        <v>301</v>
      </c>
      <c r="B303" s="51" t="s">
        <v>637</v>
      </c>
      <c r="C303" s="54">
        <v>5</v>
      </c>
      <c r="D303" s="54">
        <v>90000</v>
      </c>
      <c r="E303" s="54">
        <v>90000</v>
      </c>
      <c r="F303" s="54">
        <v>150000</v>
      </c>
      <c r="G303" s="54">
        <v>150000</v>
      </c>
      <c r="H303" s="59">
        <v>3500</v>
      </c>
      <c r="I303" s="59">
        <v>2100000</v>
      </c>
      <c r="J303" s="62">
        <v>2000</v>
      </c>
      <c r="K303" s="62">
        <v>2000</v>
      </c>
      <c r="L303" s="33">
        <v>0</v>
      </c>
      <c r="M303" s="33">
        <f t="shared" si="4"/>
        <v>1730</v>
      </c>
      <c r="N303" s="34">
        <v>1750</v>
      </c>
      <c r="O303" s="34">
        <v>2800</v>
      </c>
      <c r="P303" s="34">
        <v>1900</v>
      </c>
      <c r="Q303" s="34">
        <v>20</v>
      </c>
      <c r="R303" s="34">
        <v>2800</v>
      </c>
      <c r="S303" s="34">
        <v>120</v>
      </c>
      <c r="T303" s="34">
        <v>4007</v>
      </c>
      <c r="U303" s="34">
        <v>16</v>
      </c>
      <c r="V303" s="34">
        <v>42</v>
      </c>
      <c r="W303" s="34">
        <v>38</v>
      </c>
      <c r="X303" s="34">
        <v>38</v>
      </c>
      <c r="Y303" s="35" t="s">
        <v>73</v>
      </c>
      <c r="Z303" s="35" t="s">
        <v>755</v>
      </c>
      <c r="AA303" s="35" t="s">
        <v>73</v>
      </c>
      <c r="AB303" s="35" t="s">
        <v>79</v>
      </c>
      <c r="AC303" s="35" t="s">
        <v>73</v>
      </c>
      <c r="AD303" s="35" t="s">
        <v>794</v>
      </c>
      <c r="AE303" s="25"/>
      <c r="AF303" s="25"/>
      <c r="AG303" s="25" t="s">
        <v>75</v>
      </c>
      <c r="AH303" s="25" t="s">
        <v>80</v>
      </c>
      <c r="AI303" s="25"/>
      <c r="AJ303" s="25"/>
    </row>
    <row r="304" spans="1:36">
      <c r="A304" s="37">
        <v>302</v>
      </c>
      <c r="B304" s="52" t="s">
        <v>638</v>
      </c>
      <c r="C304" s="55">
        <v>5</v>
      </c>
      <c r="D304" s="55">
        <v>90000</v>
      </c>
      <c r="E304" s="55">
        <v>90000</v>
      </c>
      <c r="F304" s="55">
        <v>150000</v>
      </c>
      <c r="G304" s="55">
        <v>150000</v>
      </c>
      <c r="H304" s="60">
        <v>3500</v>
      </c>
      <c r="I304" s="60">
        <v>2100000</v>
      </c>
      <c r="J304" s="63">
        <v>2000</v>
      </c>
      <c r="K304" s="63">
        <v>2000</v>
      </c>
      <c r="L304" s="27">
        <v>0</v>
      </c>
      <c r="M304" s="27">
        <f t="shared" si="4"/>
        <v>1730</v>
      </c>
      <c r="N304" s="26">
        <v>1750</v>
      </c>
      <c r="O304" s="26">
        <v>2800</v>
      </c>
      <c r="P304" s="26">
        <v>1900</v>
      </c>
      <c r="Q304" s="26">
        <v>20</v>
      </c>
      <c r="R304" s="26">
        <v>2800</v>
      </c>
      <c r="S304" s="26">
        <v>120</v>
      </c>
      <c r="T304" s="26">
        <v>4002</v>
      </c>
      <c r="U304" s="26">
        <v>16</v>
      </c>
      <c r="V304" s="26">
        <v>42</v>
      </c>
      <c r="W304" s="26">
        <v>38</v>
      </c>
      <c r="X304" s="26">
        <v>38</v>
      </c>
      <c r="Y304" s="25" t="s">
        <v>73</v>
      </c>
      <c r="Z304" s="25" t="s">
        <v>755</v>
      </c>
      <c r="AA304" s="25" t="s">
        <v>73</v>
      </c>
      <c r="AB304" s="25" t="s">
        <v>79</v>
      </c>
      <c r="AC304" s="25" t="s">
        <v>73</v>
      </c>
      <c r="AD304" s="25" t="s">
        <v>794</v>
      </c>
      <c r="AE304" s="25"/>
      <c r="AF304" s="25"/>
      <c r="AG304" s="25" t="s">
        <v>75</v>
      </c>
      <c r="AH304" s="25" t="s">
        <v>80</v>
      </c>
      <c r="AI304" s="25"/>
      <c r="AJ304" s="25"/>
    </row>
    <row r="305" spans="1:36">
      <c r="A305" s="36">
        <v>303</v>
      </c>
      <c r="B305" s="52" t="s">
        <v>639</v>
      </c>
      <c r="C305" s="55">
        <v>5</v>
      </c>
      <c r="D305" s="55">
        <v>90000</v>
      </c>
      <c r="E305" s="55">
        <v>90000</v>
      </c>
      <c r="F305" s="55">
        <v>150000</v>
      </c>
      <c r="G305" s="55">
        <v>150000</v>
      </c>
      <c r="H305" s="60">
        <v>3500</v>
      </c>
      <c r="I305" s="60">
        <v>2100000</v>
      </c>
      <c r="J305" s="63">
        <v>2000</v>
      </c>
      <c r="K305" s="63">
        <v>2000</v>
      </c>
      <c r="L305" s="27">
        <v>0</v>
      </c>
      <c r="M305" s="27">
        <f t="shared" si="4"/>
        <v>1730</v>
      </c>
      <c r="N305" s="26">
        <v>1750</v>
      </c>
      <c r="O305" s="26">
        <v>2800</v>
      </c>
      <c r="P305" s="26">
        <v>1900</v>
      </c>
      <c r="Q305" s="26">
        <v>20</v>
      </c>
      <c r="R305" s="26">
        <v>2800</v>
      </c>
      <c r="S305" s="26">
        <v>120</v>
      </c>
      <c r="T305" s="26">
        <v>4000</v>
      </c>
      <c r="U305" s="26">
        <v>16</v>
      </c>
      <c r="V305" s="26">
        <v>42</v>
      </c>
      <c r="W305" s="26">
        <v>38</v>
      </c>
      <c r="X305" s="26">
        <v>38</v>
      </c>
      <c r="Y305" s="25" t="s">
        <v>73</v>
      </c>
      <c r="Z305" s="25" t="s">
        <v>755</v>
      </c>
      <c r="AA305" s="25" t="s">
        <v>73</v>
      </c>
      <c r="AB305" s="25" t="s">
        <v>79</v>
      </c>
      <c r="AC305" s="25" t="s">
        <v>73</v>
      </c>
      <c r="AD305" s="25" t="s">
        <v>794</v>
      </c>
      <c r="AE305" s="25"/>
      <c r="AF305" s="25"/>
      <c r="AG305" s="25" t="s">
        <v>75</v>
      </c>
      <c r="AH305" s="25" t="s">
        <v>80</v>
      </c>
      <c r="AI305" s="25"/>
      <c r="AJ305" s="25"/>
    </row>
    <row r="306" spans="1:36">
      <c r="A306" s="37">
        <v>304</v>
      </c>
      <c r="B306" s="52" t="s">
        <v>640</v>
      </c>
      <c r="C306" s="55">
        <v>5</v>
      </c>
      <c r="D306" s="55">
        <v>90000</v>
      </c>
      <c r="E306" s="55">
        <v>90000</v>
      </c>
      <c r="F306" s="55">
        <v>150000</v>
      </c>
      <c r="G306" s="55">
        <v>150000</v>
      </c>
      <c r="H306" s="59">
        <v>3500</v>
      </c>
      <c r="I306" s="59">
        <v>2100000</v>
      </c>
      <c r="J306" s="62">
        <v>2000</v>
      </c>
      <c r="K306" s="62">
        <v>2000</v>
      </c>
      <c r="L306" s="33">
        <v>0</v>
      </c>
      <c r="M306" s="33">
        <f t="shared" si="4"/>
        <v>1730</v>
      </c>
      <c r="N306" s="26">
        <v>1750</v>
      </c>
      <c r="O306" s="26">
        <v>2800</v>
      </c>
      <c r="P306" s="26">
        <v>1900</v>
      </c>
      <c r="Q306" s="26">
        <v>20</v>
      </c>
      <c r="R306" s="26">
        <v>2800</v>
      </c>
      <c r="S306" s="26">
        <v>120</v>
      </c>
      <c r="T306" s="26">
        <v>4002</v>
      </c>
      <c r="U306" s="26">
        <v>16</v>
      </c>
      <c r="V306" s="26">
        <v>42</v>
      </c>
      <c r="W306" s="26">
        <v>38</v>
      </c>
      <c r="X306" s="26">
        <v>38</v>
      </c>
      <c r="Y306" s="25" t="s">
        <v>73</v>
      </c>
      <c r="Z306" s="25" t="s">
        <v>755</v>
      </c>
      <c r="AA306" s="25" t="s">
        <v>73</v>
      </c>
      <c r="AB306" s="25" t="s">
        <v>79</v>
      </c>
      <c r="AC306" s="25" t="s">
        <v>73</v>
      </c>
      <c r="AD306" s="25" t="s">
        <v>794</v>
      </c>
      <c r="AE306" s="25"/>
      <c r="AF306" s="25"/>
      <c r="AG306" s="25" t="s">
        <v>75</v>
      </c>
      <c r="AH306" s="25" t="s">
        <v>80</v>
      </c>
      <c r="AI306" s="25"/>
      <c r="AJ306" s="25"/>
    </row>
    <row r="307" spans="1:36">
      <c r="A307" s="36">
        <v>305</v>
      </c>
      <c r="B307" s="51" t="s">
        <v>641</v>
      </c>
      <c r="C307" s="54">
        <v>5</v>
      </c>
      <c r="D307" s="54">
        <v>90000</v>
      </c>
      <c r="E307" s="54">
        <v>90000</v>
      </c>
      <c r="F307" s="54">
        <v>150000</v>
      </c>
      <c r="G307" s="54">
        <v>150000</v>
      </c>
      <c r="H307" s="60">
        <v>3500</v>
      </c>
      <c r="I307" s="60">
        <v>2100000</v>
      </c>
      <c r="J307" s="63">
        <v>2000</v>
      </c>
      <c r="K307" s="63">
        <v>2000</v>
      </c>
      <c r="L307" s="27">
        <v>0</v>
      </c>
      <c r="M307" s="27">
        <f t="shared" si="4"/>
        <v>1730</v>
      </c>
      <c r="N307" s="34">
        <v>1750</v>
      </c>
      <c r="O307" s="34">
        <v>2800</v>
      </c>
      <c r="P307" s="34">
        <v>1900</v>
      </c>
      <c r="Q307" s="34">
        <v>20</v>
      </c>
      <c r="R307" s="34">
        <v>2800</v>
      </c>
      <c r="S307" s="34">
        <v>120</v>
      </c>
      <c r="T307" s="34">
        <v>4007</v>
      </c>
      <c r="U307" s="34">
        <v>16</v>
      </c>
      <c r="V307" s="34">
        <v>42</v>
      </c>
      <c r="W307" s="34">
        <v>38</v>
      </c>
      <c r="X307" s="34">
        <v>38</v>
      </c>
      <c r="Y307" s="35" t="s">
        <v>73</v>
      </c>
      <c r="Z307" s="35" t="s">
        <v>755</v>
      </c>
      <c r="AA307" s="35" t="s">
        <v>73</v>
      </c>
      <c r="AB307" s="35" t="s">
        <v>79</v>
      </c>
      <c r="AC307" s="35" t="s">
        <v>73</v>
      </c>
      <c r="AD307" s="35" t="s">
        <v>794</v>
      </c>
      <c r="AE307" s="35"/>
      <c r="AF307" s="35"/>
      <c r="AG307" s="35" t="s">
        <v>75</v>
      </c>
      <c r="AH307" s="35" t="s">
        <v>80</v>
      </c>
      <c r="AI307" s="35"/>
      <c r="AJ307" s="35"/>
    </row>
    <row r="308" spans="1:36">
      <c r="A308" s="37">
        <v>306</v>
      </c>
      <c r="B308" s="52" t="s">
        <v>642</v>
      </c>
      <c r="C308" s="55">
        <v>5</v>
      </c>
      <c r="D308" s="55">
        <v>90000</v>
      </c>
      <c r="E308" s="55">
        <v>90000</v>
      </c>
      <c r="F308" s="55">
        <v>150000</v>
      </c>
      <c r="G308" s="55">
        <v>150000</v>
      </c>
      <c r="H308" s="60">
        <v>3500</v>
      </c>
      <c r="I308" s="60">
        <v>2100000</v>
      </c>
      <c r="J308" s="63">
        <v>2000</v>
      </c>
      <c r="K308" s="63">
        <v>2000</v>
      </c>
      <c r="L308" s="27">
        <v>0</v>
      </c>
      <c r="M308" s="27">
        <f t="shared" si="4"/>
        <v>1730</v>
      </c>
      <c r="N308" s="26">
        <v>1750</v>
      </c>
      <c r="O308" s="26">
        <v>2800</v>
      </c>
      <c r="P308" s="26">
        <v>1900</v>
      </c>
      <c r="Q308" s="26">
        <v>20</v>
      </c>
      <c r="R308" s="26">
        <v>2800</v>
      </c>
      <c r="S308" s="26">
        <v>120</v>
      </c>
      <c r="T308" s="26">
        <v>4016</v>
      </c>
      <c r="U308" s="26">
        <v>16</v>
      </c>
      <c r="V308" s="26">
        <v>42</v>
      </c>
      <c r="W308" s="26">
        <v>38</v>
      </c>
      <c r="X308" s="26">
        <v>38</v>
      </c>
      <c r="Y308" s="25" t="s">
        <v>73</v>
      </c>
      <c r="Z308" s="25" t="s">
        <v>755</v>
      </c>
      <c r="AA308" s="25" t="s">
        <v>73</v>
      </c>
      <c r="AB308" s="25" t="s">
        <v>79</v>
      </c>
      <c r="AC308" s="25" t="s">
        <v>73</v>
      </c>
      <c r="AD308" s="25" t="s">
        <v>794</v>
      </c>
      <c r="AE308" s="25"/>
      <c r="AF308" s="25"/>
      <c r="AG308" s="25" t="s">
        <v>75</v>
      </c>
      <c r="AH308" s="25" t="s">
        <v>80</v>
      </c>
      <c r="AI308" s="25"/>
      <c r="AJ308" s="25"/>
    </row>
    <row r="309" spans="1:36">
      <c r="A309" s="36">
        <v>307</v>
      </c>
      <c r="B309" s="52" t="s">
        <v>643</v>
      </c>
      <c r="C309" s="55">
        <v>5</v>
      </c>
      <c r="D309" s="55">
        <v>90000</v>
      </c>
      <c r="E309" s="55">
        <v>90000</v>
      </c>
      <c r="F309" s="55">
        <v>150000</v>
      </c>
      <c r="G309" s="55">
        <v>150000</v>
      </c>
      <c r="H309" s="59">
        <v>3500</v>
      </c>
      <c r="I309" s="59">
        <v>2100000</v>
      </c>
      <c r="J309" s="62">
        <v>2000</v>
      </c>
      <c r="K309" s="62">
        <v>2000</v>
      </c>
      <c r="L309" s="33">
        <v>0</v>
      </c>
      <c r="M309" s="33">
        <f t="shared" si="4"/>
        <v>1730</v>
      </c>
      <c r="N309" s="26">
        <v>1750</v>
      </c>
      <c r="O309" s="26">
        <v>2800</v>
      </c>
      <c r="P309" s="26">
        <v>1900</v>
      </c>
      <c r="Q309" s="26">
        <v>20</v>
      </c>
      <c r="R309" s="26">
        <v>2800</v>
      </c>
      <c r="S309" s="26">
        <v>120</v>
      </c>
      <c r="T309" s="26">
        <v>4029</v>
      </c>
      <c r="U309" s="26">
        <v>16</v>
      </c>
      <c r="V309" s="26">
        <v>42</v>
      </c>
      <c r="W309" s="26">
        <v>38</v>
      </c>
      <c r="X309" s="26">
        <v>38</v>
      </c>
      <c r="Y309" s="25" t="s">
        <v>73</v>
      </c>
      <c r="Z309" s="25" t="s">
        <v>755</v>
      </c>
      <c r="AA309" s="25" t="s">
        <v>73</v>
      </c>
      <c r="AB309" s="25" t="s">
        <v>79</v>
      </c>
      <c r="AC309" s="25" t="s">
        <v>73</v>
      </c>
      <c r="AD309" s="25" t="s">
        <v>794</v>
      </c>
      <c r="AE309" s="25"/>
      <c r="AF309" s="25"/>
      <c r="AG309" s="25" t="s">
        <v>75</v>
      </c>
      <c r="AH309" s="25" t="s">
        <v>80</v>
      </c>
      <c r="AI309" s="25"/>
      <c r="AJ309" s="25"/>
    </row>
    <row r="310" spans="1:36">
      <c r="A310" s="37">
        <v>308</v>
      </c>
      <c r="B310" s="52" t="s">
        <v>644</v>
      </c>
      <c r="C310" s="55">
        <v>5</v>
      </c>
      <c r="D310" s="55">
        <v>90000</v>
      </c>
      <c r="E310" s="55">
        <v>90000</v>
      </c>
      <c r="F310" s="55">
        <v>150000</v>
      </c>
      <c r="G310" s="55">
        <v>150000</v>
      </c>
      <c r="H310" s="60">
        <v>3500</v>
      </c>
      <c r="I310" s="60">
        <v>2100000</v>
      </c>
      <c r="J310" s="63">
        <v>2000</v>
      </c>
      <c r="K310" s="63">
        <v>2000</v>
      </c>
      <c r="L310" s="27">
        <v>0</v>
      </c>
      <c r="M310" s="27">
        <f t="shared" si="4"/>
        <v>1730</v>
      </c>
      <c r="N310" s="26">
        <v>1750</v>
      </c>
      <c r="O310" s="26">
        <v>2800</v>
      </c>
      <c r="P310" s="26">
        <v>1900</v>
      </c>
      <c r="Q310" s="26">
        <v>20</v>
      </c>
      <c r="R310" s="26">
        <v>2800</v>
      </c>
      <c r="S310" s="26">
        <v>120</v>
      </c>
      <c r="T310" s="26">
        <v>4046</v>
      </c>
      <c r="U310" s="26">
        <v>16</v>
      </c>
      <c r="V310" s="26">
        <v>42</v>
      </c>
      <c r="W310" s="26">
        <v>38</v>
      </c>
      <c r="X310" s="26">
        <v>38</v>
      </c>
      <c r="Y310" s="25" t="s">
        <v>73</v>
      </c>
      <c r="Z310" s="25" t="s">
        <v>755</v>
      </c>
      <c r="AA310" s="25" t="s">
        <v>73</v>
      </c>
      <c r="AB310" s="25" t="s">
        <v>79</v>
      </c>
      <c r="AC310" s="25" t="s">
        <v>73</v>
      </c>
      <c r="AD310" s="25" t="s">
        <v>794</v>
      </c>
      <c r="AE310" s="25"/>
      <c r="AF310" s="25"/>
      <c r="AG310" s="25" t="s">
        <v>75</v>
      </c>
      <c r="AH310" s="25" t="s">
        <v>80</v>
      </c>
      <c r="AI310" s="25"/>
      <c r="AJ310" s="25"/>
    </row>
    <row r="311" spans="1:36">
      <c r="A311" s="36">
        <v>309</v>
      </c>
      <c r="B311" s="51" t="s">
        <v>645</v>
      </c>
      <c r="C311" s="54">
        <v>5</v>
      </c>
      <c r="D311" s="54">
        <v>90000</v>
      </c>
      <c r="E311" s="54">
        <v>90000</v>
      </c>
      <c r="F311" s="54">
        <v>150000</v>
      </c>
      <c r="G311" s="54">
        <v>150000</v>
      </c>
      <c r="H311" s="60">
        <v>3500</v>
      </c>
      <c r="I311" s="60">
        <v>2100000</v>
      </c>
      <c r="J311" s="63">
        <v>2000</v>
      </c>
      <c r="K311" s="63">
        <v>2000</v>
      </c>
      <c r="L311" s="27">
        <v>0</v>
      </c>
      <c r="M311" s="27">
        <f t="shared" si="4"/>
        <v>1730</v>
      </c>
      <c r="N311" s="34">
        <v>1750</v>
      </c>
      <c r="O311" s="34">
        <v>2800</v>
      </c>
      <c r="P311" s="34">
        <v>1900</v>
      </c>
      <c r="Q311" s="34">
        <v>20</v>
      </c>
      <c r="R311" s="34">
        <v>2800</v>
      </c>
      <c r="S311" s="34">
        <v>120</v>
      </c>
      <c r="T311" s="34">
        <v>4067</v>
      </c>
      <c r="U311" s="34">
        <v>16</v>
      </c>
      <c r="V311" s="34">
        <v>42</v>
      </c>
      <c r="W311" s="34">
        <v>38</v>
      </c>
      <c r="X311" s="34">
        <v>38</v>
      </c>
      <c r="Y311" s="35" t="s">
        <v>73</v>
      </c>
      <c r="Z311" s="35" t="s">
        <v>755</v>
      </c>
      <c r="AA311" s="35" t="s">
        <v>73</v>
      </c>
      <c r="AB311" s="35" t="s">
        <v>79</v>
      </c>
      <c r="AC311" s="35" t="s">
        <v>73</v>
      </c>
      <c r="AD311" s="35" t="s">
        <v>794</v>
      </c>
      <c r="AE311" s="25"/>
      <c r="AF311" s="25"/>
      <c r="AG311" s="25" t="s">
        <v>75</v>
      </c>
      <c r="AH311" s="25" t="s">
        <v>80</v>
      </c>
      <c r="AI311" s="25"/>
      <c r="AJ311" s="25"/>
    </row>
    <row r="312" spans="1:36">
      <c r="A312" s="37">
        <v>310</v>
      </c>
      <c r="B312" s="52" t="s">
        <v>646</v>
      </c>
      <c r="C312" s="55">
        <v>5</v>
      </c>
      <c r="D312" s="55">
        <v>90000</v>
      </c>
      <c r="E312" s="55">
        <v>90000</v>
      </c>
      <c r="F312" s="55">
        <v>150000</v>
      </c>
      <c r="G312" s="55">
        <v>150000</v>
      </c>
      <c r="H312" s="59">
        <v>3500</v>
      </c>
      <c r="I312" s="59">
        <v>2100000</v>
      </c>
      <c r="J312" s="62">
        <v>2000</v>
      </c>
      <c r="K312" s="62">
        <v>2000</v>
      </c>
      <c r="L312" s="33">
        <v>0</v>
      </c>
      <c r="M312" s="33">
        <f t="shared" si="4"/>
        <v>1730</v>
      </c>
      <c r="N312" s="26">
        <v>1750</v>
      </c>
      <c r="O312" s="26">
        <v>2800</v>
      </c>
      <c r="P312" s="26">
        <v>1900</v>
      </c>
      <c r="Q312" s="26">
        <v>20</v>
      </c>
      <c r="R312" s="26">
        <v>2800</v>
      </c>
      <c r="S312" s="26">
        <v>120</v>
      </c>
      <c r="T312" s="26">
        <v>4091</v>
      </c>
      <c r="U312" s="26">
        <v>16</v>
      </c>
      <c r="V312" s="26">
        <v>40</v>
      </c>
      <c r="W312" s="26">
        <v>35</v>
      </c>
      <c r="X312" s="26">
        <v>35</v>
      </c>
      <c r="Y312" s="25" t="s">
        <v>73</v>
      </c>
      <c r="Z312" s="25" t="s">
        <v>755</v>
      </c>
      <c r="AA312" s="25" t="s">
        <v>73</v>
      </c>
      <c r="AB312" s="25" t="s">
        <v>79</v>
      </c>
      <c r="AC312" s="25" t="s">
        <v>73</v>
      </c>
      <c r="AD312" s="25" t="s">
        <v>794</v>
      </c>
      <c r="AE312" s="25"/>
      <c r="AF312" s="25"/>
      <c r="AG312" s="25" t="s">
        <v>75</v>
      </c>
      <c r="AH312" s="25" t="s">
        <v>80</v>
      </c>
      <c r="AI312" s="25"/>
      <c r="AJ312" s="25"/>
    </row>
    <row r="313" spans="1:36">
      <c r="A313" s="36">
        <v>311</v>
      </c>
      <c r="B313" s="52" t="s">
        <v>647</v>
      </c>
      <c r="C313" s="55">
        <v>5</v>
      </c>
      <c r="D313" s="55">
        <v>90000</v>
      </c>
      <c r="E313" s="55">
        <v>90000</v>
      </c>
      <c r="F313" s="55">
        <v>150000</v>
      </c>
      <c r="G313" s="55">
        <v>150000</v>
      </c>
      <c r="H313" s="60">
        <v>3500</v>
      </c>
      <c r="I313" s="60">
        <v>2100000</v>
      </c>
      <c r="J313" s="63">
        <v>2000</v>
      </c>
      <c r="K313" s="63">
        <v>2000</v>
      </c>
      <c r="L313" s="27">
        <v>0</v>
      </c>
      <c r="M313" s="27">
        <f t="shared" si="4"/>
        <v>1730</v>
      </c>
      <c r="N313" s="26">
        <v>1750</v>
      </c>
      <c r="O313" s="26">
        <v>2800</v>
      </c>
      <c r="P313" s="26">
        <v>1900</v>
      </c>
      <c r="Q313" s="26">
        <v>20</v>
      </c>
      <c r="R313" s="26">
        <v>2800</v>
      </c>
      <c r="S313" s="26">
        <v>120</v>
      </c>
      <c r="T313" s="26">
        <v>4120</v>
      </c>
      <c r="U313" s="26">
        <v>16</v>
      </c>
      <c r="V313" s="26">
        <v>40</v>
      </c>
      <c r="W313" s="26">
        <v>35</v>
      </c>
      <c r="X313" s="26">
        <v>35</v>
      </c>
      <c r="Y313" s="25" t="s">
        <v>73</v>
      </c>
      <c r="Z313" s="25" t="s">
        <v>755</v>
      </c>
      <c r="AA313" s="25" t="s">
        <v>73</v>
      </c>
      <c r="AB313" s="25" t="s">
        <v>79</v>
      </c>
      <c r="AC313" s="25" t="s">
        <v>73</v>
      </c>
      <c r="AD313" s="25" t="s">
        <v>794</v>
      </c>
      <c r="AE313" s="25"/>
      <c r="AF313" s="25"/>
      <c r="AG313" s="25" t="s">
        <v>75</v>
      </c>
      <c r="AH313" s="25" t="s">
        <v>80</v>
      </c>
      <c r="AI313" s="25"/>
      <c r="AJ313" s="25"/>
    </row>
    <row r="314" spans="1:36">
      <c r="A314" s="37">
        <v>312</v>
      </c>
      <c r="B314" s="52" t="s">
        <v>648</v>
      </c>
      <c r="C314" s="55">
        <v>5</v>
      </c>
      <c r="D314" s="55">
        <v>90000</v>
      </c>
      <c r="E314" s="55">
        <v>90000</v>
      </c>
      <c r="F314" s="55">
        <v>150000</v>
      </c>
      <c r="G314" s="55">
        <v>150000</v>
      </c>
      <c r="H314" s="60">
        <v>3500</v>
      </c>
      <c r="I314" s="60">
        <v>2100000</v>
      </c>
      <c r="J314" s="63">
        <v>2000</v>
      </c>
      <c r="K314" s="63">
        <v>2000</v>
      </c>
      <c r="L314" s="27">
        <v>0</v>
      </c>
      <c r="M314" s="27">
        <f t="shared" si="4"/>
        <v>1730</v>
      </c>
      <c r="N314" s="26">
        <v>1750</v>
      </c>
      <c r="O314" s="26">
        <v>2800</v>
      </c>
      <c r="P314" s="26">
        <v>1900</v>
      </c>
      <c r="Q314" s="26">
        <v>20</v>
      </c>
      <c r="R314" s="26">
        <v>2800</v>
      </c>
      <c r="S314" s="26">
        <v>120</v>
      </c>
      <c r="T314" s="26">
        <v>4152</v>
      </c>
      <c r="U314" s="26">
        <v>16</v>
      </c>
      <c r="V314" s="26">
        <v>40</v>
      </c>
      <c r="W314" s="26">
        <v>35</v>
      </c>
      <c r="X314" s="26">
        <v>35</v>
      </c>
      <c r="Y314" s="25" t="s">
        <v>73</v>
      </c>
      <c r="Z314" s="25" t="s">
        <v>755</v>
      </c>
      <c r="AA314" s="25" t="s">
        <v>73</v>
      </c>
      <c r="AB314" s="25" t="s">
        <v>79</v>
      </c>
      <c r="AC314" s="25" t="s">
        <v>73</v>
      </c>
      <c r="AD314" s="25" t="s">
        <v>794</v>
      </c>
      <c r="AE314" s="25"/>
      <c r="AF314" s="25"/>
      <c r="AG314" s="25" t="s">
        <v>75</v>
      </c>
      <c r="AH314" s="25" t="s">
        <v>80</v>
      </c>
      <c r="AI314" s="25"/>
      <c r="AJ314" s="25"/>
    </row>
    <row r="315" spans="1:36">
      <c r="A315" s="36">
        <v>313</v>
      </c>
      <c r="B315" s="51" t="s">
        <v>649</v>
      </c>
      <c r="C315" s="54">
        <v>5</v>
      </c>
      <c r="D315" s="54">
        <v>90000</v>
      </c>
      <c r="E315" s="54">
        <v>90000</v>
      </c>
      <c r="F315" s="54">
        <v>150000</v>
      </c>
      <c r="G315" s="54">
        <v>150000</v>
      </c>
      <c r="H315" s="59">
        <v>3500</v>
      </c>
      <c r="I315" s="59">
        <v>2100000</v>
      </c>
      <c r="J315" s="62">
        <v>2000</v>
      </c>
      <c r="K315" s="62">
        <v>2000</v>
      </c>
      <c r="L315" s="33">
        <v>0</v>
      </c>
      <c r="M315" s="33">
        <f t="shared" si="4"/>
        <v>1730</v>
      </c>
      <c r="N315" s="34">
        <v>1750</v>
      </c>
      <c r="O315" s="34">
        <v>2800</v>
      </c>
      <c r="P315" s="34">
        <v>1900</v>
      </c>
      <c r="Q315" s="34">
        <v>20</v>
      </c>
      <c r="R315" s="34">
        <v>2800</v>
      </c>
      <c r="S315" s="34">
        <v>120</v>
      </c>
      <c r="T315" s="34">
        <v>4188</v>
      </c>
      <c r="U315" s="34">
        <v>16</v>
      </c>
      <c r="V315" s="34">
        <v>40</v>
      </c>
      <c r="W315" s="34">
        <v>35</v>
      </c>
      <c r="X315" s="34">
        <v>35</v>
      </c>
      <c r="Y315" s="35" t="s">
        <v>73</v>
      </c>
      <c r="Z315" s="35" t="s">
        <v>755</v>
      </c>
      <c r="AA315" s="35" t="s">
        <v>73</v>
      </c>
      <c r="AB315" s="35" t="s">
        <v>79</v>
      </c>
      <c r="AC315" s="35" t="s">
        <v>73</v>
      </c>
      <c r="AD315" s="35" t="s">
        <v>794</v>
      </c>
      <c r="AE315" s="25"/>
      <c r="AF315" s="25"/>
      <c r="AG315" s="25" t="s">
        <v>75</v>
      </c>
      <c r="AH315" s="25" t="s">
        <v>80</v>
      </c>
      <c r="AI315" s="25"/>
      <c r="AJ315" s="25"/>
    </row>
    <row r="316" spans="1:36">
      <c r="A316" s="37">
        <v>314</v>
      </c>
      <c r="B316" s="52" t="s">
        <v>650</v>
      </c>
      <c r="C316" s="55">
        <v>5</v>
      </c>
      <c r="D316" s="55">
        <v>90000</v>
      </c>
      <c r="E316" s="55">
        <v>90000</v>
      </c>
      <c r="F316" s="55">
        <v>150000</v>
      </c>
      <c r="G316" s="55">
        <v>150000</v>
      </c>
      <c r="H316" s="60">
        <v>3500</v>
      </c>
      <c r="I316" s="60">
        <v>2100000</v>
      </c>
      <c r="J316" s="63">
        <v>2000</v>
      </c>
      <c r="K316" s="63">
        <v>2000</v>
      </c>
      <c r="L316" s="27">
        <v>0</v>
      </c>
      <c r="M316" s="27">
        <f t="shared" si="4"/>
        <v>1730</v>
      </c>
      <c r="N316" s="26">
        <v>1750</v>
      </c>
      <c r="O316" s="26">
        <v>2800</v>
      </c>
      <c r="P316" s="26">
        <v>1900</v>
      </c>
      <c r="Q316" s="26">
        <v>20</v>
      </c>
      <c r="R316" s="26">
        <v>2800</v>
      </c>
      <c r="S316" s="26">
        <v>120</v>
      </c>
      <c r="T316" s="26">
        <v>4228</v>
      </c>
      <c r="U316" s="26">
        <v>16</v>
      </c>
      <c r="V316" s="26">
        <v>35</v>
      </c>
      <c r="W316" s="26">
        <v>28</v>
      </c>
      <c r="X316" s="26">
        <v>28</v>
      </c>
      <c r="Y316" s="25" t="s">
        <v>73</v>
      </c>
      <c r="Z316" s="25" t="s">
        <v>755</v>
      </c>
      <c r="AA316" s="25" t="s">
        <v>73</v>
      </c>
      <c r="AB316" s="25" t="s">
        <v>79</v>
      </c>
      <c r="AC316" s="25" t="s">
        <v>73</v>
      </c>
      <c r="AD316" s="25" t="s">
        <v>794</v>
      </c>
      <c r="AE316" s="25"/>
      <c r="AF316" s="25"/>
      <c r="AG316" s="25" t="s">
        <v>75</v>
      </c>
      <c r="AH316" s="25" t="s">
        <v>80</v>
      </c>
      <c r="AI316" s="25"/>
      <c r="AJ316" s="25"/>
    </row>
    <row r="317" spans="1:36">
      <c r="A317" s="36">
        <v>315</v>
      </c>
      <c r="B317" s="52" t="s">
        <v>651</v>
      </c>
      <c r="C317" s="55">
        <v>5</v>
      </c>
      <c r="D317" s="55">
        <v>90000</v>
      </c>
      <c r="E317" s="55">
        <v>90000</v>
      </c>
      <c r="F317" s="55">
        <v>150000</v>
      </c>
      <c r="G317" s="55">
        <v>150000</v>
      </c>
      <c r="H317" s="60">
        <v>3500</v>
      </c>
      <c r="I317" s="60">
        <v>2100000</v>
      </c>
      <c r="J317" s="63">
        <v>2000</v>
      </c>
      <c r="K317" s="63">
        <v>2000</v>
      </c>
      <c r="L317" s="27">
        <v>0</v>
      </c>
      <c r="M317" s="27">
        <f t="shared" ref="M317:M380" si="5">N317-Q317</f>
        <v>1730</v>
      </c>
      <c r="N317" s="26">
        <v>1750</v>
      </c>
      <c r="O317" s="26">
        <v>2800</v>
      </c>
      <c r="P317" s="26">
        <v>1900</v>
      </c>
      <c r="Q317" s="26">
        <v>20</v>
      </c>
      <c r="R317" s="26">
        <v>2800</v>
      </c>
      <c r="S317" s="26">
        <v>120</v>
      </c>
      <c r="T317" s="26">
        <v>4272</v>
      </c>
      <c r="U317" s="26">
        <v>16</v>
      </c>
      <c r="V317" s="26">
        <v>35</v>
      </c>
      <c r="W317" s="26">
        <v>28</v>
      </c>
      <c r="X317" s="26">
        <v>28</v>
      </c>
      <c r="Y317" s="25" t="s">
        <v>73</v>
      </c>
      <c r="Z317" s="25" t="s">
        <v>755</v>
      </c>
      <c r="AA317" s="25" t="s">
        <v>73</v>
      </c>
      <c r="AB317" s="25" t="s">
        <v>79</v>
      </c>
      <c r="AC317" s="25" t="s">
        <v>73</v>
      </c>
      <c r="AD317" s="25" t="s">
        <v>794</v>
      </c>
      <c r="AE317" s="25"/>
      <c r="AF317" s="25"/>
      <c r="AG317" s="25" t="s">
        <v>75</v>
      </c>
      <c r="AH317" s="25" t="s">
        <v>80</v>
      </c>
      <c r="AI317" s="25"/>
      <c r="AJ317" s="25"/>
    </row>
    <row r="318" spans="1:36">
      <c r="A318" s="37">
        <v>316</v>
      </c>
      <c r="B318" s="52" t="s">
        <v>652</v>
      </c>
      <c r="C318" s="55">
        <v>5</v>
      </c>
      <c r="D318" s="55">
        <v>90000</v>
      </c>
      <c r="E318" s="55">
        <v>90000</v>
      </c>
      <c r="F318" s="55">
        <v>150000</v>
      </c>
      <c r="G318" s="55">
        <v>150000</v>
      </c>
      <c r="H318" s="59">
        <v>3500</v>
      </c>
      <c r="I318" s="59">
        <v>2100000</v>
      </c>
      <c r="J318" s="62">
        <v>2000</v>
      </c>
      <c r="K318" s="62">
        <v>2000</v>
      </c>
      <c r="L318" s="33">
        <v>0</v>
      </c>
      <c r="M318" s="33">
        <f t="shared" si="5"/>
        <v>1730</v>
      </c>
      <c r="N318" s="26">
        <v>1750</v>
      </c>
      <c r="O318" s="26">
        <v>2800</v>
      </c>
      <c r="P318" s="26">
        <v>1900</v>
      </c>
      <c r="Q318" s="26">
        <v>20</v>
      </c>
      <c r="R318" s="26">
        <v>2800</v>
      </c>
      <c r="S318" s="26">
        <v>120</v>
      </c>
      <c r="T318" s="26">
        <v>4320</v>
      </c>
      <c r="U318" s="26">
        <v>16</v>
      </c>
      <c r="V318" s="26">
        <v>35</v>
      </c>
      <c r="W318" s="26">
        <v>28</v>
      </c>
      <c r="X318" s="26">
        <v>28</v>
      </c>
      <c r="Y318" s="25" t="s">
        <v>73</v>
      </c>
      <c r="Z318" s="25" t="s">
        <v>755</v>
      </c>
      <c r="AA318" s="25" t="s">
        <v>73</v>
      </c>
      <c r="AB318" s="25" t="s">
        <v>79</v>
      </c>
      <c r="AC318" s="25" t="s">
        <v>73</v>
      </c>
      <c r="AD318" s="25" t="s">
        <v>794</v>
      </c>
      <c r="AE318" s="25"/>
      <c r="AF318" s="25"/>
      <c r="AG318" s="25" t="s">
        <v>75</v>
      </c>
      <c r="AH318" s="25" t="s">
        <v>80</v>
      </c>
      <c r="AI318" s="25"/>
      <c r="AJ318" s="25"/>
    </row>
    <row r="319" spans="1:36">
      <c r="A319" s="36">
        <v>317</v>
      </c>
      <c r="B319" s="51" t="s">
        <v>653</v>
      </c>
      <c r="C319" s="54">
        <v>5</v>
      </c>
      <c r="D319" s="54">
        <v>90000</v>
      </c>
      <c r="E319" s="54">
        <v>90000</v>
      </c>
      <c r="F319" s="54">
        <v>150000</v>
      </c>
      <c r="G319" s="54">
        <v>150000</v>
      </c>
      <c r="H319" s="60">
        <v>3500</v>
      </c>
      <c r="I319" s="60">
        <v>2100000</v>
      </c>
      <c r="J319" s="63">
        <v>2000</v>
      </c>
      <c r="K319" s="63">
        <v>2000</v>
      </c>
      <c r="L319" s="27">
        <v>0</v>
      </c>
      <c r="M319" s="27">
        <f t="shared" si="5"/>
        <v>1730</v>
      </c>
      <c r="N319" s="34">
        <v>1750</v>
      </c>
      <c r="O319" s="34">
        <v>2800</v>
      </c>
      <c r="P319" s="34">
        <v>1900</v>
      </c>
      <c r="Q319" s="34">
        <v>20</v>
      </c>
      <c r="R319" s="34">
        <v>2800</v>
      </c>
      <c r="S319" s="34">
        <v>120</v>
      </c>
      <c r="T319" s="34">
        <v>4372</v>
      </c>
      <c r="U319" s="34">
        <v>16</v>
      </c>
      <c r="V319" s="34">
        <v>35</v>
      </c>
      <c r="W319" s="34">
        <v>28</v>
      </c>
      <c r="X319" s="34">
        <v>28</v>
      </c>
      <c r="Y319" s="35" t="s">
        <v>73</v>
      </c>
      <c r="Z319" s="35" t="s">
        <v>755</v>
      </c>
      <c r="AA319" s="35" t="s">
        <v>73</v>
      </c>
      <c r="AB319" s="35" t="s">
        <v>79</v>
      </c>
      <c r="AC319" s="35" t="s">
        <v>73</v>
      </c>
      <c r="AD319" s="35" t="s">
        <v>794</v>
      </c>
      <c r="AE319" s="25"/>
      <c r="AF319" s="25"/>
      <c r="AG319" s="25" t="s">
        <v>75</v>
      </c>
      <c r="AH319" s="25" t="s">
        <v>80</v>
      </c>
      <c r="AI319" s="25"/>
      <c r="AJ319" s="25"/>
    </row>
    <row r="320" spans="1:36">
      <c r="A320" s="37">
        <v>318</v>
      </c>
      <c r="B320" s="52" t="s">
        <v>654</v>
      </c>
      <c r="C320" s="55">
        <v>5</v>
      </c>
      <c r="D320" s="55">
        <v>90000</v>
      </c>
      <c r="E320" s="55">
        <v>90000</v>
      </c>
      <c r="F320" s="55">
        <v>150000</v>
      </c>
      <c r="G320" s="55">
        <v>150000</v>
      </c>
      <c r="H320" s="60">
        <v>3500</v>
      </c>
      <c r="I320" s="60">
        <v>2100000</v>
      </c>
      <c r="J320" s="63">
        <v>2000</v>
      </c>
      <c r="K320" s="63">
        <v>2000</v>
      </c>
      <c r="L320" s="27">
        <v>0</v>
      </c>
      <c r="M320" s="27">
        <f t="shared" si="5"/>
        <v>1730</v>
      </c>
      <c r="N320" s="26">
        <v>1750</v>
      </c>
      <c r="O320" s="26">
        <v>2800</v>
      </c>
      <c r="P320" s="26">
        <v>1900</v>
      </c>
      <c r="Q320" s="26">
        <v>20</v>
      </c>
      <c r="R320" s="26">
        <v>2800</v>
      </c>
      <c r="S320" s="26">
        <v>120</v>
      </c>
      <c r="T320" s="26">
        <v>4427</v>
      </c>
      <c r="U320" s="26">
        <v>16</v>
      </c>
      <c r="V320" s="26">
        <v>35</v>
      </c>
      <c r="W320" s="26">
        <v>28</v>
      </c>
      <c r="X320" s="26">
        <v>28</v>
      </c>
      <c r="Y320" s="25" t="s">
        <v>73</v>
      </c>
      <c r="Z320" s="25" t="s">
        <v>755</v>
      </c>
      <c r="AA320" s="25" t="s">
        <v>73</v>
      </c>
      <c r="AB320" s="25" t="s">
        <v>79</v>
      </c>
      <c r="AC320" s="25" t="s">
        <v>73</v>
      </c>
      <c r="AD320" s="25" t="s">
        <v>794</v>
      </c>
      <c r="AE320" s="25"/>
      <c r="AF320" s="25"/>
      <c r="AG320" s="25" t="s">
        <v>75</v>
      </c>
      <c r="AH320" s="25" t="s">
        <v>80</v>
      </c>
      <c r="AI320" s="25"/>
      <c r="AJ320" s="25"/>
    </row>
    <row r="321" spans="1:36">
      <c r="A321" s="36">
        <v>319</v>
      </c>
      <c r="B321" s="52" t="s">
        <v>655</v>
      </c>
      <c r="C321" s="55">
        <v>5</v>
      </c>
      <c r="D321" s="55">
        <v>90000</v>
      </c>
      <c r="E321" s="55">
        <v>90000</v>
      </c>
      <c r="F321" s="55">
        <v>150000</v>
      </c>
      <c r="G321" s="55">
        <v>150000</v>
      </c>
      <c r="H321" s="59">
        <v>3500</v>
      </c>
      <c r="I321" s="59">
        <v>2100000</v>
      </c>
      <c r="J321" s="62">
        <v>2000</v>
      </c>
      <c r="K321" s="62">
        <v>2000</v>
      </c>
      <c r="L321" s="33">
        <v>0</v>
      </c>
      <c r="M321" s="33">
        <f t="shared" si="5"/>
        <v>1730</v>
      </c>
      <c r="N321" s="26">
        <v>1750</v>
      </c>
      <c r="O321" s="26">
        <v>2800</v>
      </c>
      <c r="P321" s="26">
        <v>1900</v>
      </c>
      <c r="Q321" s="26">
        <v>20</v>
      </c>
      <c r="R321" s="26">
        <v>2800</v>
      </c>
      <c r="S321" s="26">
        <v>120</v>
      </c>
      <c r="T321" s="26">
        <v>4486</v>
      </c>
      <c r="U321" s="26">
        <v>16</v>
      </c>
      <c r="V321" s="26">
        <v>35</v>
      </c>
      <c r="W321" s="26">
        <v>28</v>
      </c>
      <c r="X321" s="26">
        <v>28</v>
      </c>
      <c r="Y321" s="25" t="s">
        <v>73</v>
      </c>
      <c r="Z321" s="25" t="s">
        <v>755</v>
      </c>
      <c r="AA321" s="25" t="s">
        <v>73</v>
      </c>
      <c r="AB321" s="25" t="s">
        <v>79</v>
      </c>
      <c r="AC321" s="25" t="s">
        <v>73</v>
      </c>
      <c r="AD321" s="25" t="s">
        <v>794</v>
      </c>
      <c r="AE321" s="25"/>
      <c r="AF321" s="25"/>
      <c r="AG321" s="25" t="s">
        <v>75</v>
      </c>
      <c r="AH321" s="25" t="s">
        <v>80</v>
      </c>
      <c r="AI321" s="25"/>
      <c r="AJ321" s="25"/>
    </row>
    <row r="322" spans="1:36">
      <c r="A322" s="37">
        <v>320</v>
      </c>
      <c r="B322" s="52" t="s">
        <v>656</v>
      </c>
      <c r="C322" s="55">
        <v>5</v>
      </c>
      <c r="D322" s="55">
        <v>90000</v>
      </c>
      <c r="E322" s="55">
        <v>90000</v>
      </c>
      <c r="F322" s="55">
        <v>150000</v>
      </c>
      <c r="G322" s="55">
        <v>150000</v>
      </c>
      <c r="H322" s="60">
        <v>3500</v>
      </c>
      <c r="I322" s="60">
        <v>2100000</v>
      </c>
      <c r="J322" s="63">
        <v>2000</v>
      </c>
      <c r="K322" s="63">
        <v>2000</v>
      </c>
      <c r="L322" s="27">
        <v>0</v>
      </c>
      <c r="M322" s="27">
        <f t="shared" si="5"/>
        <v>1730</v>
      </c>
      <c r="N322" s="26">
        <v>1750</v>
      </c>
      <c r="O322" s="26">
        <v>2800</v>
      </c>
      <c r="P322" s="26">
        <v>1900</v>
      </c>
      <c r="Q322" s="26">
        <v>20</v>
      </c>
      <c r="R322" s="26">
        <v>2800</v>
      </c>
      <c r="S322" s="26">
        <v>120</v>
      </c>
      <c r="T322" s="26">
        <v>4550</v>
      </c>
      <c r="U322" s="26">
        <v>16</v>
      </c>
      <c r="V322" s="26">
        <v>35</v>
      </c>
      <c r="W322" s="26">
        <v>28</v>
      </c>
      <c r="X322" s="26">
        <v>28</v>
      </c>
      <c r="Y322" s="25" t="s">
        <v>73</v>
      </c>
      <c r="Z322" s="25" t="s">
        <v>755</v>
      </c>
      <c r="AA322" s="25" t="s">
        <v>73</v>
      </c>
      <c r="AB322" s="25" t="s">
        <v>79</v>
      </c>
      <c r="AC322" s="25" t="s">
        <v>73</v>
      </c>
      <c r="AD322" s="25" t="s">
        <v>794</v>
      </c>
      <c r="AE322" s="25"/>
      <c r="AF322" s="25"/>
      <c r="AG322" s="25" t="s">
        <v>75</v>
      </c>
      <c r="AH322" s="25" t="s">
        <v>80</v>
      </c>
      <c r="AI322" s="25"/>
      <c r="AJ322" s="25"/>
    </row>
    <row r="323" spans="1:36">
      <c r="A323" s="36">
        <v>321</v>
      </c>
      <c r="B323" s="51" t="s">
        <v>657</v>
      </c>
      <c r="C323" s="54">
        <v>5</v>
      </c>
      <c r="D323" s="54">
        <v>90000</v>
      </c>
      <c r="E323" s="54">
        <v>90000</v>
      </c>
      <c r="F323" s="54">
        <v>150000</v>
      </c>
      <c r="G323" s="54">
        <v>150000</v>
      </c>
      <c r="H323" s="60">
        <v>3500</v>
      </c>
      <c r="I323" s="60">
        <v>2100000</v>
      </c>
      <c r="J323" s="63">
        <v>2000</v>
      </c>
      <c r="K323" s="63">
        <v>2000</v>
      </c>
      <c r="L323" s="27">
        <v>0</v>
      </c>
      <c r="M323" s="27">
        <f t="shared" si="5"/>
        <v>1730</v>
      </c>
      <c r="N323" s="34">
        <v>1750</v>
      </c>
      <c r="O323" s="34">
        <v>2800</v>
      </c>
      <c r="P323" s="34">
        <v>1900</v>
      </c>
      <c r="Q323" s="34">
        <v>20</v>
      </c>
      <c r="R323" s="34">
        <v>2800</v>
      </c>
      <c r="S323" s="34">
        <v>120</v>
      </c>
      <c r="T323" s="34">
        <v>4616</v>
      </c>
      <c r="U323" s="34">
        <v>16</v>
      </c>
      <c r="V323" s="34">
        <v>35</v>
      </c>
      <c r="W323" s="34">
        <v>28</v>
      </c>
      <c r="X323" s="34">
        <v>28</v>
      </c>
      <c r="Y323" s="35" t="s">
        <v>73</v>
      </c>
      <c r="Z323" s="35" t="s">
        <v>755</v>
      </c>
      <c r="AA323" s="35" t="s">
        <v>73</v>
      </c>
      <c r="AB323" s="35" t="s">
        <v>79</v>
      </c>
      <c r="AC323" s="35" t="s">
        <v>73</v>
      </c>
      <c r="AD323" s="35" t="s">
        <v>794</v>
      </c>
      <c r="AE323" s="25"/>
      <c r="AF323" s="25"/>
      <c r="AG323" s="25" t="s">
        <v>75</v>
      </c>
      <c r="AH323" s="25" t="s">
        <v>80</v>
      </c>
      <c r="AI323" s="25"/>
      <c r="AJ323" s="25"/>
    </row>
    <row r="324" spans="1:36">
      <c r="A324" s="37">
        <v>322</v>
      </c>
      <c r="B324" s="52" t="s">
        <v>658</v>
      </c>
      <c r="C324" s="55">
        <v>5</v>
      </c>
      <c r="D324" s="55">
        <v>90000</v>
      </c>
      <c r="E324" s="55">
        <v>90000</v>
      </c>
      <c r="F324" s="55">
        <v>150000</v>
      </c>
      <c r="G324" s="55">
        <v>150000</v>
      </c>
      <c r="H324" s="59">
        <v>3500</v>
      </c>
      <c r="I324" s="59">
        <v>2100000</v>
      </c>
      <c r="J324" s="62">
        <v>2000</v>
      </c>
      <c r="K324" s="62">
        <v>2000</v>
      </c>
      <c r="L324" s="33">
        <v>0</v>
      </c>
      <c r="M324" s="33">
        <f t="shared" si="5"/>
        <v>1730</v>
      </c>
      <c r="N324" s="26">
        <v>1750</v>
      </c>
      <c r="O324" s="26">
        <v>2800</v>
      </c>
      <c r="P324" s="26">
        <v>1900</v>
      </c>
      <c r="Q324" s="26">
        <v>20</v>
      </c>
      <c r="R324" s="26">
        <v>2800</v>
      </c>
      <c r="S324" s="26">
        <v>120</v>
      </c>
      <c r="T324" s="26">
        <v>4687</v>
      </c>
      <c r="U324" s="26">
        <v>16</v>
      </c>
      <c r="V324" s="26">
        <v>35</v>
      </c>
      <c r="W324" s="26">
        <v>28</v>
      </c>
      <c r="X324" s="26">
        <v>28</v>
      </c>
      <c r="Y324" s="25" t="s">
        <v>73</v>
      </c>
      <c r="Z324" s="25" t="s">
        <v>755</v>
      </c>
      <c r="AA324" s="25" t="s">
        <v>73</v>
      </c>
      <c r="AB324" s="25" t="s">
        <v>79</v>
      </c>
      <c r="AC324" s="25" t="s">
        <v>73</v>
      </c>
      <c r="AD324" s="25" t="s">
        <v>794</v>
      </c>
      <c r="AE324" s="25"/>
      <c r="AF324" s="25"/>
      <c r="AG324" s="25" t="s">
        <v>75</v>
      </c>
      <c r="AH324" s="25" t="s">
        <v>80</v>
      </c>
      <c r="AI324" s="25"/>
      <c r="AJ324" s="25"/>
    </row>
    <row r="325" spans="1:36">
      <c r="A325" s="36">
        <v>323</v>
      </c>
      <c r="B325" s="52" t="s">
        <v>659</v>
      </c>
      <c r="C325" s="55">
        <v>5</v>
      </c>
      <c r="D325" s="55">
        <v>90000</v>
      </c>
      <c r="E325" s="55">
        <v>90000</v>
      </c>
      <c r="F325" s="55">
        <v>150000</v>
      </c>
      <c r="G325" s="55">
        <v>150000</v>
      </c>
      <c r="H325" s="60">
        <v>3500</v>
      </c>
      <c r="I325" s="60">
        <v>2100000</v>
      </c>
      <c r="J325" s="63">
        <v>2000</v>
      </c>
      <c r="K325" s="63">
        <v>2000</v>
      </c>
      <c r="L325" s="27">
        <v>0</v>
      </c>
      <c r="M325" s="27">
        <f t="shared" si="5"/>
        <v>1730</v>
      </c>
      <c r="N325" s="26">
        <v>1750</v>
      </c>
      <c r="O325" s="26">
        <v>2800</v>
      </c>
      <c r="P325" s="26">
        <v>1900</v>
      </c>
      <c r="Q325" s="26">
        <v>20</v>
      </c>
      <c r="R325" s="26">
        <v>2800</v>
      </c>
      <c r="S325" s="26">
        <v>120</v>
      </c>
      <c r="T325" s="26">
        <v>4762</v>
      </c>
      <c r="U325" s="26">
        <v>16</v>
      </c>
      <c r="V325" s="26">
        <v>35</v>
      </c>
      <c r="W325" s="26">
        <v>28</v>
      </c>
      <c r="X325" s="26">
        <v>28</v>
      </c>
      <c r="Y325" s="25" t="s">
        <v>73</v>
      </c>
      <c r="Z325" s="25" t="s">
        <v>755</v>
      </c>
      <c r="AA325" s="25" t="s">
        <v>73</v>
      </c>
      <c r="AB325" s="25" t="s">
        <v>79</v>
      </c>
      <c r="AC325" s="25" t="s">
        <v>73</v>
      </c>
      <c r="AD325" s="25" t="s">
        <v>794</v>
      </c>
      <c r="AE325" s="25"/>
      <c r="AF325" s="25"/>
      <c r="AG325" s="25" t="s">
        <v>75</v>
      </c>
      <c r="AH325" s="25" t="s">
        <v>80</v>
      </c>
      <c r="AI325" s="25"/>
      <c r="AJ325" s="25"/>
    </row>
    <row r="326" spans="1:36">
      <c r="A326" s="37">
        <v>324</v>
      </c>
      <c r="B326" s="52" t="s">
        <v>660</v>
      </c>
      <c r="C326" s="55">
        <v>5</v>
      </c>
      <c r="D326" s="55">
        <v>90000</v>
      </c>
      <c r="E326" s="55">
        <v>90000</v>
      </c>
      <c r="F326" s="55">
        <v>150000</v>
      </c>
      <c r="G326" s="55">
        <v>150000</v>
      </c>
      <c r="H326" s="60">
        <v>3500</v>
      </c>
      <c r="I326" s="60">
        <v>2100000</v>
      </c>
      <c r="J326" s="63">
        <v>2000</v>
      </c>
      <c r="K326" s="63">
        <v>2000</v>
      </c>
      <c r="L326" s="27">
        <v>0</v>
      </c>
      <c r="M326" s="27">
        <f t="shared" si="5"/>
        <v>1730</v>
      </c>
      <c r="N326" s="26">
        <v>1750</v>
      </c>
      <c r="O326" s="26">
        <v>2800</v>
      </c>
      <c r="P326" s="26">
        <v>1900</v>
      </c>
      <c r="Q326" s="26">
        <v>20</v>
      </c>
      <c r="R326" s="26">
        <v>2800</v>
      </c>
      <c r="S326" s="26">
        <v>120</v>
      </c>
      <c r="T326" s="26">
        <v>4841</v>
      </c>
      <c r="U326" s="26">
        <v>16</v>
      </c>
      <c r="V326" s="26">
        <v>35</v>
      </c>
      <c r="W326" s="26">
        <v>28</v>
      </c>
      <c r="X326" s="26">
        <v>28</v>
      </c>
      <c r="Y326" s="25" t="s">
        <v>73</v>
      </c>
      <c r="Z326" s="25" t="s">
        <v>755</v>
      </c>
      <c r="AA326" s="25" t="s">
        <v>73</v>
      </c>
      <c r="AB326" s="25" t="s">
        <v>79</v>
      </c>
      <c r="AC326" s="25" t="s">
        <v>73</v>
      </c>
      <c r="AD326" s="25" t="s">
        <v>794</v>
      </c>
      <c r="AE326" s="25"/>
      <c r="AF326" s="25"/>
      <c r="AG326" s="25" t="s">
        <v>75</v>
      </c>
      <c r="AH326" s="25" t="s">
        <v>80</v>
      </c>
      <c r="AI326" s="25"/>
      <c r="AJ326" s="25"/>
    </row>
    <row r="327" spans="1:36">
      <c r="A327" s="36">
        <v>325</v>
      </c>
      <c r="B327" s="51" t="s">
        <v>661</v>
      </c>
      <c r="C327" s="54">
        <v>5</v>
      </c>
      <c r="D327" s="54">
        <v>90000</v>
      </c>
      <c r="E327" s="54">
        <v>90000</v>
      </c>
      <c r="F327" s="54">
        <v>150000</v>
      </c>
      <c r="G327" s="54">
        <v>150000</v>
      </c>
      <c r="H327" s="59">
        <v>3500</v>
      </c>
      <c r="I327" s="59">
        <v>2100000</v>
      </c>
      <c r="J327" s="62">
        <v>2000</v>
      </c>
      <c r="K327" s="62">
        <v>2000</v>
      </c>
      <c r="L327" s="33">
        <v>0</v>
      </c>
      <c r="M327" s="33">
        <f t="shared" si="5"/>
        <v>1730</v>
      </c>
      <c r="N327" s="34">
        <v>1750</v>
      </c>
      <c r="O327" s="34">
        <v>2800</v>
      </c>
      <c r="P327" s="34">
        <v>1900</v>
      </c>
      <c r="Q327" s="34">
        <v>20</v>
      </c>
      <c r="R327" s="34">
        <v>2800</v>
      </c>
      <c r="S327" s="34">
        <v>120</v>
      </c>
      <c r="T327" s="34">
        <v>4923</v>
      </c>
      <c r="U327" s="34">
        <v>16</v>
      </c>
      <c r="V327" s="34">
        <v>42</v>
      </c>
      <c r="W327" s="34">
        <v>35</v>
      </c>
      <c r="X327" s="34">
        <v>35</v>
      </c>
      <c r="Y327" s="35" t="s">
        <v>73</v>
      </c>
      <c r="Z327" s="35" t="s">
        <v>755</v>
      </c>
      <c r="AA327" s="35" t="s">
        <v>73</v>
      </c>
      <c r="AB327" s="35" t="s">
        <v>79</v>
      </c>
      <c r="AC327" s="35" t="s">
        <v>73</v>
      </c>
      <c r="AD327" s="35" t="s">
        <v>794</v>
      </c>
      <c r="AE327" s="25"/>
      <c r="AF327" s="25"/>
      <c r="AG327" s="25" t="s">
        <v>75</v>
      </c>
      <c r="AH327" s="25" t="s">
        <v>80</v>
      </c>
      <c r="AI327" s="25"/>
      <c r="AJ327" s="25"/>
    </row>
    <row r="328" spans="1:36">
      <c r="A328" s="37">
        <v>326</v>
      </c>
      <c r="B328" s="52" t="s">
        <v>662</v>
      </c>
      <c r="C328" s="55">
        <v>6</v>
      </c>
      <c r="D328" s="55">
        <v>87398.373983739832</v>
      </c>
      <c r="E328" s="55">
        <v>87398.373983739832</v>
      </c>
      <c r="F328" s="55">
        <v>150000</v>
      </c>
      <c r="G328" s="55">
        <v>150000</v>
      </c>
      <c r="H328" s="60">
        <v>3500</v>
      </c>
      <c r="I328" s="60">
        <v>2100000</v>
      </c>
      <c r="J328" s="63">
        <v>2000</v>
      </c>
      <c r="K328" s="63">
        <v>2000</v>
      </c>
      <c r="L328" s="27">
        <v>0</v>
      </c>
      <c r="M328" s="27">
        <f t="shared" si="5"/>
        <v>1730</v>
      </c>
      <c r="N328" s="26">
        <v>1750</v>
      </c>
      <c r="O328" s="26">
        <v>2800</v>
      </c>
      <c r="P328" s="26">
        <v>1900</v>
      </c>
      <c r="Q328" s="26">
        <v>20</v>
      </c>
      <c r="R328" s="26">
        <v>2800</v>
      </c>
      <c r="S328" s="26">
        <v>120</v>
      </c>
      <c r="T328" s="26">
        <v>5010</v>
      </c>
      <c r="U328" s="26">
        <v>16</v>
      </c>
      <c r="V328" s="26">
        <v>42</v>
      </c>
      <c r="W328" s="26">
        <v>35</v>
      </c>
      <c r="X328" s="26">
        <v>35</v>
      </c>
      <c r="Y328" s="25" t="s">
        <v>73</v>
      </c>
      <c r="Z328" s="25" t="s">
        <v>755</v>
      </c>
      <c r="AA328" s="25" t="s">
        <v>73</v>
      </c>
      <c r="AB328" s="25" t="s">
        <v>79</v>
      </c>
      <c r="AC328" s="25" t="s">
        <v>73</v>
      </c>
      <c r="AD328" s="25" t="s">
        <v>794</v>
      </c>
      <c r="AE328" s="25"/>
      <c r="AF328" s="25"/>
      <c r="AG328" s="25" t="s">
        <v>75</v>
      </c>
      <c r="AH328" s="25" t="s">
        <v>80</v>
      </c>
      <c r="AI328" s="25"/>
      <c r="AJ328" s="25"/>
    </row>
    <row r="329" spans="1:36">
      <c r="A329" s="36">
        <v>327</v>
      </c>
      <c r="B329" s="52" t="s">
        <v>663</v>
      </c>
      <c r="C329" s="55">
        <v>6</v>
      </c>
      <c r="D329" s="55">
        <v>84796.747967479678</v>
      </c>
      <c r="E329" s="55">
        <v>84796.747967479678</v>
      </c>
      <c r="F329" s="55">
        <v>150000</v>
      </c>
      <c r="G329" s="55">
        <v>150000</v>
      </c>
      <c r="H329" s="60">
        <v>3500</v>
      </c>
      <c r="I329" s="60">
        <v>2100000</v>
      </c>
      <c r="J329" s="63">
        <v>2000</v>
      </c>
      <c r="K329" s="63">
        <v>2000</v>
      </c>
      <c r="L329" s="27">
        <v>0</v>
      </c>
      <c r="M329" s="27">
        <f t="shared" si="5"/>
        <v>1730</v>
      </c>
      <c r="N329" s="26">
        <v>1750</v>
      </c>
      <c r="O329" s="26">
        <v>2800</v>
      </c>
      <c r="P329" s="26">
        <v>1900</v>
      </c>
      <c r="Q329" s="26">
        <v>20</v>
      </c>
      <c r="R329" s="26">
        <v>2800</v>
      </c>
      <c r="S329" s="26">
        <v>120</v>
      </c>
      <c r="T329" s="26">
        <v>5100</v>
      </c>
      <c r="U329" s="26">
        <v>16</v>
      </c>
      <c r="V329" s="26">
        <v>42</v>
      </c>
      <c r="W329" s="26">
        <v>35</v>
      </c>
      <c r="X329" s="26">
        <v>35</v>
      </c>
      <c r="Y329" s="25" t="s">
        <v>73</v>
      </c>
      <c r="Z329" s="25" t="s">
        <v>755</v>
      </c>
      <c r="AA329" s="25" t="s">
        <v>73</v>
      </c>
      <c r="AB329" s="25" t="s">
        <v>79</v>
      </c>
      <c r="AC329" s="25" t="s">
        <v>73</v>
      </c>
      <c r="AD329" s="25" t="s">
        <v>794</v>
      </c>
      <c r="AE329" s="25"/>
      <c r="AF329" s="25"/>
      <c r="AG329" s="25" t="s">
        <v>75</v>
      </c>
      <c r="AH329" s="25" t="s">
        <v>80</v>
      </c>
      <c r="AI329" s="25"/>
      <c r="AJ329" s="25"/>
    </row>
    <row r="330" spans="1:36">
      <c r="A330" s="37">
        <v>328</v>
      </c>
      <c r="B330" s="52" t="s">
        <v>664</v>
      </c>
      <c r="C330" s="55">
        <v>6</v>
      </c>
      <c r="D330" s="55">
        <v>82195.121951219509</v>
      </c>
      <c r="E330" s="55">
        <v>82195.121951219509</v>
      </c>
      <c r="F330" s="55">
        <v>150000</v>
      </c>
      <c r="G330" s="55">
        <v>150000</v>
      </c>
      <c r="H330" s="59">
        <v>3500</v>
      </c>
      <c r="I330" s="59">
        <v>2100000</v>
      </c>
      <c r="J330" s="62">
        <v>2000</v>
      </c>
      <c r="K330" s="62">
        <v>2000</v>
      </c>
      <c r="L330" s="33">
        <v>0</v>
      </c>
      <c r="M330" s="33">
        <f t="shared" si="5"/>
        <v>1730</v>
      </c>
      <c r="N330" s="26">
        <v>1750</v>
      </c>
      <c r="O330" s="26">
        <v>2800</v>
      </c>
      <c r="P330" s="26">
        <v>1900</v>
      </c>
      <c r="Q330" s="26">
        <v>20</v>
      </c>
      <c r="R330" s="26">
        <v>2800</v>
      </c>
      <c r="S330" s="26">
        <v>120</v>
      </c>
      <c r="T330" s="26">
        <v>5194</v>
      </c>
      <c r="U330" s="26">
        <v>16</v>
      </c>
      <c r="V330" s="26">
        <v>42</v>
      </c>
      <c r="W330" s="26">
        <v>35</v>
      </c>
      <c r="X330" s="26">
        <v>35</v>
      </c>
      <c r="Y330" s="25" t="s">
        <v>73</v>
      </c>
      <c r="Z330" s="25" t="s">
        <v>755</v>
      </c>
      <c r="AA330" s="25" t="s">
        <v>73</v>
      </c>
      <c r="AB330" s="25" t="s">
        <v>79</v>
      </c>
      <c r="AC330" s="25" t="s">
        <v>73</v>
      </c>
      <c r="AD330" s="25" t="s">
        <v>794</v>
      </c>
      <c r="AE330" s="25"/>
      <c r="AF330" s="25"/>
      <c r="AG330" s="25" t="s">
        <v>75</v>
      </c>
      <c r="AH330" s="25" t="s">
        <v>80</v>
      </c>
      <c r="AI330" s="25"/>
      <c r="AJ330" s="25"/>
    </row>
    <row r="331" spans="1:36">
      <c r="A331" s="36">
        <v>329</v>
      </c>
      <c r="B331" s="51" t="s">
        <v>665</v>
      </c>
      <c r="C331" s="54">
        <v>6</v>
      </c>
      <c r="D331" s="54">
        <v>79593.495934959356</v>
      </c>
      <c r="E331" s="54">
        <v>79593.495934959356</v>
      </c>
      <c r="F331" s="54">
        <v>150000</v>
      </c>
      <c r="G331" s="54">
        <v>150000</v>
      </c>
      <c r="H331" s="60">
        <v>3500</v>
      </c>
      <c r="I331" s="60">
        <v>2100000</v>
      </c>
      <c r="J331" s="63">
        <v>2000</v>
      </c>
      <c r="K331" s="63">
        <v>2000</v>
      </c>
      <c r="L331" s="27">
        <v>0</v>
      </c>
      <c r="M331" s="27">
        <f t="shared" si="5"/>
        <v>1730</v>
      </c>
      <c r="N331" s="34">
        <v>1750</v>
      </c>
      <c r="O331" s="34">
        <v>2800</v>
      </c>
      <c r="P331" s="34">
        <v>1900</v>
      </c>
      <c r="Q331" s="34">
        <v>20</v>
      </c>
      <c r="R331" s="34">
        <v>2800</v>
      </c>
      <c r="S331" s="34">
        <v>120</v>
      </c>
      <c r="T331" s="34">
        <v>5292</v>
      </c>
      <c r="U331" s="34">
        <v>16</v>
      </c>
      <c r="V331" s="34">
        <v>42</v>
      </c>
      <c r="W331" s="34">
        <v>35</v>
      </c>
      <c r="X331" s="34">
        <v>35</v>
      </c>
      <c r="Y331" s="35" t="s">
        <v>73</v>
      </c>
      <c r="Z331" s="35" t="s">
        <v>755</v>
      </c>
      <c r="AA331" s="35" t="s">
        <v>73</v>
      </c>
      <c r="AB331" s="35" t="s">
        <v>79</v>
      </c>
      <c r="AC331" s="35" t="s">
        <v>73</v>
      </c>
      <c r="AD331" s="35" t="s">
        <v>794</v>
      </c>
      <c r="AE331" s="25"/>
      <c r="AF331" s="25"/>
      <c r="AG331" s="25" t="s">
        <v>75</v>
      </c>
      <c r="AH331" s="25" t="s">
        <v>80</v>
      </c>
      <c r="AI331" s="25"/>
      <c r="AJ331" s="25"/>
    </row>
    <row r="332" spans="1:36">
      <c r="A332" s="37">
        <v>330</v>
      </c>
      <c r="B332" s="52" t="s">
        <v>666</v>
      </c>
      <c r="C332" s="55">
        <v>6</v>
      </c>
      <c r="D332" s="55">
        <v>76991.869918699187</v>
      </c>
      <c r="E332" s="55">
        <v>76991.869918699187</v>
      </c>
      <c r="F332" s="55">
        <v>150000</v>
      </c>
      <c r="G332" s="55">
        <v>150000</v>
      </c>
      <c r="H332" s="60">
        <v>3500</v>
      </c>
      <c r="I332" s="60">
        <v>2100000</v>
      </c>
      <c r="J332" s="63">
        <v>2000</v>
      </c>
      <c r="K332" s="63">
        <v>2000</v>
      </c>
      <c r="L332" s="27">
        <v>0</v>
      </c>
      <c r="M332" s="27">
        <f t="shared" si="5"/>
        <v>1730</v>
      </c>
      <c r="N332" s="26">
        <v>1750</v>
      </c>
      <c r="O332" s="26">
        <v>2800</v>
      </c>
      <c r="P332" s="26">
        <v>1900</v>
      </c>
      <c r="Q332" s="26">
        <v>20</v>
      </c>
      <c r="R332" s="26">
        <v>2800</v>
      </c>
      <c r="S332" s="26">
        <v>120</v>
      </c>
      <c r="T332" s="26">
        <v>5393</v>
      </c>
      <c r="U332" s="26">
        <v>16</v>
      </c>
      <c r="V332" s="26">
        <v>42</v>
      </c>
      <c r="W332" s="26">
        <v>35</v>
      </c>
      <c r="X332" s="26">
        <v>35</v>
      </c>
      <c r="Y332" s="25" t="s">
        <v>73</v>
      </c>
      <c r="Z332" s="25" t="s">
        <v>755</v>
      </c>
      <c r="AA332" s="25" t="s">
        <v>73</v>
      </c>
      <c r="AB332" s="25" t="s">
        <v>79</v>
      </c>
      <c r="AC332" s="25" t="s">
        <v>73</v>
      </c>
      <c r="AD332" s="25" t="s">
        <v>794</v>
      </c>
      <c r="AE332" s="25"/>
      <c r="AF332" s="25"/>
      <c r="AG332" s="25" t="s">
        <v>75</v>
      </c>
      <c r="AH332" s="25" t="s">
        <v>80</v>
      </c>
      <c r="AI332" s="25"/>
      <c r="AJ332" s="25"/>
    </row>
    <row r="333" spans="1:36">
      <c r="A333" s="36">
        <v>331</v>
      </c>
      <c r="B333" s="52" t="s">
        <v>667</v>
      </c>
      <c r="C333" s="55">
        <v>6</v>
      </c>
      <c r="D333" s="55">
        <v>74390.243902439019</v>
      </c>
      <c r="E333" s="55">
        <v>74390.243902439019</v>
      </c>
      <c r="F333" s="55">
        <v>150000</v>
      </c>
      <c r="G333" s="55">
        <v>150000</v>
      </c>
      <c r="H333" s="59">
        <v>3500</v>
      </c>
      <c r="I333" s="59">
        <v>2100000</v>
      </c>
      <c r="J333" s="62">
        <v>2000</v>
      </c>
      <c r="K333" s="62">
        <v>2000</v>
      </c>
      <c r="L333" s="33">
        <v>0</v>
      </c>
      <c r="M333" s="33">
        <f t="shared" si="5"/>
        <v>1730</v>
      </c>
      <c r="N333" s="26">
        <v>1750</v>
      </c>
      <c r="O333" s="26">
        <v>2800</v>
      </c>
      <c r="P333" s="26">
        <v>1900</v>
      </c>
      <c r="Q333" s="26">
        <v>20</v>
      </c>
      <c r="R333" s="26">
        <v>2800</v>
      </c>
      <c r="S333" s="26">
        <v>120</v>
      </c>
      <c r="T333" s="26">
        <v>5499</v>
      </c>
      <c r="U333" s="26">
        <v>16</v>
      </c>
      <c r="V333" s="26">
        <v>42</v>
      </c>
      <c r="W333" s="26">
        <v>35</v>
      </c>
      <c r="X333" s="26">
        <v>35</v>
      </c>
      <c r="Y333" s="25" t="s">
        <v>73</v>
      </c>
      <c r="Z333" s="25" t="s">
        <v>755</v>
      </c>
      <c r="AA333" s="25" t="s">
        <v>73</v>
      </c>
      <c r="AB333" s="25" t="s">
        <v>79</v>
      </c>
      <c r="AC333" s="25" t="s">
        <v>73</v>
      </c>
      <c r="AD333" s="25" t="s">
        <v>794</v>
      </c>
      <c r="AE333" s="25"/>
      <c r="AF333" s="25"/>
      <c r="AG333" s="25" t="s">
        <v>75</v>
      </c>
      <c r="AH333" s="25" t="s">
        <v>80</v>
      </c>
      <c r="AI333" s="25"/>
      <c r="AJ333" s="25"/>
    </row>
    <row r="334" spans="1:36">
      <c r="A334" s="37">
        <v>332</v>
      </c>
      <c r="B334" s="52" t="s">
        <v>668</v>
      </c>
      <c r="C334" s="55">
        <v>6</v>
      </c>
      <c r="D334" s="55">
        <v>71788.617886178865</v>
      </c>
      <c r="E334" s="55">
        <v>71788.617886178865</v>
      </c>
      <c r="F334" s="55">
        <v>150000</v>
      </c>
      <c r="G334" s="55">
        <v>150000</v>
      </c>
      <c r="H334" s="60">
        <v>3500</v>
      </c>
      <c r="I334" s="60">
        <v>2100000</v>
      </c>
      <c r="J334" s="63">
        <v>2000</v>
      </c>
      <c r="K334" s="63">
        <v>2000</v>
      </c>
      <c r="L334" s="27">
        <v>0</v>
      </c>
      <c r="M334" s="27">
        <f t="shared" si="5"/>
        <v>1730</v>
      </c>
      <c r="N334" s="26">
        <v>1750</v>
      </c>
      <c r="O334" s="26">
        <v>2800</v>
      </c>
      <c r="P334" s="26">
        <v>1900</v>
      </c>
      <c r="Q334" s="26">
        <v>20</v>
      </c>
      <c r="R334" s="26">
        <v>2800</v>
      </c>
      <c r="S334" s="26">
        <v>120</v>
      </c>
      <c r="T334" s="26">
        <v>5608</v>
      </c>
      <c r="U334" s="26">
        <v>16</v>
      </c>
      <c r="V334" s="26">
        <v>42</v>
      </c>
      <c r="W334" s="26">
        <v>35</v>
      </c>
      <c r="X334" s="26">
        <v>35</v>
      </c>
      <c r="Y334" s="25" t="s">
        <v>73</v>
      </c>
      <c r="Z334" s="25" t="s">
        <v>755</v>
      </c>
      <c r="AA334" s="25" t="s">
        <v>73</v>
      </c>
      <c r="AB334" s="25" t="s">
        <v>79</v>
      </c>
      <c r="AC334" s="25" t="s">
        <v>73</v>
      </c>
      <c r="AD334" s="25" t="s">
        <v>794</v>
      </c>
      <c r="AE334" s="25"/>
      <c r="AF334" s="25"/>
      <c r="AG334" s="25" t="s">
        <v>75</v>
      </c>
      <c r="AH334" s="25" t="s">
        <v>80</v>
      </c>
      <c r="AI334" s="25"/>
      <c r="AJ334" s="25"/>
    </row>
    <row r="335" spans="1:36">
      <c r="A335" s="36">
        <v>333</v>
      </c>
      <c r="B335" s="51" t="s">
        <v>669</v>
      </c>
      <c r="C335" s="54">
        <v>6</v>
      </c>
      <c r="D335" s="54">
        <v>69186.991869918696</v>
      </c>
      <c r="E335" s="54">
        <v>69186.991869918696</v>
      </c>
      <c r="F335" s="54">
        <v>150000</v>
      </c>
      <c r="G335" s="54">
        <v>150000</v>
      </c>
      <c r="H335" s="60">
        <v>3500</v>
      </c>
      <c r="I335" s="60">
        <v>2100000</v>
      </c>
      <c r="J335" s="63">
        <v>2000</v>
      </c>
      <c r="K335" s="63">
        <v>2000</v>
      </c>
      <c r="L335" s="27">
        <v>0</v>
      </c>
      <c r="M335" s="27">
        <f t="shared" si="5"/>
        <v>1730</v>
      </c>
      <c r="N335" s="34">
        <v>1750</v>
      </c>
      <c r="O335" s="34">
        <v>2800</v>
      </c>
      <c r="P335" s="34">
        <v>1900</v>
      </c>
      <c r="Q335" s="34">
        <v>20</v>
      </c>
      <c r="R335" s="34">
        <v>2800</v>
      </c>
      <c r="S335" s="34">
        <v>120</v>
      </c>
      <c r="T335" s="34">
        <v>5722</v>
      </c>
      <c r="U335" s="34">
        <v>16</v>
      </c>
      <c r="V335" s="34">
        <v>42</v>
      </c>
      <c r="W335" s="34">
        <v>35</v>
      </c>
      <c r="X335" s="34">
        <v>35</v>
      </c>
      <c r="Y335" s="35" t="s">
        <v>73</v>
      </c>
      <c r="Z335" s="35" t="s">
        <v>755</v>
      </c>
      <c r="AA335" s="35" t="s">
        <v>73</v>
      </c>
      <c r="AB335" s="35" t="s">
        <v>79</v>
      </c>
      <c r="AC335" s="35" t="s">
        <v>73</v>
      </c>
      <c r="AD335" s="35" t="s">
        <v>794</v>
      </c>
      <c r="AE335" s="25"/>
      <c r="AF335" s="25"/>
      <c r="AG335" s="25" t="s">
        <v>75</v>
      </c>
      <c r="AH335" s="25" t="s">
        <v>80</v>
      </c>
      <c r="AI335" s="25"/>
      <c r="AJ335" s="25"/>
    </row>
    <row r="336" spans="1:36">
      <c r="A336" s="37">
        <v>334</v>
      </c>
      <c r="B336" s="52" t="s">
        <v>670</v>
      </c>
      <c r="C336" s="55">
        <v>6</v>
      </c>
      <c r="D336" s="55">
        <v>66585.365853658528</v>
      </c>
      <c r="E336" s="55">
        <v>66585.365853658528</v>
      </c>
      <c r="F336" s="55">
        <v>150000</v>
      </c>
      <c r="G336" s="55">
        <v>150000</v>
      </c>
      <c r="H336" s="59">
        <v>3500</v>
      </c>
      <c r="I336" s="59">
        <v>2100000</v>
      </c>
      <c r="J336" s="62">
        <v>2000</v>
      </c>
      <c r="K336" s="62">
        <v>2000</v>
      </c>
      <c r="L336" s="33">
        <v>0</v>
      </c>
      <c r="M336" s="33">
        <f t="shared" si="5"/>
        <v>1730</v>
      </c>
      <c r="N336" s="26">
        <v>1750</v>
      </c>
      <c r="O336" s="26">
        <v>2800</v>
      </c>
      <c r="P336" s="26">
        <v>1900</v>
      </c>
      <c r="Q336" s="26">
        <v>20</v>
      </c>
      <c r="R336" s="26">
        <v>2800</v>
      </c>
      <c r="S336" s="26">
        <v>120</v>
      </c>
      <c r="T336" s="26">
        <v>5839</v>
      </c>
      <c r="U336" s="26">
        <v>16</v>
      </c>
      <c r="V336" s="26">
        <v>42</v>
      </c>
      <c r="W336" s="26">
        <v>35</v>
      </c>
      <c r="X336" s="26">
        <v>35</v>
      </c>
      <c r="Y336" s="25" t="s">
        <v>73</v>
      </c>
      <c r="Z336" s="25" t="s">
        <v>755</v>
      </c>
      <c r="AA336" s="25" t="s">
        <v>73</v>
      </c>
      <c r="AB336" s="25" t="s">
        <v>79</v>
      </c>
      <c r="AC336" s="25" t="s">
        <v>73</v>
      </c>
      <c r="AD336" s="25" t="s">
        <v>794</v>
      </c>
      <c r="AE336" s="25"/>
      <c r="AF336" s="25"/>
      <c r="AG336" s="25" t="s">
        <v>75</v>
      </c>
      <c r="AH336" s="25" t="s">
        <v>80</v>
      </c>
      <c r="AI336" s="25"/>
      <c r="AJ336" s="25"/>
    </row>
    <row r="337" spans="1:36">
      <c r="A337" s="36">
        <v>335</v>
      </c>
      <c r="B337" s="52" t="s">
        <v>671</v>
      </c>
      <c r="C337" s="55">
        <v>6</v>
      </c>
      <c r="D337" s="55">
        <v>63983.739837398374</v>
      </c>
      <c r="E337" s="55">
        <v>63983.739837398374</v>
      </c>
      <c r="F337" s="55">
        <v>150000</v>
      </c>
      <c r="G337" s="55">
        <v>150000</v>
      </c>
      <c r="H337" s="60">
        <v>3500</v>
      </c>
      <c r="I337" s="60">
        <v>2100000</v>
      </c>
      <c r="J337" s="63">
        <v>2000</v>
      </c>
      <c r="K337" s="63">
        <v>2000</v>
      </c>
      <c r="L337" s="27">
        <v>0</v>
      </c>
      <c r="M337" s="27">
        <f t="shared" si="5"/>
        <v>1730</v>
      </c>
      <c r="N337" s="26">
        <v>1750</v>
      </c>
      <c r="O337" s="26">
        <v>2800</v>
      </c>
      <c r="P337" s="26">
        <v>1900</v>
      </c>
      <c r="Q337" s="26">
        <v>20</v>
      </c>
      <c r="R337" s="26">
        <v>2800</v>
      </c>
      <c r="S337" s="26">
        <v>120</v>
      </c>
      <c r="T337" s="26">
        <v>5960</v>
      </c>
      <c r="U337" s="26">
        <v>16</v>
      </c>
      <c r="V337" s="26">
        <v>42</v>
      </c>
      <c r="W337" s="26">
        <v>35</v>
      </c>
      <c r="X337" s="26">
        <v>35</v>
      </c>
      <c r="Y337" s="25" t="s">
        <v>73</v>
      </c>
      <c r="Z337" s="25" t="s">
        <v>755</v>
      </c>
      <c r="AA337" s="25" t="s">
        <v>73</v>
      </c>
      <c r="AB337" s="25" t="s">
        <v>79</v>
      </c>
      <c r="AC337" s="25" t="s">
        <v>73</v>
      </c>
      <c r="AD337" s="25" t="s">
        <v>794</v>
      </c>
      <c r="AE337" s="25"/>
      <c r="AF337" s="25"/>
      <c r="AG337" s="25" t="s">
        <v>75</v>
      </c>
      <c r="AH337" s="25" t="s">
        <v>80</v>
      </c>
      <c r="AI337" s="25"/>
      <c r="AJ337" s="25"/>
    </row>
    <row r="338" spans="1:36">
      <c r="A338" s="37">
        <v>336</v>
      </c>
      <c r="B338" s="52" t="s">
        <v>672</v>
      </c>
      <c r="C338" s="55">
        <v>6</v>
      </c>
      <c r="D338" s="55">
        <v>61642.276422764233</v>
      </c>
      <c r="E338" s="55">
        <v>61642.276422764233</v>
      </c>
      <c r="F338" s="55">
        <v>150000</v>
      </c>
      <c r="G338" s="55">
        <v>150000</v>
      </c>
      <c r="H338" s="60">
        <v>3500</v>
      </c>
      <c r="I338" s="60">
        <v>2100000</v>
      </c>
      <c r="J338" s="63">
        <v>2000</v>
      </c>
      <c r="K338" s="63">
        <v>2000</v>
      </c>
      <c r="L338" s="27">
        <v>0</v>
      </c>
      <c r="M338" s="27">
        <f t="shared" si="5"/>
        <v>1730</v>
      </c>
      <c r="N338" s="26">
        <v>1750</v>
      </c>
      <c r="O338" s="26">
        <v>2800</v>
      </c>
      <c r="P338" s="26">
        <v>1900</v>
      </c>
      <c r="Q338" s="26">
        <v>20</v>
      </c>
      <c r="R338" s="26">
        <v>2800</v>
      </c>
      <c r="S338" s="26">
        <v>120</v>
      </c>
      <c r="T338" s="26">
        <v>6085</v>
      </c>
      <c r="U338" s="26">
        <v>16</v>
      </c>
      <c r="V338" s="26">
        <v>42</v>
      </c>
      <c r="W338" s="26">
        <v>35</v>
      </c>
      <c r="X338" s="26">
        <v>35</v>
      </c>
      <c r="Y338" s="25" t="s">
        <v>73</v>
      </c>
      <c r="Z338" s="25" t="s">
        <v>755</v>
      </c>
      <c r="AA338" s="25" t="s">
        <v>73</v>
      </c>
      <c r="AB338" s="25" t="s">
        <v>79</v>
      </c>
      <c r="AC338" s="25" t="s">
        <v>73</v>
      </c>
      <c r="AD338" s="25" t="s">
        <v>794</v>
      </c>
      <c r="AE338" s="25"/>
      <c r="AF338" s="25"/>
      <c r="AG338" s="25" t="s">
        <v>75</v>
      </c>
      <c r="AH338" s="25" t="s">
        <v>80</v>
      </c>
      <c r="AI338" s="25"/>
      <c r="AJ338" s="25"/>
    </row>
    <row r="339" spans="1:36">
      <c r="A339" s="36">
        <v>337</v>
      </c>
      <c r="B339" s="51" t="s">
        <v>673</v>
      </c>
      <c r="C339" s="54">
        <v>6</v>
      </c>
      <c r="D339" s="54">
        <v>59040.650406504064</v>
      </c>
      <c r="E339" s="54">
        <v>59040.650406504064</v>
      </c>
      <c r="F339" s="54">
        <v>150000</v>
      </c>
      <c r="G339" s="54">
        <v>150000</v>
      </c>
      <c r="H339" s="59">
        <v>3500</v>
      </c>
      <c r="I339" s="59">
        <v>2100000</v>
      </c>
      <c r="J339" s="62">
        <v>2000</v>
      </c>
      <c r="K339" s="62">
        <v>2000</v>
      </c>
      <c r="L339" s="33">
        <v>0</v>
      </c>
      <c r="M339" s="33">
        <f t="shared" si="5"/>
        <v>1730</v>
      </c>
      <c r="N339" s="34">
        <v>1750</v>
      </c>
      <c r="O339" s="34">
        <v>2800</v>
      </c>
      <c r="P339" s="34">
        <v>1900</v>
      </c>
      <c r="Q339" s="34">
        <v>20</v>
      </c>
      <c r="R339" s="34">
        <v>2800</v>
      </c>
      <c r="S339" s="34">
        <v>120</v>
      </c>
      <c r="T339" s="34">
        <v>6214</v>
      </c>
      <c r="U339" s="34">
        <v>16</v>
      </c>
      <c r="V339" s="34">
        <v>42</v>
      </c>
      <c r="W339" s="34">
        <v>38</v>
      </c>
      <c r="X339" s="34">
        <v>38</v>
      </c>
      <c r="Y339" s="35" t="s">
        <v>73</v>
      </c>
      <c r="Z339" s="35" t="s">
        <v>755</v>
      </c>
      <c r="AA339" s="35" t="s">
        <v>73</v>
      </c>
      <c r="AB339" s="35" t="s">
        <v>79</v>
      </c>
      <c r="AC339" s="35" t="s">
        <v>73</v>
      </c>
      <c r="AD339" s="35" t="s">
        <v>794</v>
      </c>
      <c r="AE339" s="25"/>
      <c r="AF339" s="25"/>
      <c r="AG339" s="25" t="s">
        <v>75</v>
      </c>
      <c r="AH339" s="25" t="s">
        <v>80</v>
      </c>
      <c r="AI339" s="25"/>
      <c r="AJ339" s="25"/>
    </row>
    <row r="340" spans="1:36">
      <c r="A340" s="37">
        <v>338</v>
      </c>
      <c r="B340" s="52" t="s">
        <v>674</v>
      </c>
      <c r="C340" s="55">
        <v>6</v>
      </c>
      <c r="D340" s="55">
        <v>56439.024390243903</v>
      </c>
      <c r="E340" s="55">
        <v>56439.024390243903</v>
      </c>
      <c r="F340" s="55">
        <v>150000</v>
      </c>
      <c r="G340" s="55">
        <v>150000</v>
      </c>
      <c r="H340" s="60">
        <v>3500</v>
      </c>
      <c r="I340" s="60">
        <v>2100000</v>
      </c>
      <c r="J340" s="63">
        <v>2000</v>
      </c>
      <c r="K340" s="63">
        <v>2000</v>
      </c>
      <c r="L340" s="27">
        <v>0</v>
      </c>
      <c r="M340" s="27">
        <f t="shared" si="5"/>
        <v>1730</v>
      </c>
      <c r="N340" s="26">
        <v>1750</v>
      </c>
      <c r="O340" s="26">
        <v>2800</v>
      </c>
      <c r="P340" s="26">
        <v>1900</v>
      </c>
      <c r="Q340" s="26">
        <v>20</v>
      </c>
      <c r="R340" s="26">
        <v>2800</v>
      </c>
      <c r="S340" s="26">
        <v>120</v>
      </c>
      <c r="T340" s="26">
        <v>6358</v>
      </c>
      <c r="U340" s="26">
        <v>16</v>
      </c>
      <c r="V340" s="26">
        <v>42</v>
      </c>
      <c r="W340" s="26">
        <v>38</v>
      </c>
      <c r="X340" s="26">
        <v>38</v>
      </c>
      <c r="Y340" s="25" t="s">
        <v>73</v>
      </c>
      <c r="Z340" s="25" t="s">
        <v>755</v>
      </c>
      <c r="AA340" s="25" t="s">
        <v>73</v>
      </c>
      <c r="AB340" s="25" t="s">
        <v>79</v>
      </c>
      <c r="AC340" s="25" t="s">
        <v>73</v>
      </c>
      <c r="AD340" s="25" t="s">
        <v>794</v>
      </c>
      <c r="AE340" s="25"/>
      <c r="AF340" s="25"/>
      <c r="AG340" s="25" t="s">
        <v>75</v>
      </c>
      <c r="AH340" s="25" t="s">
        <v>80</v>
      </c>
      <c r="AI340" s="25"/>
      <c r="AJ340" s="25"/>
    </row>
    <row r="341" spans="1:36">
      <c r="A341" s="36">
        <v>339</v>
      </c>
      <c r="B341" s="52" t="s">
        <v>675</v>
      </c>
      <c r="C341" s="55">
        <v>6</v>
      </c>
      <c r="D341" s="55">
        <v>54227.642276422768</v>
      </c>
      <c r="E341" s="55">
        <v>54227.642276422768</v>
      </c>
      <c r="F341" s="55">
        <v>150000</v>
      </c>
      <c r="G341" s="55">
        <v>150000</v>
      </c>
      <c r="H341" s="60">
        <v>3500</v>
      </c>
      <c r="I341" s="60">
        <v>2100000</v>
      </c>
      <c r="J341" s="63">
        <v>2000</v>
      </c>
      <c r="K341" s="63">
        <v>2000</v>
      </c>
      <c r="L341" s="27">
        <v>0</v>
      </c>
      <c r="M341" s="27">
        <f t="shared" si="5"/>
        <v>1730</v>
      </c>
      <c r="N341" s="26">
        <v>1750</v>
      </c>
      <c r="O341" s="26">
        <v>2800</v>
      </c>
      <c r="P341" s="26">
        <v>1900</v>
      </c>
      <c r="Q341" s="26">
        <v>20</v>
      </c>
      <c r="R341" s="26">
        <v>2800</v>
      </c>
      <c r="S341" s="26">
        <v>120</v>
      </c>
      <c r="T341" s="26">
        <v>6500</v>
      </c>
      <c r="U341" s="26">
        <v>16</v>
      </c>
      <c r="V341" s="26">
        <v>42</v>
      </c>
      <c r="W341" s="26">
        <v>38</v>
      </c>
      <c r="X341" s="26">
        <v>38</v>
      </c>
      <c r="Y341" s="25" t="s">
        <v>73</v>
      </c>
      <c r="Z341" s="25" t="s">
        <v>755</v>
      </c>
      <c r="AA341" s="25" t="s">
        <v>73</v>
      </c>
      <c r="AB341" s="25" t="s">
        <v>79</v>
      </c>
      <c r="AC341" s="25" t="s">
        <v>73</v>
      </c>
      <c r="AD341" s="25" t="s">
        <v>794</v>
      </c>
      <c r="AE341" s="25"/>
      <c r="AF341" s="25"/>
      <c r="AG341" s="25" t="s">
        <v>75</v>
      </c>
      <c r="AH341" s="25" t="s">
        <v>80</v>
      </c>
      <c r="AI341" s="25"/>
      <c r="AJ341" s="25"/>
    </row>
    <row r="342" spans="1:36">
      <c r="A342" s="37">
        <v>340</v>
      </c>
      <c r="B342" s="50" t="s">
        <v>676</v>
      </c>
      <c r="C342" s="53">
        <v>7</v>
      </c>
      <c r="D342" s="53">
        <v>50000</v>
      </c>
      <c r="E342" s="53">
        <v>50000</v>
      </c>
      <c r="F342" s="53">
        <v>125000</v>
      </c>
      <c r="G342" s="53">
        <v>125000</v>
      </c>
      <c r="H342" s="59">
        <v>3500</v>
      </c>
      <c r="I342" s="59">
        <v>2100000</v>
      </c>
      <c r="J342" s="62">
        <v>2000</v>
      </c>
      <c r="K342" s="62">
        <v>2000</v>
      </c>
      <c r="L342" s="33">
        <v>0</v>
      </c>
      <c r="M342" s="33">
        <f t="shared" si="5"/>
        <v>1730</v>
      </c>
      <c r="N342" s="31">
        <v>1750</v>
      </c>
      <c r="O342" s="31">
        <v>2800</v>
      </c>
      <c r="P342" s="31">
        <v>1900</v>
      </c>
      <c r="Q342" s="31">
        <v>20</v>
      </c>
      <c r="R342" s="31">
        <v>2800</v>
      </c>
      <c r="S342" s="31">
        <v>120</v>
      </c>
      <c r="T342" s="31">
        <v>6500</v>
      </c>
      <c r="U342" s="31">
        <v>16</v>
      </c>
      <c r="V342" s="31">
        <v>42</v>
      </c>
      <c r="W342" s="31">
        <v>38</v>
      </c>
      <c r="X342" s="31">
        <v>38</v>
      </c>
      <c r="Y342" s="25" t="s">
        <v>73</v>
      </c>
      <c r="Z342" s="25" t="s">
        <v>755</v>
      </c>
      <c r="AA342" s="25" t="s">
        <v>73</v>
      </c>
      <c r="AB342" s="25" t="s">
        <v>79</v>
      </c>
      <c r="AC342" s="25" t="s">
        <v>73</v>
      </c>
      <c r="AD342" s="25" t="s">
        <v>794</v>
      </c>
      <c r="AE342" s="25"/>
      <c r="AF342" s="25"/>
      <c r="AG342" s="25" t="s">
        <v>75</v>
      </c>
      <c r="AH342" s="25" t="s">
        <v>80</v>
      </c>
      <c r="AI342" s="25"/>
      <c r="AJ342" s="25"/>
    </row>
    <row r="343" spans="1:36">
      <c r="A343" s="36">
        <v>341</v>
      </c>
      <c r="B343" s="52" t="s">
        <v>677</v>
      </c>
      <c r="C343" s="55">
        <v>8</v>
      </c>
      <c r="D343" s="55">
        <v>51364.705882352944</v>
      </c>
      <c r="E343" s="55">
        <v>51364.705882352944</v>
      </c>
      <c r="F343" s="55">
        <v>100000</v>
      </c>
      <c r="G343" s="55">
        <v>100000</v>
      </c>
      <c r="H343" s="60">
        <v>3500</v>
      </c>
      <c r="I343" s="60">
        <v>2100000</v>
      </c>
      <c r="J343" s="63">
        <v>2000</v>
      </c>
      <c r="K343" s="63">
        <v>2000</v>
      </c>
      <c r="L343" s="27">
        <v>0</v>
      </c>
      <c r="M343" s="27">
        <f t="shared" si="5"/>
        <v>1730</v>
      </c>
      <c r="N343" s="26">
        <v>1750</v>
      </c>
      <c r="O343" s="26">
        <v>2800</v>
      </c>
      <c r="P343" s="26">
        <v>1900</v>
      </c>
      <c r="Q343" s="26">
        <v>20</v>
      </c>
      <c r="R343" s="26">
        <v>2800</v>
      </c>
      <c r="S343" s="26">
        <v>120</v>
      </c>
      <c r="T343" s="26">
        <v>6500</v>
      </c>
      <c r="U343" s="26">
        <v>16</v>
      </c>
      <c r="V343" s="26">
        <v>42</v>
      </c>
      <c r="W343" s="26">
        <v>38</v>
      </c>
      <c r="X343" s="26">
        <v>38</v>
      </c>
      <c r="Y343" s="25" t="s">
        <v>73</v>
      </c>
      <c r="Z343" s="25" t="s">
        <v>755</v>
      </c>
      <c r="AA343" s="25" t="s">
        <v>73</v>
      </c>
      <c r="AB343" s="25" t="s">
        <v>78</v>
      </c>
      <c r="AC343" s="25" t="s">
        <v>73</v>
      </c>
      <c r="AD343" s="25" t="s">
        <v>794</v>
      </c>
      <c r="AE343" s="25"/>
      <c r="AF343" s="25"/>
      <c r="AG343" s="25" t="s">
        <v>75</v>
      </c>
      <c r="AH343" s="25" t="s">
        <v>80</v>
      </c>
      <c r="AI343" s="25"/>
      <c r="AJ343" s="25"/>
    </row>
    <row r="344" spans="1:36">
      <c r="A344" s="37">
        <v>342</v>
      </c>
      <c r="B344" s="52" t="s">
        <v>678</v>
      </c>
      <c r="C344" s="55">
        <v>8</v>
      </c>
      <c r="D344" s="55">
        <v>52388.23529411765</v>
      </c>
      <c r="E344" s="55">
        <v>52388.23529411765</v>
      </c>
      <c r="F344" s="55">
        <v>100000</v>
      </c>
      <c r="G344" s="55">
        <v>100000</v>
      </c>
      <c r="H344" s="60">
        <v>3500</v>
      </c>
      <c r="I344" s="60">
        <v>2100000</v>
      </c>
      <c r="J344" s="63">
        <v>2000</v>
      </c>
      <c r="K344" s="63">
        <v>2000</v>
      </c>
      <c r="L344" s="27">
        <v>0</v>
      </c>
      <c r="M344" s="27">
        <f t="shared" si="5"/>
        <v>1730</v>
      </c>
      <c r="N344" s="26">
        <v>1750</v>
      </c>
      <c r="O344" s="26">
        <v>2800</v>
      </c>
      <c r="P344" s="26">
        <v>1900</v>
      </c>
      <c r="Q344" s="26">
        <v>20</v>
      </c>
      <c r="R344" s="26">
        <v>2800</v>
      </c>
      <c r="S344" s="26">
        <v>120</v>
      </c>
      <c r="T344" s="26">
        <v>6358</v>
      </c>
      <c r="U344" s="26">
        <v>16</v>
      </c>
      <c r="V344" s="26">
        <v>42</v>
      </c>
      <c r="W344" s="26">
        <v>38</v>
      </c>
      <c r="X344" s="26">
        <v>38</v>
      </c>
      <c r="Y344" s="25" t="s">
        <v>73</v>
      </c>
      <c r="Z344" s="25" t="s">
        <v>755</v>
      </c>
      <c r="AA344" s="25" t="s">
        <v>73</v>
      </c>
      <c r="AB344" s="25" t="s">
        <v>78</v>
      </c>
      <c r="AC344" s="25" t="s">
        <v>73</v>
      </c>
      <c r="AD344" s="25" t="s">
        <v>794</v>
      </c>
      <c r="AE344" s="25"/>
      <c r="AF344" s="25"/>
      <c r="AG344" s="25" t="s">
        <v>75</v>
      </c>
      <c r="AH344" s="25" t="s">
        <v>80</v>
      </c>
      <c r="AI344" s="25"/>
      <c r="AJ344" s="25"/>
    </row>
    <row r="345" spans="1:36">
      <c r="A345" s="36">
        <v>343</v>
      </c>
      <c r="B345" s="51" t="s">
        <v>679</v>
      </c>
      <c r="C345" s="54">
        <v>8</v>
      </c>
      <c r="D345" s="54">
        <v>53411.76470588235</v>
      </c>
      <c r="E345" s="54">
        <v>53411.76470588235</v>
      </c>
      <c r="F345" s="54">
        <v>100000</v>
      </c>
      <c r="G345" s="54">
        <v>100000</v>
      </c>
      <c r="H345" s="59">
        <v>3500</v>
      </c>
      <c r="I345" s="59">
        <v>2100000</v>
      </c>
      <c r="J345" s="62">
        <v>2000</v>
      </c>
      <c r="K345" s="62">
        <v>2000</v>
      </c>
      <c r="L345" s="33">
        <v>0</v>
      </c>
      <c r="M345" s="33">
        <f t="shared" si="5"/>
        <v>1730</v>
      </c>
      <c r="N345" s="34">
        <v>1750</v>
      </c>
      <c r="O345" s="34">
        <v>2800</v>
      </c>
      <c r="P345" s="34">
        <v>1900</v>
      </c>
      <c r="Q345" s="34">
        <v>20</v>
      </c>
      <c r="R345" s="34">
        <v>2800</v>
      </c>
      <c r="S345" s="34">
        <v>120</v>
      </c>
      <c r="T345" s="34">
        <v>6214</v>
      </c>
      <c r="U345" s="34">
        <v>16</v>
      </c>
      <c r="V345" s="34">
        <v>42</v>
      </c>
      <c r="W345" s="34">
        <v>38</v>
      </c>
      <c r="X345" s="34">
        <v>38</v>
      </c>
      <c r="Y345" s="25" t="s">
        <v>73</v>
      </c>
      <c r="Z345" s="25" t="s">
        <v>755</v>
      </c>
      <c r="AA345" s="25" t="s">
        <v>73</v>
      </c>
      <c r="AB345" s="25" t="s">
        <v>78</v>
      </c>
      <c r="AC345" s="25" t="s">
        <v>73</v>
      </c>
      <c r="AD345" s="25" t="s">
        <v>794</v>
      </c>
      <c r="AE345" s="25"/>
      <c r="AF345" s="25"/>
      <c r="AG345" s="25" t="s">
        <v>75</v>
      </c>
      <c r="AH345" s="25" t="s">
        <v>80</v>
      </c>
      <c r="AI345" s="25"/>
      <c r="AJ345" s="25"/>
    </row>
    <row r="346" spans="1:36">
      <c r="A346" s="37">
        <v>344</v>
      </c>
      <c r="B346" s="52" t="s">
        <v>680</v>
      </c>
      <c r="C346" s="55">
        <v>8</v>
      </c>
      <c r="D346" s="55">
        <v>54352.941176470587</v>
      </c>
      <c r="E346" s="55">
        <v>54352.941176470587</v>
      </c>
      <c r="F346" s="55">
        <v>100000</v>
      </c>
      <c r="G346" s="55">
        <v>100000</v>
      </c>
      <c r="H346" s="60">
        <v>3500</v>
      </c>
      <c r="I346" s="60">
        <v>2100000</v>
      </c>
      <c r="J346" s="63">
        <v>2000</v>
      </c>
      <c r="K346" s="63">
        <v>2000</v>
      </c>
      <c r="L346" s="27">
        <v>0</v>
      </c>
      <c r="M346" s="27">
        <f t="shared" si="5"/>
        <v>1730</v>
      </c>
      <c r="N346" s="26">
        <v>1750</v>
      </c>
      <c r="O346" s="26">
        <v>2800</v>
      </c>
      <c r="P346" s="26">
        <v>1900</v>
      </c>
      <c r="Q346" s="26">
        <v>20</v>
      </c>
      <c r="R346" s="26">
        <v>2800</v>
      </c>
      <c r="S346" s="26">
        <v>120</v>
      </c>
      <c r="T346" s="26">
        <v>6085</v>
      </c>
      <c r="U346" s="26">
        <v>16</v>
      </c>
      <c r="V346" s="26">
        <v>42</v>
      </c>
      <c r="W346" s="26">
        <v>35</v>
      </c>
      <c r="X346" s="26">
        <v>35</v>
      </c>
      <c r="Y346" s="25" t="s">
        <v>73</v>
      </c>
      <c r="Z346" s="25" t="s">
        <v>755</v>
      </c>
      <c r="AA346" s="25" t="s">
        <v>73</v>
      </c>
      <c r="AB346" s="25" t="s">
        <v>78</v>
      </c>
      <c r="AC346" s="25" t="s">
        <v>73</v>
      </c>
      <c r="AD346" s="25" t="s">
        <v>794</v>
      </c>
      <c r="AE346" s="25"/>
      <c r="AF346" s="25"/>
      <c r="AG346" s="25" t="s">
        <v>75</v>
      </c>
      <c r="AH346" s="25" t="s">
        <v>80</v>
      </c>
      <c r="AI346" s="25"/>
      <c r="AJ346" s="25"/>
    </row>
    <row r="347" spans="1:36">
      <c r="A347" s="36">
        <v>345</v>
      </c>
      <c r="B347" s="52" t="s">
        <v>681</v>
      </c>
      <c r="C347" s="55">
        <v>8</v>
      </c>
      <c r="D347" s="55">
        <v>55294.117647058825</v>
      </c>
      <c r="E347" s="55">
        <v>55294.117647058825</v>
      </c>
      <c r="F347" s="55">
        <v>100000</v>
      </c>
      <c r="G347" s="55">
        <v>100000</v>
      </c>
      <c r="H347" s="60">
        <v>3500</v>
      </c>
      <c r="I347" s="60">
        <v>2100000</v>
      </c>
      <c r="J347" s="63">
        <v>2000</v>
      </c>
      <c r="K347" s="63">
        <v>2000</v>
      </c>
      <c r="L347" s="27">
        <v>0</v>
      </c>
      <c r="M347" s="27">
        <f t="shared" si="5"/>
        <v>1730</v>
      </c>
      <c r="N347" s="26">
        <v>1750</v>
      </c>
      <c r="O347" s="26">
        <v>2800</v>
      </c>
      <c r="P347" s="26">
        <v>1900</v>
      </c>
      <c r="Q347" s="26">
        <v>20</v>
      </c>
      <c r="R347" s="26">
        <v>2800</v>
      </c>
      <c r="S347" s="26">
        <v>120</v>
      </c>
      <c r="T347" s="26">
        <v>5960</v>
      </c>
      <c r="U347" s="26">
        <v>16</v>
      </c>
      <c r="V347" s="26">
        <v>42</v>
      </c>
      <c r="W347" s="26">
        <v>35</v>
      </c>
      <c r="X347" s="26">
        <v>35</v>
      </c>
      <c r="Y347" s="25" t="s">
        <v>73</v>
      </c>
      <c r="Z347" s="25" t="s">
        <v>755</v>
      </c>
      <c r="AA347" s="25" t="s">
        <v>73</v>
      </c>
      <c r="AB347" s="25" t="s">
        <v>78</v>
      </c>
      <c r="AC347" s="25" t="s">
        <v>73</v>
      </c>
      <c r="AD347" s="25" t="s">
        <v>794</v>
      </c>
      <c r="AE347" s="25"/>
      <c r="AF347" s="25"/>
      <c r="AG347" s="25" t="s">
        <v>75</v>
      </c>
      <c r="AH347" s="25" t="s">
        <v>80</v>
      </c>
      <c r="AI347" s="25"/>
      <c r="AJ347" s="25"/>
    </row>
    <row r="348" spans="1:36">
      <c r="A348" s="37">
        <v>346</v>
      </c>
      <c r="B348" s="52" t="s">
        <v>682</v>
      </c>
      <c r="C348" s="55">
        <v>8</v>
      </c>
      <c r="D348" s="55">
        <v>56235.294117647056</v>
      </c>
      <c r="E348" s="55">
        <v>56235.294117647056</v>
      </c>
      <c r="F348" s="55">
        <v>100000</v>
      </c>
      <c r="G348" s="55">
        <v>100000</v>
      </c>
      <c r="H348" s="59">
        <v>3500</v>
      </c>
      <c r="I348" s="59">
        <v>2100000</v>
      </c>
      <c r="J348" s="62">
        <v>2000</v>
      </c>
      <c r="K348" s="62">
        <v>2000</v>
      </c>
      <c r="L348" s="33">
        <v>0</v>
      </c>
      <c r="M348" s="33">
        <f t="shared" si="5"/>
        <v>1730</v>
      </c>
      <c r="N348" s="26">
        <v>1750</v>
      </c>
      <c r="O348" s="26">
        <v>2800</v>
      </c>
      <c r="P348" s="26">
        <v>1900</v>
      </c>
      <c r="Q348" s="26">
        <v>20</v>
      </c>
      <c r="R348" s="26">
        <v>2800</v>
      </c>
      <c r="S348" s="26">
        <v>120</v>
      </c>
      <c r="T348" s="26">
        <v>5839</v>
      </c>
      <c r="U348" s="26">
        <v>16</v>
      </c>
      <c r="V348" s="26">
        <v>42</v>
      </c>
      <c r="W348" s="26">
        <v>35</v>
      </c>
      <c r="X348" s="26">
        <v>35</v>
      </c>
      <c r="Y348" s="25" t="s">
        <v>73</v>
      </c>
      <c r="Z348" s="25" t="s">
        <v>755</v>
      </c>
      <c r="AA348" s="25" t="s">
        <v>73</v>
      </c>
      <c r="AB348" s="25" t="s">
        <v>78</v>
      </c>
      <c r="AC348" s="25" t="s">
        <v>73</v>
      </c>
      <c r="AD348" s="25" t="s">
        <v>794</v>
      </c>
      <c r="AE348" s="25"/>
      <c r="AF348" s="25"/>
      <c r="AG348" s="25" t="s">
        <v>75</v>
      </c>
      <c r="AH348" s="25" t="s">
        <v>80</v>
      </c>
      <c r="AI348" s="25"/>
      <c r="AJ348" s="25"/>
    </row>
    <row r="349" spans="1:36">
      <c r="A349" s="36">
        <v>347</v>
      </c>
      <c r="B349" s="51" t="s">
        <v>683</v>
      </c>
      <c r="C349" s="54">
        <v>8</v>
      </c>
      <c r="D349" s="54">
        <v>57176.470588235294</v>
      </c>
      <c r="E349" s="54">
        <v>57176.470588235294</v>
      </c>
      <c r="F349" s="54">
        <v>100000</v>
      </c>
      <c r="G349" s="54">
        <v>100000</v>
      </c>
      <c r="H349" s="60">
        <v>3500</v>
      </c>
      <c r="I349" s="60">
        <v>2100000</v>
      </c>
      <c r="J349" s="63">
        <v>2000</v>
      </c>
      <c r="K349" s="63">
        <v>2000</v>
      </c>
      <c r="L349" s="27">
        <v>0</v>
      </c>
      <c r="M349" s="27">
        <f t="shared" si="5"/>
        <v>1730</v>
      </c>
      <c r="N349" s="34">
        <v>1750</v>
      </c>
      <c r="O349" s="34">
        <v>2800</v>
      </c>
      <c r="P349" s="34">
        <v>1900</v>
      </c>
      <c r="Q349" s="34">
        <v>20</v>
      </c>
      <c r="R349" s="34">
        <v>2800</v>
      </c>
      <c r="S349" s="34">
        <v>120</v>
      </c>
      <c r="T349" s="34">
        <v>5722</v>
      </c>
      <c r="U349" s="34">
        <v>16</v>
      </c>
      <c r="V349" s="34">
        <v>42</v>
      </c>
      <c r="W349" s="34">
        <v>35</v>
      </c>
      <c r="X349" s="34">
        <v>35</v>
      </c>
      <c r="Y349" s="25" t="s">
        <v>73</v>
      </c>
      <c r="Z349" s="25" t="s">
        <v>755</v>
      </c>
      <c r="AA349" s="25" t="s">
        <v>73</v>
      </c>
      <c r="AB349" s="25" t="s">
        <v>78</v>
      </c>
      <c r="AC349" s="25" t="s">
        <v>73</v>
      </c>
      <c r="AD349" s="25" t="s">
        <v>794</v>
      </c>
      <c r="AE349" s="25"/>
      <c r="AF349" s="25"/>
      <c r="AG349" s="25" t="s">
        <v>75</v>
      </c>
      <c r="AH349" s="25" t="s">
        <v>80</v>
      </c>
      <c r="AI349" s="25"/>
      <c r="AJ349" s="25"/>
    </row>
    <row r="350" spans="1:36">
      <c r="A350" s="37">
        <v>348</v>
      </c>
      <c r="B350" s="52" t="s">
        <v>684</v>
      </c>
      <c r="C350" s="55">
        <v>8</v>
      </c>
      <c r="D350" s="55">
        <v>58117.647058823532</v>
      </c>
      <c r="E350" s="55">
        <v>58117.647058823532</v>
      </c>
      <c r="F350" s="55">
        <v>100000</v>
      </c>
      <c r="G350" s="55">
        <v>100000</v>
      </c>
      <c r="H350" s="60">
        <v>3500</v>
      </c>
      <c r="I350" s="60">
        <v>2100000</v>
      </c>
      <c r="J350" s="63">
        <v>2000</v>
      </c>
      <c r="K350" s="63">
        <v>2000</v>
      </c>
      <c r="L350" s="27">
        <v>0</v>
      </c>
      <c r="M350" s="27">
        <f t="shared" si="5"/>
        <v>1730</v>
      </c>
      <c r="N350" s="26">
        <v>1750</v>
      </c>
      <c r="O350" s="26">
        <v>2800</v>
      </c>
      <c r="P350" s="26">
        <v>1900</v>
      </c>
      <c r="Q350" s="26">
        <v>20</v>
      </c>
      <c r="R350" s="26">
        <v>2800</v>
      </c>
      <c r="S350" s="26">
        <v>120</v>
      </c>
      <c r="T350" s="26">
        <v>5608</v>
      </c>
      <c r="U350" s="26">
        <v>16</v>
      </c>
      <c r="V350" s="26">
        <v>38</v>
      </c>
      <c r="W350" s="26">
        <v>25</v>
      </c>
      <c r="X350" s="26">
        <v>25</v>
      </c>
      <c r="Y350" s="25" t="s">
        <v>73</v>
      </c>
      <c r="Z350" s="25" t="s">
        <v>755</v>
      </c>
      <c r="AA350" s="25" t="s">
        <v>73</v>
      </c>
      <c r="AB350" s="25" t="s">
        <v>78</v>
      </c>
      <c r="AC350" s="25" t="s">
        <v>73</v>
      </c>
      <c r="AD350" s="25" t="s">
        <v>794</v>
      </c>
      <c r="AE350" s="25"/>
      <c r="AF350" s="25"/>
      <c r="AG350" s="25" t="s">
        <v>75</v>
      </c>
      <c r="AH350" s="25" t="s">
        <v>80</v>
      </c>
      <c r="AI350" s="25"/>
      <c r="AJ350" s="25"/>
    </row>
    <row r="351" spans="1:36">
      <c r="A351" s="36">
        <v>349</v>
      </c>
      <c r="B351" s="52" t="s">
        <v>685</v>
      </c>
      <c r="C351" s="55">
        <v>8</v>
      </c>
      <c r="D351" s="55">
        <v>59058.823529411762</v>
      </c>
      <c r="E351" s="55">
        <v>59058.823529411762</v>
      </c>
      <c r="F351" s="55">
        <v>100000</v>
      </c>
      <c r="G351" s="55">
        <v>100000</v>
      </c>
      <c r="H351" s="59">
        <v>3500</v>
      </c>
      <c r="I351" s="59">
        <v>2100000</v>
      </c>
      <c r="J351" s="62">
        <v>2000</v>
      </c>
      <c r="K351" s="62">
        <v>2000</v>
      </c>
      <c r="L351" s="33">
        <v>0</v>
      </c>
      <c r="M351" s="33">
        <f t="shared" si="5"/>
        <v>1730</v>
      </c>
      <c r="N351" s="26">
        <v>1750</v>
      </c>
      <c r="O351" s="26">
        <v>2800</v>
      </c>
      <c r="P351" s="26">
        <v>1900</v>
      </c>
      <c r="Q351" s="26">
        <v>20</v>
      </c>
      <c r="R351" s="26">
        <v>2800</v>
      </c>
      <c r="S351" s="26">
        <v>120</v>
      </c>
      <c r="T351" s="26">
        <v>5499</v>
      </c>
      <c r="U351" s="26">
        <v>16</v>
      </c>
      <c r="V351" s="26">
        <v>38</v>
      </c>
      <c r="W351" s="26">
        <v>25</v>
      </c>
      <c r="X351" s="26">
        <v>25</v>
      </c>
      <c r="Y351" s="25" t="s">
        <v>73</v>
      </c>
      <c r="Z351" s="25" t="s">
        <v>755</v>
      </c>
      <c r="AA351" s="25" t="s">
        <v>73</v>
      </c>
      <c r="AB351" s="25" t="s">
        <v>78</v>
      </c>
      <c r="AC351" s="25" t="s">
        <v>73</v>
      </c>
      <c r="AD351" s="25" t="s">
        <v>794</v>
      </c>
      <c r="AE351" s="25"/>
      <c r="AF351" s="25"/>
      <c r="AG351" s="25" t="s">
        <v>75</v>
      </c>
      <c r="AH351" s="25" t="s">
        <v>80</v>
      </c>
      <c r="AI351" s="25"/>
      <c r="AJ351" s="25"/>
    </row>
    <row r="352" spans="1:36">
      <c r="A352" s="37">
        <v>350</v>
      </c>
      <c r="B352" s="52" t="s">
        <v>686</v>
      </c>
      <c r="C352" s="55">
        <v>5</v>
      </c>
      <c r="D352" s="55">
        <v>60000</v>
      </c>
      <c r="E352" s="55">
        <v>60000</v>
      </c>
      <c r="F352" s="55">
        <v>100000</v>
      </c>
      <c r="G352" s="55">
        <v>100000</v>
      </c>
      <c r="H352" s="60">
        <v>3500</v>
      </c>
      <c r="I352" s="60">
        <v>2100000</v>
      </c>
      <c r="J352" s="63">
        <v>2000</v>
      </c>
      <c r="K352" s="63">
        <v>2000</v>
      </c>
      <c r="L352" s="27">
        <v>0</v>
      </c>
      <c r="M352" s="27">
        <f t="shared" si="5"/>
        <v>1730</v>
      </c>
      <c r="N352" s="26">
        <v>1750</v>
      </c>
      <c r="O352" s="26">
        <v>2800</v>
      </c>
      <c r="P352" s="26">
        <v>1900</v>
      </c>
      <c r="Q352" s="26">
        <v>20</v>
      </c>
      <c r="R352" s="26">
        <v>2800</v>
      </c>
      <c r="S352" s="26">
        <v>120</v>
      </c>
      <c r="T352" s="26">
        <v>5393</v>
      </c>
      <c r="U352" s="26">
        <v>16</v>
      </c>
      <c r="V352" s="26">
        <v>38</v>
      </c>
      <c r="W352" s="26">
        <v>25</v>
      </c>
      <c r="X352" s="26">
        <v>25</v>
      </c>
      <c r="Y352" s="25" t="s">
        <v>73</v>
      </c>
      <c r="Z352" s="25" t="s">
        <v>755</v>
      </c>
      <c r="AA352" s="25" t="s">
        <v>73</v>
      </c>
      <c r="AB352" s="25" t="s">
        <v>78</v>
      </c>
      <c r="AC352" s="25" t="s">
        <v>73</v>
      </c>
      <c r="AD352" s="25" t="s">
        <v>794</v>
      </c>
      <c r="AE352" s="25"/>
      <c r="AF352" s="25"/>
      <c r="AG352" s="25" t="s">
        <v>75</v>
      </c>
      <c r="AH352" s="25" t="s">
        <v>80</v>
      </c>
      <c r="AI352" s="25"/>
      <c r="AJ352" s="25"/>
    </row>
    <row r="353" spans="1:36">
      <c r="A353" s="36">
        <v>351</v>
      </c>
      <c r="B353" s="51" t="s">
        <v>687</v>
      </c>
      <c r="C353" s="54">
        <v>5</v>
      </c>
      <c r="D353" s="54">
        <v>60000</v>
      </c>
      <c r="E353" s="54">
        <v>60000</v>
      </c>
      <c r="F353" s="54">
        <v>100000</v>
      </c>
      <c r="G353" s="54">
        <v>100000</v>
      </c>
      <c r="H353" s="60">
        <v>3500</v>
      </c>
      <c r="I353" s="60">
        <v>2100000</v>
      </c>
      <c r="J353" s="63">
        <v>2000</v>
      </c>
      <c r="K353" s="63">
        <v>2000</v>
      </c>
      <c r="L353" s="27">
        <v>0</v>
      </c>
      <c r="M353" s="27">
        <f t="shared" si="5"/>
        <v>1730</v>
      </c>
      <c r="N353" s="34">
        <v>1750</v>
      </c>
      <c r="O353" s="34">
        <v>2800</v>
      </c>
      <c r="P353" s="34">
        <v>1900</v>
      </c>
      <c r="Q353" s="34">
        <v>20</v>
      </c>
      <c r="R353" s="34">
        <v>2800</v>
      </c>
      <c r="S353" s="34">
        <v>120</v>
      </c>
      <c r="T353" s="34">
        <v>5292</v>
      </c>
      <c r="U353" s="34">
        <v>16</v>
      </c>
      <c r="V353" s="34">
        <v>38</v>
      </c>
      <c r="W353" s="34">
        <v>25</v>
      </c>
      <c r="X353" s="34">
        <v>25</v>
      </c>
      <c r="Y353" s="25" t="s">
        <v>73</v>
      </c>
      <c r="Z353" s="25" t="s">
        <v>755</v>
      </c>
      <c r="AA353" s="25" t="s">
        <v>73</v>
      </c>
      <c r="AB353" s="25" t="s">
        <v>78</v>
      </c>
      <c r="AC353" s="25" t="s">
        <v>73</v>
      </c>
      <c r="AD353" s="25" t="s">
        <v>794</v>
      </c>
      <c r="AE353" s="25"/>
      <c r="AF353" s="25"/>
      <c r="AG353" s="25" t="s">
        <v>75</v>
      </c>
      <c r="AH353" s="25" t="s">
        <v>80</v>
      </c>
      <c r="AI353" s="25"/>
      <c r="AJ353" s="25"/>
    </row>
    <row r="354" spans="1:36">
      <c r="A354" s="37">
        <v>352</v>
      </c>
      <c r="B354" s="52" t="s">
        <v>688</v>
      </c>
      <c r="C354" s="55">
        <v>5</v>
      </c>
      <c r="D354" s="55">
        <v>60000</v>
      </c>
      <c r="E354" s="55">
        <v>60000</v>
      </c>
      <c r="F354" s="55">
        <v>100000</v>
      </c>
      <c r="G354" s="55">
        <v>100000</v>
      </c>
      <c r="H354" s="59">
        <v>3500</v>
      </c>
      <c r="I354" s="59">
        <v>2100000</v>
      </c>
      <c r="J354" s="62">
        <v>2000</v>
      </c>
      <c r="K354" s="62">
        <v>2000</v>
      </c>
      <c r="L354" s="33">
        <v>0</v>
      </c>
      <c r="M354" s="33">
        <f t="shared" si="5"/>
        <v>1730</v>
      </c>
      <c r="N354" s="26">
        <v>1750</v>
      </c>
      <c r="O354" s="26">
        <v>2800</v>
      </c>
      <c r="P354" s="26">
        <v>1900</v>
      </c>
      <c r="Q354" s="26">
        <v>20</v>
      </c>
      <c r="R354" s="26">
        <v>2800</v>
      </c>
      <c r="S354" s="26">
        <v>120</v>
      </c>
      <c r="T354" s="26">
        <v>5194</v>
      </c>
      <c r="U354" s="26">
        <v>16</v>
      </c>
      <c r="V354" s="26">
        <v>38</v>
      </c>
      <c r="W354" s="26">
        <v>25</v>
      </c>
      <c r="X354" s="26">
        <v>25</v>
      </c>
      <c r="Y354" s="25" t="s">
        <v>73</v>
      </c>
      <c r="Z354" s="25" t="s">
        <v>755</v>
      </c>
      <c r="AA354" s="25" t="s">
        <v>73</v>
      </c>
      <c r="AB354" s="25" t="s">
        <v>78</v>
      </c>
      <c r="AC354" s="25" t="s">
        <v>73</v>
      </c>
      <c r="AD354" s="25" t="s">
        <v>794</v>
      </c>
      <c r="AE354" s="25"/>
      <c r="AF354" s="25"/>
      <c r="AG354" s="25" t="s">
        <v>75</v>
      </c>
      <c r="AH354" s="25" t="s">
        <v>80</v>
      </c>
      <c r="AI354" s="25"/>
      <c r="AJ354" s="25"/>
    </row>
    <row r="355" spans="1:36">
      <c r="A355" s="36">
        <v>353</v>
      </c>
      <c r="B355" s="52" t="s">
        <v>689</v>
      </c>
      <c r="C355" s="55">
        <v>5</v>
      </c>
      <c r="D355" s="55">
        <v>60000</v>
      </c>
      <c r="E355" s="55">
        <v>60000</v>
      </c>
      <c r="F355" s="55">
        <v>100000</v>
      </c>
      <c r="G355" s="55">
        <v>100000</v>
      </c>
      <c r="H355" s="60">
        <v>3500</v>
      </c>
      <c r="I355" s="60">
        <v>2100000</v>
      </c>
      <c r="J355" s="63">
        <v>2000</v>
      </c>
      <c r="K355" s="63">
        <v>2000</v>
      </c>
      <c r="L355" s="27">
        <v>0</v>
      </c>
      <c r="M355" s="27">
        <f t="shared" si="5"/>
        <v>1730</v>
      </c>
      <c r="N355" s="26">
        <v>1750</v>
      </c>
      <c r="O355" s="26">
        <v>2800</v>
      </c>
      <c r="P355" s="26">
        <v>1900</v>
      </c>
      <c r="Q355" s="26">
        <v>20</v>
      </c>
      <c r="R355" s="26">
        <v>2800</v>
      </c>
      <c r="S355" s="26">
        <v>120</v>
      </c>
      <c r="T355" s="26">
        <v>5100</v>
      </c>
      <c r="U355" s="26">
        <v>16</v>
      </c>
      <c r="V355" s="26">
        <v>38</v>
      </c>
      <c r="W355" s="26">
        <v>25</v>
      </c>
      <c r="X355" s="26">
        <v>25</v>
      </c>
      <c r="Y355" s="25" t="s">
        <v>73</v>
      </c>
      <c r="Z355" s="25" t="s">
        <v>755</v>
      </c>
      <c r="AA355" s="25" t="s">
        <v>73</v>
      </c>
      <c r="AB355" s="25" t="s">
        <v>78</v>
      </c>
      <c r="AC355" s="25" t="s">
        <v>73</v>
      </c>
      <c r="AD355" s="25" t="s">
        <v>794</v>
      </c>
      <c r="AE355" s="25"/>
      <c r="AF355" s="25"/>
      <c r="AG355" s="25" t="s">
        <v>75</v>
      </c>
      <c r="AH355" s="25" t="s">
        <v>80</v>
      </c>
      <c r="AI355" s="25"/>
      <c r="AJ355" s="25"/>
    </row>
    <row r="356" spans="1:36">
      <c r="A356" s="37">
        <v>354</v>
      </c>
      <c r="B356" s="52" t="s">
        <v>690</v>
      </c>
      <c r="C356" s="55">
        <v>5</v>
      </c>
      <c r="D356" s="55">
        <v>60000</v>
      </c>
      <c r="E356" s="55">
        <v>60000</v>
      </c>
      <c r="F356" s="55">
        <v>100000</v>
      </c>
      <c r="G356" s="55">
        <v>100000</v>
      </c>
      <c r="H356" s="60">
        <v>3500</v>
      </c>
      <c r="I356" s="60">
        <v>2100000</v>
      </c>
      <c r="J356" s="63">
        <v>2000</v>
      </c>
      <c r="K356" s="63">
        <v>2000</v>
      </c>
      <c r="L356" s="27">
        <v>0</v>
      </c>
      <c r="M356" s="27">
        <f t="shared" si="5"/>
        <v>1730</v>
      </c>
      <c r="N356" s="26">
        <v>1750</v>
      </c>
      <c r="O356" s="26">
        <v>2800</v>
      </c>
      <c r="P356" s="26">
        <v>1900</v>
      </c>
      <c r="Q356" s="26">
        <v>20</v>
      </c>
      <c r="R356" s="26">
        <v>2800</v>
      </c>
      <c r="S356" s="26">
        <v>120</v>
      </c>
      <c r="T356" s="26">
        <v>5010</v>
      </c>
      <c r="U356" s="26">
        <v>16</v>
      </c>
      <c r="V356" s="26">
        <v>38</v>
      </c>
      <c r="W356" s="26">
        <v>25</v>
      </c>
      <c r="X356" s="26">
        <v>25</v>
      </c>
      <c r="Y356" s="25" t="s">
        <v>73</v>
      </c>
      <c r="Z356" s="25" t="s">
        <v>755</v>
      </c>
      <c r="AA356" s="25" t="s">
        <v>73</v>
      </c>
      <c r="AB356" s="25" t="s">
        <v>78</v>
      </c>
      <c r="AC356" s="25" t="s">
        <v>73</v>
      </c>
      <c r="AD356" s="25" t="s">
        <v>794</v>
      </c>
      <c r="AE356" s="25"/>
      <c r="AF356" s="25"/>
      <c r="AG356" s="25" t="s">
        <v>75</v>
      </c>
      <c r="AH356" s="25" t="s">
        <v>80</v>
      </c>
      <c r="AI356" s="25"/>
      <c r="AJ356" s="25"/>
    </row>
    <row r="357" spans="1:36">
      <c r="A357" s="36">
        <v>355</v>
      </c>
      <c r="B357" s="51" t="s">
        <v>691</v>
      </c>
      <c r="C357" s="54">
        <v>5</v>
      </c>
      <c r="D357" s="54">
        <v>60000</v>
      </c>
      <c r="E357" s="54">
        <v>60000</v>
      </c>
      <c r="F357" s="54">
        <v>100000</v>
      </c>
      <c r="G357" s="54">
        <v>100000</v>
      </c>
      <c r="H357" s="59">
        <v>3500</v>
      </c>
      <c r="I357" s="59">
        <v>2100000</v>
      </c>
      <c r="J357" s="62">
        <v>2000</v>
      </c>
      <c r="K357" s="62">
        <v>2000</v>
      </c>
      <c r="L357" s="33">
        <v>0</v>
      </c>
      <c r="M357" s="33">
        <f t="shared" si="5"/>
        <v>1730</v>
      </c>
      <c r="N357" s="34">
        <v>1750</v>
      </c>
      <c r="O357" s="34">
        <v>2800</v>
      </c>
      <c r="P357" s="34">
        <v>1900</v>
      </c>
      <c r="Q357" s="34">
        <v>20</v>
      </c>
      <c r="R357" s="34">
        <v>2800</v>
      </c>
      <c r="S357" s="34">
        <v>120</v>
      </c>
      <c r="T357" s="34">
        <v>4923</v>
      </c>
      <c r="U357" s="34">
        <v>16</v>
      </c>
      <c r="V357" s="34">
        <v>38</v>
      </c>
      <c r="W357" s="34">
        <v>25</v>
      </c>
      <c r="X357" s="34">
        <v>25</v>
      </c>
      <c r="Y357" s="25" t="s">
        <v>73</v>
      </c>
      <c r="Z357" s="25" t="s">
        <v>755</v>
      </c>
      <c r="AA357" s="25" t="s">
        <v>73</v>
      </c>
      <c r="AB357" s="25" t="s">
        <v>78</v>
      </c>
      <c r="AC357" s="25" t="s">
        <v>73</v>
      </c>
      <c r="AD357" s="25" t="s">
        <v>794</v>
      </c>
      <c r="AE357" s="25"/>
      <c r="AF357" s="25"/>
      <c r="AG357" s="25" t="s">
        <v>75</v>
      </c>
      <c r="AH357" s="25" t="s">
        <v>80</v>
      </c>
      <c r="AI357" s="25"/>
      <c r="AJ357" s="25"/>
    </row>
    <row r="358" spans="1:36">
      <c r="A358" s="37">
        <v>356</v>
      </c>
      <c r="B358" s="52" t="s">
        <v>692</v>
      </c>
      <c r="C358" s="55">
        <v>5</v>
      </c>
      <c r="D358" s="55">
        <v>60000</v>
      </c>
      <c r="E358" s="55">
        <v>60000</v>
      </c>
      <c r="F358" s="55">
        <v>100000</v>
      </c>
      <c r="G358" s="55">
        <v>100000</v>
      </c>
      <c r="H358" s="60">
        <v>3500</v>
      </c>
      <c r="I358" s="60">
        <v>2100000</v>
      </c>
      <c r="J358" s="63">
        <v>2000</v>
      </c>
      <c r="K358" s="63">
        <v>2000</v>
      </c>
      <c r="L358" s="27">
        <v>0</v>
      </c>
      <c r="M358" s="27">
        <f t="shared" si="5"/>
        <v>1730</v>
      </c>
      <c r="N358" s="26">
        <v>1750</v>
      </c>
      <c r="O358" s="26">
        <v>2800</v>
      </c>
      <c r="P358" s="26">
        <v>1900</v>
      </c>
      <c r="Q358" s="26">
        <v>20</v>
      </c>
      <c r="R358" s="26">
        <v>2800</v>
      </c>
      <c r="S358" s="26">
        <v>120</v>
      </c>
      <c r="T358" s="26">
        <v>4841</v>
      </c>
      <c r="U358" s="26">
        <v>16</v>
      </c>
      <c r="V358" s="26">
        <v>32</v>
      </c>
      <c r="W358" s="26">
        <v>19</v>
      </c>
      <c r="X358" s="26">
        <v>19</v>
      </c>
      <c r="Y358" s="25" t="s">
        <v>73</v>
      </c>
      <c r="Z358" s="25" t="s">
        <v>755</v>
      </c>
      <c r="AA358" s="25" t="s">
        <v>73</v>
      </c>
      <c r="AB358" s="25" t="s">
        <v>78</v>
      </c>
      <c r="AC358" s="25" t="s">
        <v>73</v>
      </c>
      <c r="AD358" s="25" t="s">
        <v>794</v>
      </c>
      <c r="AE358" s="25"/>
      <c r="AF358" s="25"/>
      <c r="AG358" s="25" t="s">
        <v>75</v>
      </c>
      <c r="AH358" s="25" t="s">
        <v>80</v>
      </c>
      <c r="AI358" s="25"/>
      <c r="AJ358" s="25"/>
    </row>
    <row r="359" spans="1:36">
      <c r="A359" s="36">
        <v>357</v>
      </c>
      <c r="B359" s="52" t="s">
        <v>693</v>
      </c>
      <c r="C359" s="55">
        <v>5</v>
      </c>
      <c r="D359" s="55">
        <v>60000</v>
      </c>
      <c r="E359" s="55">
        <v>60000</v>
      </c>
      <c r="F359" s="55">
        <v>100000</v>
      </c>
      <c r="G359" s="55">
        <v>100000</v>
      </c>
      <c r="H359" s="60">
        <v>3500</v>
      </c>
      <c r="I359" s="60">
        <v>2100000</v>
      </c>
      <c r="J359" s="63">
        <v>2000</v>
      </c>
      <c r="K359" s="63">
        <v>2000</v>
      </c>
      <c r="L359" s="27">
        <v>0</v>
      </c>
      <c r="M359" s="27">
        <f t="shared" si="5"/>
        <v>1730</v>
      </c>
      <c r="N359" s="26">
        <v>1750</v>
      </c>
      <c r="O359" s="26">
        <v>2800</v>
      </c>
      <c r="P359" s="26">
        <v>1900</v>
      </c>
      <c r="Q359" s="26">
        <v>20</v>
      </c>
      <c r="R359" s="26">
        <v>2800</v>
      </c>
      <c r="S359" s="26">
        <v>120</v>
      </c>
      <c r="T359" s="26">
        <v>4762</v>
      </c>
      <c r="U359" s="26">
        <v>16</v>
      </c>
      <c r="V359" s="26">
        <v>32</v>
      </c>
      <c r="W359" s="26">
        <v>19</v>
      </c>
      <c r="X359" s="26">
        <v>19</v>
      </c>
      <c r="Y359" s="25" t="s">
        <v>73</v>
      </c>
      <c r="Z359" s="25" t="s">
        <v>755</v>
      </c>
      <c r="AA359" s="25" t="s">
        <v>73</v>
      </c>
      <c r="AB359" s="25" t="s">
        <v>78</v>
      </c>
      <c r="AC359" s="25" t="s">
        <v>73</v>
      </c>
      <c r="AD359" s="25" t="s">
        <v>794</v>
      </c>
      <c r="AE359" s="25"/>
      <c r="AF359" s="25"/>
      <c r="AG359" s="25" t="s">
        <v>75</v>
      </c>
      <c r="AH359" s="25" t="s">
        <v>80</v>
      </c>
      <c r="AI359" s="25"/>
      <c r="AJ359" s="25"/>
    </row>
    <row r="360" spans="1:36">
      <c r="A360" s="37">
        <v>358</v>
      </c>
      <c r="B360" s="52" t="s">
        <v>694</v>
      </c>
      <c r="C360" s="55">
        <v>5</v>
      </c>
      <c r="D360" s="55">
        <v>60000</v>
      </c>
      <c r="E360" s="55">
        <v>60000</v>
      </c>
      <c r="F360" s="55">
        <v>100000</v>
      </c>
      <c r="G360" s="55">
        <v>100000</v>
      </c>
      <c r="H360" s="59">
        <v>3500</v>
      </c>
      <c r="I360" s="59">
        <v>2100000</v>
      </c>
      <c r="J360" s="62">
        <v>2000</v>
      </c>
      <c r="K360" s="62">
        <v>2000</v>
      </c>
      <c r="L360" s="33">
        <v>0</v>
      </c>
      <c r="M360" s="33">
        <f t="shared" si="5"/>
        <v>1730</v>
      </c>
      <c r="N360" s="26">
        <v>1750</v>
      </c>
      <c r="O360" s="26">
        <v>2800</v>
      </c>
      <c r="P360" s="26">
        <v>1900</v>
      </c>
      <c r="Q360" s="26">
        <v>20</v>
      </c>
      <c r="R360" s="26">
        <v>2800</v>
      </c>
      <c r="S360" s="26">
        <v>120</v>
      </c>
      <c r="T360" s="26">
        <v>4687</v>
      </c>
      <c r="U360" s="26">
        <v>16</v>
      </c>
      <c r="V360" s="26">
        <v>32</v>
      </c>
      <c r="W360" s="26">
        <v>19</v>
      </c>
      <c r="X360" s="26">
        <v>19</v>
      </c>
      <c r="Y360" s="25" t="s">
        <v>73</v>
      </c>
      <c r="Z360" s="25" t="s">
        <v>755</v>
      </c>
      <c r="AA360" s="25" t="s">
        <v>73</v>
      </c>
      <c r="AB360" s="25" t="s">
        <v>78</v>
      </c>
      <c r="AC360" s="25" t="s">
        <v>73</v>
      </c>
      <c r="AD360" s="25" t="s">
        <v>794</v>
      </c>
      <c r="AE360" s="25"/>
      <c r="AF360" s="25"/>
      <c r="AG360" s="25" t="s">
        <v>75</v>
      </c>
      <c r="AH360" s="25" t="s">
        <v>80</v>
      </c>
      <c r="AI360" s="25"/>
      <c r="AJ360" s="25"/>
    </row>
    <row r="361" spans="1:36">
      <c r="A361" s="36">
        <v>359</v>
      </c>
      <c r="B361" s="51" t="s">
        <v>695</v>
      </c>
      <c r="C361" s="54">
        <v>5</v>
      </c>
      <c r="D361" s="54">
        <v>60000</v>
      </c>
      <c r="E361" s="54">
        <v>60000</v>
      </c>
      <c r="F361" s="54">
        <v>100000</v>
      </c>
      <c r="G361" s="54">
        <v>100000</v>
      </c>
      <c r="H361" s="60">
        <v>3500</v>
      </c>
      <c r="I361" s="60">
        <v>2100000</v>
      </c>
      <c r="J361" s="63">
        <v>2000</v>
      </c>
      <c r="K361" s="63">
        <v>2000</v>
      </c>
      <c r="L361" s="27">
        <v>0</v>
      </c>
      <c r="M361" s="27">
        <f t="shared" si="5"/>
        <v>1730</v>
      </c>
      <c r="N361" s="34">
        <v>1750</v>
      </c>
      <c r="O361" s="34">
        <v>2800</v>
      </c>
      <c r="P361" s="34">
        <v>1900</v>
      </c>
      <c r="Q361" s="34">
        <v>20</v>
      </c>
      <c r="R361" s="34">
        <v>2800</v>
      </c>
      <c r="S361" s="34">
        <v>120</v>
      </c>
      <c r="T361" s="34">
        <v>4616</v>
      </c>
      <c r="U361" s="34">
        <v>16</v>
      </c>
      <c r="V361" s="34">
        <v>32</v>
      </c>
      <c r="W361" s="34">
        <v>19</v>
      </c>
      <c r="X361" s="34">
        <v>19</v>
      </c>
      <c r="Y361" s="25" t="s">
        <v>73</v>
      </c>
      <c r="Z361" s="25" t="s">
        <v>755</v>
      </c>
      <c r="AA361" s="25" t="s">
        <v>73</v>
      </c>
      <c r="AB361" s="25" t="s">
        <v>78</v>
      </c>
      <c r="AC361" s="25" t="s">
        <v>73</v>
      </c>
      <c r="AD361" s="25" t="s">
        <v>794</v>
      </c>
      <c r="AE361" s="25"/>
      <c r="AF361" s="25"/>
      <c r="AG361" s="25" t="s">
        <v>75</v>
      </c>
      <c r="AH361" s="25" t="s">
        <v>80</v>
      </c>
      <c r="AI361" s="25"/>
      <c r="AJ361" s="25"/>
    </row>
    <row r="362" spans="1:36">
      <c r="A362" s="37">
        <v>360</v>
      </c>
      <c r="B362" s="52" t="s">
        <v>696</v>
      </c>
      <c r="C362" s="55">
        <v>5</v>
      </c>
      <c r="D362" s="55">
        <v>60000</v>
      </c>
      <c r="E362" s="55">
        <v>60000</v>
      </c>
      <c r="F362" s="55">
        <v>100000</v>
      </c>
      <c r="G362" s="55">
        <v>100000</v>
      </c>
      <c r="H362" s="60">
        <v>3500</v>
      </c>
      <c r="I362" s="60">
        <v>2100000</v>
      </c>
      <c r="J362" s="63">
        <v>2000</v>
      </c>
      <c r="K362" s="63">
        <v>2000</v>
      </c>
      <c r="L362" s="27">
        <v>0</v>
      </c>
      <c r="M362" s="27">
        <f t="shared" si="5"/>
        <v>1730</v>
      </c>
      <c r="N362" s="26">
        <v>1750</v>
      </c>
      <c r="O362" s="26">
        <v>2800</v>
      </c>
      <c r="P362" s="26">
        <v>1900</v>
      </c>
      <c r="Q362" s="26">
        <v>20</v>
      </c>
      <c r="R362" s="26">
        <v>2800</v>
      </c>
      <c r="S362" s="26">
        <v>120</v>
      </c>
      <c r="T362" s="26">
        <v>4550</v>
      </c>
      <c r="U362" s="26">
        <v>16</v>
      </c>
      <c r="V362" s="26">
        <v>32</v>
      </c>
      <c r="W362" s="26">
        <v>19</v>
      </c>
      <c r="X362" s="26">
        <v>19</v>
      </c>
      <c r="Y362" s="25" t="s">
        <v>73</v>
      </c>
      <c r="Z362" s="25" t="s">
        <v>755</v>
      </c>
      <c r="AA362" s="25" t="s">
        <v>73</v>
      </c>
      <c r="AB362" s="25" t="s">
        <v>78</v>
      </c>
      <c r="AC362" s="25" t="s">
        <v>73</v>
      </c>
      <c r="AD362" s="25" t="s">
        <v>794</v>
      </c>
      <c r="AE362" s="25"/>
      <c r="AF362" s="25"/>
      <c r="AG362" s="25" t="s">
        <v>75</v>
      </c>
      <c r="AH362" s="25" t="s">
        <v>80</v>
      </c>
      <c r="AI362" s="25"/>
      <c r="AJ362" s="25"/>
    </row>
    <row r="363" spans="1:36">
      <c r="A363" s="36">
        <v>361</v>
      </c>
      <c r="B363" s="52" t="s">
        <v>697</v>
      </c>
      <c r="C363" s="55">
        <v>5</v>
      </c>
      <c r="D363" s="55">
        <v>60000</v>
      </c>
      <c r="E363" s="55">
        <v>60000</v>
      </c>
      <c r="F363" s="55">
        <v>100000</v>
      </c>
      <c r="G363" s="55">
        <v>100000</v>
      </c>
      <c r="H363" s="59">
        <v>3500</v>
      </c>
      <c r="I363" s="59">
        <v>2100000</v>
      </c>
      <c r="J363" s="62">
        <v>2000</v>
      </c>
      <c r="K363" s="62">
        <v>2000</v>
      </c>
      <c r="L363" s="33">
        <v>0</v>
      </c>
      <c r="M363" s="33">
        <f t="shared" si="5"/>
        <v>1730</v>
      </c>
      <c r="N363" s="26">
        <v>1750</v>
      </c>
      <c r="O363" s="26">
        <v>2800</v>
      </c>
      <c r="P363" s="26">
        <v>1900</v>
      </c>
      <c r="Q363" s="26">
        <v>20</v>
      </c>
      <c r="R363" s="26">
        <v>2800</v>
      </c>
      <c r="S363" s="26">
        <v>120</v>
      </c>
      <c r="T363" s="26">
        <v>4486</v>
      </c>
      <c r="U363" s="26">
        <v>16</v>
      </c>
      <c r="V363" s="26">
        <v>32</v>
      </c>
      <c r="W363" s="26">
        <v>19</v>
      </c>
      <c r="X363" s="26">
        <v>19</v>
      </c>
      <c r="Y363" s="25" t="s">
        <v>73</v>
      </c>
      <c r="Z363" s="25" t="s">
        <v>755</v>
      </c>
      <c r="AA363" s="25" t="s">
        <v>73</v>
      </c>
      <c r="AB363" s="25" t="s">
        <v>78</v>
      </c>
      <c r="AC363" s="25" t="s">
        <v>73</v>
      </c>
      <c r="AD363" s="25" t="s">
        <v>794</v>
      </c>
      <c r="AE363" s="25"/>
      <c r="AF363" s="25"/>
      <c r="AG363" s="25" t="s">
        <v>75</v>
      </c>
      <c r="AH363" s="25" t="s">
        <v>80</v>
      </c>
      <c r="AI363" s="25"/>
      <c r="AJ363" s="25"/>
    </row>
    <row r="364" spans="1:36">
      <c r="A364" s="37">
        <v>362</v>
      </c>
      <c r="B364" s="52" t="s">
        <v>698</v>
      </c>
      <c r="C364" s="55">
        <v>5</v>
      </c>
      <c r="D364" s="55">
        <v>60000</v>
      </c>
      <c r="E364" s="55">
        <v>60000</v>
      </c>
      <c r="F364" s="55">
        <v>100000</v>
      </c>
      <c r="G364" s="55">
        <v>100000</v>
      </c>
      <c r="H364" s="60">
        <v>3500</v>
      </c>
      <c r="I364" s="60">
        <v>2100000</v>
      </c>
      <c r="J364" s="63">
        <v>2000</v>
      </c>
      <c r="K364" s="63">
        <v>2000</v>
      </c>
      <c r="L364" s="27">
        <v>0</v>
      </c>
      <c r="M364" s="27">
        <f t="shared" si="5"/>
        <v>1730</v>
      </c>
      <c r="N364" s="26">
        <v>1750</v>
      </c>
      <c r="O364" s="26">
        <v>2800</v>
      </c>
      <c r="P364" s="26">
        <v>1900</v>
      </c>
      <c r="Q364" s="26">
        <v>20</v>
      </c>
      <c r="R364" s="26">
        <v>2800</v>
      </c>
      <c r="S364" s="26">
        <v>120</v>
      </c>
      <c r="T364" s="26">
        <v>4427</v>
      </c>
      <c r="U364" s="26">
        <v>16</v>
      </c>
      <c r="V364" s="26">
        <v>32</v>
      </c>
      <c r="W364" s="26">
        <v>19</v>
      </c>
      <c r="X364" s="26">
        <v>19</v>
      </c>
      <c r="Y364" s="25" t="s">
        <v>73</v>
      </c>
      <c r="Z364" s="25" t="s">
        <v>755</v>
      </c>
      <c r="AA364" s="25" t="s">
        <v>73</v>
      </c>
      <c r="AB364" s="25" t="s">
        <v>78</v>
      </c>
      <c r="AC364" s="25" t="s">
        <v>73</v>
      </c>
      <c r="AD364" s="25" t="s">
        <v>794</v>
      </c>
      <c r="AE364" s="25"/>
      <c r="AF364" s="25"/>
      <c r="AG364" s="25" t="s">
        <v>75</v>
      </c>
      <c r="AH364" s="25" t="s">
        <v>80</v>
      </c>
      <c r="AI364" s="25"/>
      <c r="AJ364" s="25"/>
    </row>
    <row r="365" spans="1:36">
      <c r="A365" s="36">
        <v>363</v>
      </c>
      <c r="B365" s="51" t="s">
        <v>699</v>
      </c>
      <c r="C365" s="54">
        <v>5</v>
      </c>
      <c r="D365" s="54">
        <v>60000</v>
      </c>
      <c r="E365" s="54">
        <v>60000</v>
      </c>
      <c r="F365" s="54">
        <v>100000</v>
      </c>
      <c r="G365" s="54">
        <v>100000</v>
      </c>
      <c r="H365" s="60">
        <v>3500</v>
      </c>
      <c r="I365" s="60">
        <v>2100000</v>
      </c>
      <c r="J365" s="63">
        <v>2000</v>
      </c>
      <c r="K365" s="63">
        <v>2000</v>
      </c>
      <c r="L365" s="27">
        <v>0</v>
      </c>
      <c r="M365" s="27">
        <f t="shared" si="5"/>
        <v>1730</v>
      </c>
      <c r="N365" s="34">
        <v>1750</v>
      </c>
      <c r="O365" s="34">
        <v>2800</v>
      </c>
      <c r="P365" s="34">
        <v>1900</v>
      </c>
      <c r="Q365" s="34">
        <v>20</v>
      </c>
      <c r="R365" s="34">
        <v>2800</v>
      </c>
      <c r="S365" s="34">
        <v>120</v>
      </c>
      <c r="T365" s="34">
        <v>4372</v>
      </c>
      <c r="U365" s="34">
        <v>16</v>
      </c>
      <c r="V365" s="34">
        <v>32</v>
      </c>
      <c r="W365" s="34">
        <v>19</v>
      </c>
      <c r="X365" s="34">
        <v>19</v>
      </c>
      <c r="Y365" s="25" t="s">
        <v>73</v>
      </c>
      <c r="Z365" s="25" t="s">
        <v>755</v>
      </c>
      <c r="AA365" s="25" t="s">
        <v>73</v>
      </c>
      <c r="AB365" s="25" t="s">
        <v>78</v>
      </c>
      <c r="AC365" s="25" t="s">
        <v>73</v>
      </c>
      <c r="AD365" s="25" t="s">
        <v>794</v>
      </c>
      <c r="AE365" s="25"/>
      <c r="AF365" s="25"/>
      <c r="AG365" s="25" t="s">
        <v>75</v>
      </c>
      <c r="AH365" s="25" t="s">
        <v>80</v>
      </c>
      <c r="AI365" s="25"/>
      <c r="AJ365" s="25"/>
    </row>
    <row r="366" spans="1:36">
      <c r="A366" s="37">
        <v>364</v>
      </c>
      <c r="B366" s="52" t="s">
        <v>700</v>
      </c>
      <c r="C366" s="55">
        <v>5</v>
      </c>
      <c r="D366" s="55">
        <v>60000</v>
      </c>
      <c r="E366" s="55">
        <v>60000</v>
      </c>
      <c r="F366" s="55">
        <v>100000</v>
      </c>
      <c r="G366" s="55">
        <v>100000</v>
      </c>
      <c r="H366" s="59">
        <v>3500</v>
      </c>
      <c r="I366" s="59">
        <v>2100000</v>
      </c>
      <c r="J366" s="62">
        <v>2000</v>
      </c>
      <c r="K366" s="62">
        <v>2000</v>
      </c>
      <c r="L366" s="33">
        <v>0</v>
      </c>
      <c r="M366" s="33">
        <f t="shared" si="5"/>
        <v>1730</v>
      </c>
      <c r="N366" s="26">
        <v>1750</v>
      </c>
      <c r="O366" s="26">
        <v>2800</v>
      </c>
      <c r="P366" s="26">
        <v>1900</v>
      </c>
      <c r="Q366" s="26">
        <v>20</v>
      </c>
      <c r="R366" s="26">
        <v>2800</v>
      </c>
      <c r="S366" s="26">
        <v>120</v>
      </c>
      <c r="T366" s="26">
        <v>4320</v>
      </c>
      <c r="U366" s="26">
        <v>16</v>
      </c>
      <c r="V366" s="26">
        <v>28</v>
      </c>
      <c r="W366" s="26">
        <v>19</v>
      </c>
      <c r="X366" s="26">
        <v>19</v>
      </c>
      <c r="Y366" s="25" t="s">
        <v>73</v>
      </c>
      <c r="Z366" s="25" t="s">
        <v>755</v>
      </c>
      <c r="AA366" s="25" t="s">
        <v>73</v>
      </c>
      <c r="AB366" s="25" t="s">
        <v>78</v>
      </c>
      <c r="AC366" s="25" t="s">
        <v>73</v>
      </c>
      <c r="AD366" s="25" t="s">
        <v>794</v>
      </c>
      <c r="AE366" s="25"/>
      <c r="AF366" s="25"/>
      <c r="AG366" s="25" t="s">
        <v>75</v>
      </c>
      <c r="AH366" s="25" t="s">
        <v>80</v>
      </c>
      <c r="AI366" s="25"/>
      <c r="AJ366" s="25"/>
    </row>
    <row r="367" spans="1:36">
      <c r="A367" s="36">
        <v>365</v>
      </c>
      <c r="B367" s="52" t="s">
        <v>701</v>
      </c>
      <c r="C367" s="55">
        <v>5</v>
      </c>
      <c r="D367" s="55">
        <v>60000</v>
      </c>
      <c r="E367" s="55">
        <v>60000</v>
      </c>
      <c r="F367" s="55">
        <v>100000</v>
      </c>
      <c r="G367" s="55">
        <v>100000</v>
      </c>
      <c r="H367" s="60">
        <v>3500</v>
      </c>
      <c r="I367" s="60">
        <v>2100000</v>
      </c>
      <c r="J367" s="63">
        <v>2000</v>
      </c>
      <c r="K367" s="63">
        <v>2000</v>
      </c>
      <c r="L367" s="27">
        <v>0</v>
      </c>
      <c r="M367" s="27">
        <f t="shared" si="5"/>
        <v>1730</v>
      </c>
      <c r="N367" s="26">
        <v>1750</v>
      </c>
      <c r="O367" s="26">
        <v>2800</v>
      </c>
      <c r="P367" s="26">
        <v>1900</v>
      </c>
      <c r="Q367" s="26">
        <v>20</v>
      </c>
      <c r="R367" s="26">
        <v>2800</v>
      </c>
      <c r="S367" s="26">
        <v>120</v>
      </c>
      <c r="T367" s="26">
        <v>4272</v>
      </c>
      <c r="U367" s="26">
        <v>16</v>
      </c>
      <c r="V367" s="26">
        <v>28</v>
      </c>
      <c r="W367" s="26">
        <v>19</v>
      </c>
      <c r="X367" s="26">
        <v>19</v>
      </c>
      <c r="Y367" s="25" t="s">
        <v>73</v>
      </c>
      <c r="Z367" s="25" t="s">
        <v>755</v>
      </c>
      <c r="AA367" s="25" t="s">
        <v>73</v>
      </c>
      <c r="AB367" s="25" t="s">
        <v>78</v>
      </c>
      <c r="AC367" s="25" t="s">
        <v>73</v>
      </c>
      <c r="AD367" s="25" t="s">
        <v>794</v>
      </c>
      <c r="AE367" s="25"/>
      <c r="AF367" s="25"/>
      <c r="AG367" s="25" t="s">
        <v>75</v>
      </c>
      <c r="AH367" s="25" t="s">
        <v>80</v>
      </c>
      <c r="AI367" s="25"/>
      <c r="AJ367" s="25"/>
    </row>
    <row r="368" spans="1:36">
      <c r="A368" s="37">
        <v>366</v>
      </c>
      <c r="B368" s="52" t="s">
        <v>702</v>
      </c>
      <c r="C368" s="55">
        <v>5</v>
      </c>
      <c r="D368" s="55">
        <v>60000</v>
      </c>
      <c r="E368" s="55">
        <v>60000</v>
      </c>
      <c r="F368" s="55">
        <v>100000</v>
      </c>
      <c r="G368" s="55">
        <v>100000</v>
      </c>
      <c r="H368" s="60">
        <v>3500</v>
      </c>
      <c r="I368" s="60">
        <v>2100000</v>
      </c>
      <c r="J368" s="63">
        <v>2000</v>
      </c>
      <c r="K368" s="63">
        <v>2000</v>
      </c>
      <c r="L368" s="27">
        <v>0</v>
      </c>
      <c r="M368" s="27">
        <f t="shared" si="5"/>
        <v>1730</v>
      </c>
      <c r="N368" s="26">
        <v>1750</v>
      </c>
      <c r="O368" s="26">
        <v>2800</v>
      </c>
      <c r="P368" s="26">
        <v>1900</v>
      </c>
      <c r="Q368" s="26">
        <v>20</v>
      </c>
      <c r="R368" s="26">
        <v>2800</v>
      </c>
      <c r="S368" s="26">
        <v>120</v>
      </c>
      <c r="T368" s="26">
        <v>4228</v>
      </c>
      <c r="U368" s="26">
        <v>16</v>
      </c>
      <c r="V368" s="26">
        <v>28</v>
      </c>
      <c r="W368" s="26">
        <v>19</v>
      </c>
      <c r="X368" s="26">
        <v>19</v>
      </c>
      <c r="Y368" s="25" t="s">
        <v>73</v>
      </c>
      <c r="Z368" s="25" t="s">
        <v>755</v>
      </c>
      <c r="AA368" s="25" t="s">
        <v>73</v>
      </c>
      <c r="AB368" s="25" t="s">
        <v>78</v>
      </c>
      <c r="AC368" s="25" t="s">
        <v>73</v>
      </c>
      <c r="AD368" s="25" t="s">
        <v>794</v>
      </c>
      <c r="AE368" s="25"/>
      <c r="AF368" s="25"/>
      <c r="AG368" s="25" t="s">
        <v>75</v>
      </c>
      <c r="AH368" s="25" t="s">
        <v>80</v>
      </c>
      <c r="AI368" s="25"/>
      <c r="AJ368" s="25"/>
    </row>
    <row r="369" spans="1:36">
      <c r="A369" s="36">
        <v>367</v>
      </c>
      <c r="B369" s="51" t="s">
        <v>703</v>
      </c>
      <c r="C369" s="54">
        <v>5</v>
      </c>
      <c r="D369" s="54">
        <v>60000</v>
      </c>
      <c r="E369" s="54">
        <v>60000</v>
      </c>
      <c r="F369" s="54">
        <v>100000</v>
      </c>
      <c r="G369" s="54">
        <v>100000</v>
      </c>
      <c r="H369" s="59">
        <v>3500</v>
      </c>
      <c r="I369" s="59">
        <v>2100000</v>
      </c>
      <c r="J369" s="62">
        <v>2000</v>
      </c>
      <c r="K369" s="62">
        <v>2000</v>
      </c>
      <c r="L369" s="33">
        <v>0</v>
      </c>
      <c r="M369" s="33">
        <f t="shared" si="5"/>
        <v>1730</v>
      </c>
      <c r="N369" s="34">
        <v>1750</v>
      </c>
      <c r="O369" s="34">
        <v>2800</v>
      </c>
      <c r="P369" s="34">
        <v>1900</v>
      </c>
      <c r="Q369" s="34">
        <v>20</v>
      </c>
      <c r="R369" s="34">
        <v>2800</v>
      </c>
      <c r="S369" s="34">
        <v>120</v>
      </c>
      <c r="T369" s="34">
        <v>4188</v>
      </c>
      <c r="U369" s="34">
        <v>16</v>
      </c>
      <c r="V369" s="34">
        <v>28</v>
      </c>
      <c r="W369" s="34">
        <v>19</v>
      </c>
      <c r="X369" s="34">
        <v>19</v>
      </c>
      <c r="Y369" s="25" t="s">
        <v>73</v>
      </c>
      <c r="Z369" s="25" t="s">
        <v>755</v>
      </c>
      <c r="AA369" s="25" t="s">
        <v>73</v>
      </c>
      <c r="AB369" s="25" t="s">
        <v>78</v>
      </c>
      <c r="AC369" s="25" t="s">
        <v>73</v>
      </c>
      <c r="AD369" s="25" t="s">
        <v>794</v>
      </c>
      <c r="AE369" s="25"/>
      <c r="AF369" s="25"/>
      <c r="AG369" s="25" t="s">
        <v>75</v>
      </c>
      <c r="AH369" s="25" t="s">
        <v>80</v>
      </c>
      <c r="AI369" s="25"/>
      <c r="AJ369" s="25"/>
    </row>
    <row r="370" spans="1:36">
      <c r="A370" s="37">
        <v>368</v>
      </c>
      <c r="B370" s="52" t="s">
        <v>704</v>
      </c>
      <c r="C370" s="55">
        <v>5</v>
      </c>
      <c r="D370" s="55">
        <v>60000</v>
      </c>
      <c r="E370" s="55">
        <v>60000</v>
      </c>
      <c r="F370" s="55">
        <v>100000</v>
      </c>
      <c r="G370" s="55">
        <v>100000</v>
      </c>
      <c r="H370" s="60">
        <v>3500</v>
      </c>
      <c r="I370" s="60">
        <v>2100000</v>
      </c>
      <c r="J370" s="63">
        <v>2000</v>
      </c>
      <c r="K370" s="63">
        <v>2000</v>
      </c>
      <c r="L370" s="27">
        <v>0</v>
      </c>
      <c r="M370" s="27">
        <f t="shared" si="5"/>
        <v>1730</v>
      </c>
      <c r="N370" s="26">
        <v>1750</v>
      </c>
      <c r="O370" s="26">
        <v>2800</v>
      </c>
      <c r="P370" s="26">
        <v>1900</v>
      </c>
      <c r="Q370" s="26">
        <v>20</v>
      </c>
      <c r="R370" s="26">
        <v>2800</v>
      </c>
      <c r="S370" s="26">
        <v>120</v>
      </c>
      <c r="T370" s="26">
        <v>4152</v>
      </c>
      <c r="U370" s="26">
        <v>16</v>
      </c>
      <c r="V370" s="26">
        <v>28</v>
      </c>
      <c r="W370" s="26">
        <v>19</v>
      </c>
      <c r="X370" s="26">
        <v>19</v>
      </c>
      <c r="Y370" s="25" t="s">
        <v>73</v>
      </c>
      <c r="Z370" s="25" t="s">
        <v>755</v>
      </c>
      <c r="AA370" s="25" t="s">
        <v>73</v>
      </c>
      <c r="AB370" s="25" t="s">
        <v>78</v>
      </c>
      <c r="AC370" s="25" t="s">
        <v>73</v>
      </c>
      <c r="AD370" s="25" t="s">
        <v>794</v>
      </c>
      <c r="AE370" s="25"/>
      <c r="AF370" s="25"/>
      <c r="AG370" s="25" t="s">
        <v>75</v>
      </c>
      <c r="AH370" s="25" t="s">
        <v>80</v>
      </c>
      <c r="AI370" s="25"/>
      <c r="AJ370" s="25"/>
    </row>
    <row r="371" spans="1:36">
      <c r="A371" s="36">
        <v>369</v>
      </c>
      <c r="B371" s="52" t="s">
        <v>705</v>
      </c>
      <c r="C371" s="55">
        <v>5</v>
      </c>
      <c r="D371" s="55">
        <v>60000</v>
      </c>
      <c r="E371" s="55">
        <v>60000</v>
      </c>
      <c r="F371" s="55">
        <v>100000</v>
      </c>
      <c r="G371" s="55">
        <v>100000</v>
      </c>
      <c r="H371" s="60">
        <v>3500</v>
      </c>
      <c r="I371" s="60">
        <v>2100000</v>
      </c>
      <c r="J371" s="63">
        <v>2000</v>
      </c>
      <c r="K371" s="63">
        <v>2000</v>
      </c>
      <c r="L371" s="27">
        <v>0</v>
      </c>
      <c r="M371" s="27">
        <f t="shared" si="5"/>
        <v>1730</v>
      </c>
      <c r="N371" s="26">
        <v>1750</v>
      </c>
      <c r="O371" s="26">
        <v>2800</v>
      </c>
      <c r="P371" s="26">
        <v>1900</v>
      </c>
      <c r="Q371" s="26">
        <v>20</v>
      </c>
      <c r="R371" s="26">
        <v>2800</v>
      </c>
      <c r="S371" s="26">
        <v>120</v>
      </c>
      <c r="T371" s="26">
        <v>4120</v>
      </c>
      <c r="U371" s="26">
        <v>16</v>
      </c>
      <c r="V371" s="26">
        <v>28</v>
      </c>
      <c r="W371" s="26">
        <v>19</v>
      </c>
      <c r="X371" s="26">
        <v>19</v>
      </c>
      <c r="Y371" s="25" t="s">
        <v>73</v>
      </c>
      <c r="Z371" s="25" t="s">
        <v>755</v>
      </c>
      <c r="AA371" s="25" t="s">
        <v>73</v>
      </c>
      <c r="AB371" s="25" t="s">
        <v>78</v>
      </c>
      <c r="AC371" s="25" t="s">
        <v>73</v>
      </c>
      <c r="AD371" s="25" t="s">
        <v>794</v>
      </c>
      <c r="AE371" s="25"/>
      <c r="AF371" s="25"/>
      <c r="AG371" s="25" t="s">
        <v>75</v>
      </c>
      <c r="AH371" s="25" t="s">
        <v>80</v>
      </c>
      <c r="AI371" s="25"/>
      <c r="AJ371" s="25"/>
    </row>
    <row r="372" spans="1:36">
      <c r="A372" s="37">
        <v>370</v>
      </c>
      <c r="B372" s="52" t="s">
        <v>706</v>
      </c>
      <c r="C372" s="55">
        <v>5</v>
      </c>
      <c r="D372" s="55">
        <v>60000</v>
      </c>
      <c r="E372" s="55">
        <v>60000</v>
      </c>
      <c r="F372" s="55">
        <v>100000</v>
      </c>
      <c r="G372" s="55">
        <v>100000</v>
      </c>
      <c r="H372" s="59">
        <v>3500</v>
      </c>
      <c r="I372" s="59">
        <v>2100000</v>
      </c>
      <c r="J372" s="62">
        <v>2000</v>
      </c>
      <c r="K372" s="62">
        <v>2000</v>
      </c>
      <c r="L372" s="33">
        <v>0</v>
      </c>
      <c r="M372" s="33">
        <f t="shared" si="5"/>
        <v>1730</v>
      </c>
      <c r="N372" s="26">
        <v>1750</v>
      </c>
      <c r="O372" s="26">
        <v>2800</v>
      </c>
      <c r="P372" s="26">
        <v>1900</v>
      </c>
      <c r="Q372" s="26">
        <v>20</v>
      </c>
      <c r="R372" s="26">
        <v>2800</v>
      </c>
      <c r="S372" s="26">
        <v>120</v>
      </c>
      <c r="T372" s="26">
        <v>4091</v>
      </c>
      <c r="U372" s="26">
        <v>16</v>
      </c>
      <c r="V372" s="26">
        <v>28</v>
      </c>
      <c r="W372" s="26">
        <v>19</v>
      </c>
      <c r="X372" s="26">
        <v>19</v>
      </c>
      <c r="Y372" s="25" t="s">
        <v>73</v>
      </c>
      <c r="Z372" s="25" t="s">
        <v>755</v>
      </c>
      <c r="AA372" s="25" t="s">
        <v>73</v>
      </c>
      <c r="AB372" s="25" t="s">
        <v>78</v>
      </c>
      <c r="AC372" s="25" t="s">
        <v>73</v>
      </c>
      <c r="AD372" s="25" t="s">
        <v>794</v>
      </c>
      <c r="AE372" s="25"/>
      <c r="AF372" s="25"/>
      <c r="AG372" s="25" t="s">
        <v>75</v>
      </c>
      <c r="AH372" s="25" t="s">
        <v>80</v>
      </c>
      <c r="AI372" s="25"/>
      <c r="AJ372" s="25"/>
    </row>
    <row r="373" spans="1:36">
      <c r="A373" s="36">
        <v>371</v>
      </c>
      <c r="B373" s="51" t="s">
        <v>707</v>
      </c>
      <c r="C373" s="54">
        <v>5</v>
      </c>
      <c r="D373" s="54">
        <v>60000</v>
      </c>
      <c r="E373" s="54">
        <v>60000</v>
      </c>
      <c r="F373" s="54">
        <v>100000</v>
      </c>
      <c r="G373" s="54">
        <v>100000</v>
      </c>
      <c r="H373" s="60">
        <v>3500</v>
      </c>
      <c r="I373" s="60">
        <v>2100000</v>
      </c>
      <c r="J373" s="63">
        <v>2000</v>
      </c>
      <c r="K373" s="63">
        <v>2000</v>
      </c>
      <c r="L373" s="27">
        <v>0</v>
      </c>
      <c r="M373" s="27">
        <f t="shared" si="5"/>
        <v>1730</v>
      </c>
      <c r="N373" s="34">
        <v>1750</v>
      </c>
      <c r="O373" s="34">
        <v>2800</v>
      </c>
      <c r="P373" s="34">
        <v>1900</v>
      </c>
      <c r="Q373" s="34">
        <v>20</v>
      </c>
      <c r="R373" s="34">
        <v>2800</v>
      </c>
      <c r="S373" s="34">
        <v>120</v>
      </c>
      <c r="T373" s="34">
        <v>4067</v>
      </c>
      <c r="U373" s="34">
        <v>16</v>
      </c>
      <c r="V373" s="34">
        <v>32</v>
      </c>
      <c r="W373" s="34">
        <v>19</v>
      </c>
      <c r="X373" s="34">
        <v>19</v>
      </c>
      <c r="Y373" s="25" t="s">
        <v>73</v>
      </c>
      <c r="Z373" s="25" t="s">
        <v>755</v>
      </c>
      <c r="AA373" s="25" t="s">
        <v>73</v>
      </c>
      <c r="AB373" s="25" t="s">
        <v>78</v>
      </c>
      <c r="AC373" s="25" t="s">
        <v>73</v>
      </c>
      <c r="AD373" s="25" t="s">
        <v>794</v>
      </c>
      <c r="AE373" s="25"/>
      <c r="AF373" s="25"/>
      <c r="AG373" s="25" t="s">
        <v>75</v>
      </c>
      <c r="AH373" s="25" t="s">
        <v>80</v>
      </c>
      <c r="AI373" s="25"/>
      <c r="AJ373" s="25"/>
    </row>
    <row r="374" spans="1:36">
      <c r="A374" s="37">
        <v>372</v>
      </c>
      <c r="B374" s="52" t="s">
        <v>708</v>
      </c>
      <c r="C374" s="55">
        <v>5</v>
      </c>
      <c r="D374" s="55">
        <v>60000</v>
      </c>
      <c r="E374" s="55">
        <v>60000</v>
      </c>
      <c r="F374" s="55">
        <v>100000</v>
      </c>
      <c r="G374" s="55">
        <v>100000</v>
      </c>
      <c r="H374" s="60">
        <v>3500</v>
      </c>
      <c r="I374" s="60">
        <v>2100000</v>
      </c>
      <c r="J374" s="63">
        <v>2000</v>
      </c>
      <c r="K374" s="63">
        <v>2000</v>
      </c>
      <c r="L374" s="27">
        <v>0</v>
      </c>
      <c r="M374" s="27">
        <f t="shared" si="5"/>
        <v>1730</v>
      </c>
      <c r="N374" s="26">
        <v>1750</v>
      </c>
      <c r="O374" s="26">
        <v>2800</v>
      </c>
      <c r="P374" s="26">
        <v>1900</v>
      </c>
      <c r="Q374" s="26">
        <v>20</v>
      </c>
      <c r="R374" s="26">
        <v>2800</v>
      </c>
      <c r="S374" s="26">
        <v>120</v>
      </c>
      <c r="T374" s="26">
        <v>4046</v>
      </c>
      <c r="U374" s="26">
        <v>16</v>
      </c>
      <c r="V374" s="26">
        <v>32</v>
      </c>
      <c r="W374" s="26">
        <v>19</v>
      </c>
      <c r="X374" s="26">
        <v>19</v>
      </c>
      <c r="Y374" s="25" t="s">
        <v>73</v>
      </c>
      <c r="Z374" s="25" t="s">
        <v>755</v>
      </c>
      <c r="AA374" s="25" t="s">
        <v>73</v>
      </c>
      <c r="AB374" s="25" t="s">
        <v>78</v>
      </c>
      <c r="AC374" s="25" t="s">
        <v>73</v>
      </c>
      <c r="AD374" s="25" t="s">
        <v>794</v>
      </c>
      <c r="AE374" s="25"/>
      <c r="AF374" s="25"/>
      <c r="AG374" s="25" t="s">
        <v>75</v>
      </c>
      <c r="AH374" s="25" t="s">
        <v>80</v>
      </c>
      <c r="AI374" s="25"/>
      <c r="AJ374" s="25"/>
    </row>
    <row r="375" spans="1:36">
      <c r="A375" s="36">
        <v>373</v>
      </c>
      <c r="B375" s="52" t="s">
        <v>709</v>
      </c>
      <c r="C375" s="55">
        <v>5</v>
      </c>
      <c r="D375" s="55">
        <v>60000</v>
      </c>
      <c r="E375" s="55">
        <v>60000</v>
      </c>
      <c r="F375" s="55">
        <v>100000</v>
      </c>
      <c r="G375" s="55">
        <v>100000</v>
      </c>
      <c r="H375" s="59">
        <v>3500</v>
      </c>
      <c r="I375" s="59">
        <v>2100000</v>
      </c>
      <c r="J375" s="62">
        <v>2000</v>
      </c>
      <c r="K375" s="62">
        <v>2000</v>
      </c>
      <c r="L375" s="33">
        <v>0</v>
      </c>
      <c r="M375" s="33">
        <f t="shared" si="5"/>
        <v>1730</v>
      </c>
      <c r="N375" s="26">
        <v>1750</v>
      </c>
      <c r="O375" s="26">
        <v>2800</v>
      </c>
      <c r="P375" s="26">
        <v>1900</v>
      </c>
      <c r="Q375" s="26">
        <v>20</v>
      </c>
      <c r="R375" s="26">
        <v>2800</v>
      </c>
      <c r="S375" s="26">
        <v>120</v>
      </c>
      <c r="T375" s="26">
        <v>4029</v>
      </c>
      <c r="U375" s="26">
        <v>16</v>
      </c>
      <c r="V375" s="26">
        <v>32</v>
      </c>
      <c r="W375" s="26">
        <v>19</v>
      </c>
      <c r="X375" s="26">
        <v>19</v>
      </c>
      <c r="Y375" s="25" t="s">
        <v>73</v>
      </c>
      <c r="Z375" s="25" t="s">
        <v>755</v>
      </c>
      <c r="AA375" s="25" t="s">
        <v>73</v>
      </c>
      <c r="AB375" s="25" t="s">
        <v>78</v>
      </c>
      <c r="AC375" s="25" t="s">
        <v>73</v>
      </c>
      <c r="AD375" s="25" t="s">
        <v>794</v>
      </c>
      <c r="AE375" s="25"/>
      <c r="AF375" s="25"/>
      <c r="AG375" s="25" t="s">
        <v>75</v>
      </c>
      <c r="AH375" s="25" t="s">
        <v>80</v>
      </c>
      <c r="AI375" s="25"/>
      <c r="AJ375" s="25"/>
    </row>
    <row r="376" spans="1:36">
      <c r="A376" s="37">
        <v>374</v>
      </c>
      <c r="B376" s="52" t="s">
        <v>710</v>
      </c>
      <c r="C376" s="55">
        <v>5</v>
      </c>
      <c r="D376" s="55">
        <v>60000</v>
      </c>
      <c r="E376" s="55">
        <v>60000</v>
      </c>
      <c r="F376" s="55">
        <v>100000</v>
      </c>
      <c r="G376" s="55">
        <v>100000</v>
      </c>
      <c r="H376" s="60">
        <v>3500</v>
      </c>
      <c r="I376" s="60">
        <v>2100000</v>
      </c>
      <c r="J376" s="63">
        <v>2000</v>
      </c>
      <c r="K376" s="63">
        <v>2000</v>
      </c>
      <c r="L376" s="27">
        <v>0</v>
      </c>
      <c r="M376" s="27">
        <f t="shared" si="5"/>
        <v>1730</v>
      </c>
      <c r="N376" s="26">
        <v>1750</v>
      </c>
      <c r="O376" s="26">
        <v>2800</v>
      </c>
      <c r="P376" s="26">
        <v>1900</v>
      </c>
      <c r="Q376" s="26">
        <v>20</v>
      </c>
      <c r="R376" s="26">
        <v>2800</v>
      </c>
      <c r="S376" s="26">
        <v>120</v>
      </c>
      <c r="T376" s="26">
        <v>4016</v>
      </c>
      <c r="U376" s="26">
        <v>16</v>
      </c>
      <c r="V376" s="26">
        <v>32</v>
      </c>
      <c r="W376" s="26">
        <v>19</v>
      </c>
      <c r="X376" s="26">
        <v>19</v>
      </c>
      <c r="Y376" s="25" t="s">
        <v>73</v>
      </c>
      <c r="Z376" s="25" t="s">
        <v>755</v>
      </c>
      <c r="AA376" s="25" t="s">
        <v>73</v>
      </c>
      <c r="AB376" s="25" t="s">
        <v>78</v>
      </c>
      <c r="AC376" s="25" t="s">
        <v>73</v>
      </c>
      <c r="AD376" s="25" t="s">
        <v>794</v>
      </c>
      <c r="AE376" s="25"/>
      <c r="AF376" s="25"/>
      <c r="AG376" s="25" t="s">
        <v>75</v>
      </c>
      <c r="AH376" s="25" t="s">
        <v>80</v>
      </c>
      <c r="AI376" s="25"/>
      <c r="AJ376" s="25"/>
    </row>
    <row r="377" spans="1:36">
      <c r="A377" s="36">
        <v>375</v>
      </c>
      <c r="B377" s="51" t="s">
        <v>711</v>
      </c>
      <c r="C377" s="54">
        <v>5</v>
      </c>
      <c r="D377" s="54">
        <v>60000</v>
      </c>
      <c r="E377" s="54">
        <v>60000</v>
      </c>
      <c r="F377" s="54">
        <v>100000</v>
      </c>
      <c r="G377" s="54">
        <v>100000</v>
      </c>
      <c r="H377" s="60">
        <v>3500</v>
      </c>
      <c r="I377" s="60">
        <v>2100000</v>
      </c>
      <c r="J377" s="63">
        <v>2000</v>
      </c>
      <c r="K377" s="63">
        <v>2000</v>
      </c>
      <c r="L377" s="27">
        <v>0</v>
      </c>
      <c r="M377" s="27">
        <f t="shared" si="5"/>
        <v>1730</v>
      </c>
      <c r="N377" s="34">
        <v>1750</v>
      </c>
      <c r="O377" s="34">
        <v>2800</v>
      </c>
      <c r="P377" s="34">
        <v>1900</v>
      </c>
      <c r="Q377" s="34">
        <v>20</v>
      </c>
      <c r="R377" s="34">
        <v>2800</v>
      </c>
      <c r="S377" s="34">
        <v>120</v>
      </c>
      <c r="T377" s="34">
        <v>4007</v>
      </c>
      <c r="U377" s="34">
        <v>16</v>
      </c>
      <c r="V377" s="34">
        <v>32</v>
      </c>
      <c r="W377" s="34">
        <v>19</v>
      </c>
      <c r="X377" s="34">
        <v>19</v>
      </c>
      <c r="Y377" s="25" t="s">
        <v>73</v>
      </c>
      <c r="Z377" s="25" t="s">
        <v>755</v>
      </c>
      <c r="AA377" s="25" t="s">
        <v>73</v>
      </c>
      <c r="AB377" s="25" t="s">
        <v>78</v>
      </c>
      <c r="AC377" s="25" t="s">
        <v>73</v>
      </c>
      <c r="AD377" s="25" t="s">
        <v>794</v>
      </c>
      <c r="AE377" s="25"/>
      <c r="AF377" s="25"/>
      <c r="AG377" s="25" t="s">
        <v>75</v>
      </c>
      <c r="AH377" s="25" t="s">
        <v>80</v>
      </c>
      <c r="AI377" s="25"/>
      <c r="AJ377" s="25"/>
    </row>
    <row r="378" spans="1:36">
      <c r="A378" s="37">
        <v>376</v>
      </c>
      <c r="B378" s="52" t="s">
        <v>712</v>
      </c>
      <c r="C378" s="55">
        <v>5</v>
      </c>
      <c r="D378" s="55">
        <v>60000</v>
      </c>
      <c r="E378" s="55">
        <v>60000</v>
      </c>
      <c r="F378" s="55">
        <v>100000</v>
      </c>
      <c r="G378" s="55">
        <v>100000</v>
      </c>
      <c r="H378" s="59">
        <v>3500</v>
      </c>
      <c r="I378" s="59">
        <v>2100000</v>
      </c>
      <c r="J378" s="62">
        <v>2000</v>
      </c>
      <c r="K378" s="62">
        <v>2000</v>
      </c>
      <c r="L378" s="33">
        <v>0</v>
      </c>
      <c r="M378" s="33">
        <f t="shared" si="5"/>
        <v>1730</v>
      </c>
      <c r="N378" s="26">
        <v>1750</v>
      </c>
      <c r="O378" s="26">
        <v>2800</v>
      </c>
      <c r="P378" s="26">
        <v>1900</v>
      </c>
      <c r="Q378" s="26">
        <v>20</v>
      </c>
      <c r="R378" s="26">
        <v>2800</v>
      </c>
      <c r="S378" s="26">
        <v>120</v>
      </c>
      <c r="T378" s="26">
        <v>4002</v>
      </c>
      <c r="U378" s="26">
        <v>16</v>
      </c>
      <c r="V378" s="26">
        <v>32</v>
      </c>
      <c r="W378" s="26">
        <v>19</v>
      </c>
      <c r="X378" s="26">
        <v>19</v>
      </c>
      <c r="Y378" s="25" t="s">
        <v>73</v>
      </c>
      <c r="Z378" s="25" t="s">
        <v>755</v>
      </c>
      <c r="AA378" s="25" t="s">
        <v>73</v>
      </c>
      <c r="AB378" s="25" t="s">
        <v>78</v>
      </c>
      <c r="AC378" s="25" t="s">
        <v>73</v>
      </c>
      <c r="AD378" s="25" t="s">
        <v>794</v>
      </c>
      <c r="AE378" s="25"/>
      <c r="AF378" s="25"/>
      <c r="AG378" s="25" t="s">
        <v>75</v>
      </c>
      <c r="AH378" s="25" t="s">
        <v>80</v>
      </c>
      <c r="AI378" s="25"/>
      <c r="AJ378" s="25"/>
    </row>
    <row r="379" spans="1:36">
      <c r="A379" s="36">
        <v>377</v>
      </c>
      <c r="B379" s="52" t="s">
        <v>713</v>
      </c>
      <c r="C379" s="55">
        <v>5</v>
      </c>
      <c r="D379" s="55">
        <v>60000</v>
      </c>
      <c r="E379" s="55">
        <v>60000</v>
      </c>
      <c r="F379" s="55">
        <v>100000</v>
      </c>
      <c r="G379" s="55">
        <v>100000</v>
      </c>
      <c r="H379" s="60">
        <v>3500</v>
      </c>
      <c r="I379" s="60">
        <v>2100000</v>
      </c>
      <c r="J379" s="63">
        <v>2000</v>
      </c>
      <c r="K379" s="63">
        <v>2000</v>
      </c>
      <c r="L379" s="27">
        <v>0</v>
      </c>
      <c r="M379" s="27">
        <f t="shared" si="5"/>
        <v>1730</v>
      </c>
      <c r="N379" s="26">
        <v>1750</v>
      </c>
      <c r="O379" s="26">
        <v>2800</v>
      </c>
      <c r="P379" s="26">
        <v>1900</v>
      </c>
      <c r="Q379" s="26">
        <v>20</v>
      </c>
      <c r="R379" s="26">
        <v>2800</v>
      </c>
      <c r="S379" s="26">
        <v>120</v>
      </c>
      <c r="T379" s="26">
        <v>4000</v>
      </c>
      <c r="U379" s="26">
        <v>16</v>
      </c>
      <c r="V379" s="26">
        <v>32</v>
      </c>
      <c r="W379" s="26">
        <v>19</v>
      </c>
      <c r="X379" s="26">
        <v>19</v>
      </c>
      <c r="Y379" s="25" t="s">
        <v>73</v>
      </c>
      <c r="Z379" s="25" t="s">
        <v>755</v>
      </c>
      <c r="AA379" s="25" t="s">
        <v>73</v>
      </c>
      <c r="AB379" s="25" t="s">
        <v>78</v>
      </c>
      <c r="AC379" s="25" t="s">
        <v>73</v>
      </c>
      <c r="AD379" s="25" t="s">
        <v>794</v>
      </c>
      <c r="AE379" s="25"/>
      <c r="AF379" s="25"/>
      <c r="AG379" s="25" t="s">
        <v>75</v>
      </c>
      <c r="AH379" s="25" t="s">
        <v>80</v>
      </c>
      <c r="AI379" s="25"/>
      <c r="AJ379" s="25"/>
    </row>
    <row r="380" spans="1:36">
      <c r="A380" s="37">
        <v>378</v>
      </c>
      <c r="B380" s="52" t="s">
        <v>714</v>
      </c>
      <c r="C380" s="55">
        <v>5</v>
      </c>
      <c r="D380" s="55">
        <v>60000</v>
      </c>
      <c r="E380" s="55">
        <v>60000</v>
      </c>
      <c r="F380" s="55">
        <v>100000</v>
      </c>
      <c r="G380" s="55">
        <v>100000</v>
      </c>
      <c r="H380" s="60">
        <v>3500</v>
      </c>
      <c r="I380" s="60">
        <v>2100000</v>
      </c>
      <c r="J380" s="63">
        <v>2000</v>
      </c>
      <c r="K380" s="63">
        <v>2000</v>
      </c>
      <c r="L380" s="27">
        <v>0</v>
      </c>
      <c r="M380" s="27">
        <f t="shared" si="5"/>
        <v>1730</v>
      </c>
      <c r="N380" s="26">
        <v>1750</v>
      </c>
      <c r="O380" s="26">
        <v>2800</v>
      </c>
      <c r="P380" s="26">
        <v>1900</v>
      </c>
      <c r="Q380" s="26">
        <v>20</v>
      </c>
      <c r="R380" s="26">
        <v>2800</v>
      </c>
      <c r="S380" s="26">
        <v>120</v>
      </c>
      <c r="T380" s="26">
        <v>4000</v>
      </c>
      <c r="U380" s="26">
        <v>16</v>
      </c>
      <c r="V380" s="26">
        <v>32</v>
      </c>
      <c r="W380" s="26">
        <v>19</v>
      </c>
      <c r="X380" s="26">
        <v>19</v>
      </c>
      <c r="Y380" s="25" t="s">
        <v>73</v>
      </c>
      <c r="Z380" s="25" t="s">
        <v>755</v>
      </c>
      <c r="AA380" s="25" t="s">
        <v>73</v>
      </c>
      <c r="AB380" s="25" t="s">
        <v>78</v>
      </c>
      <c r="AC380" s="25" t="s">
        <v>73</v>
      </c>
      <c r="AD380" s="25" t="s">
        <v>794</v>
      </c>
      <c r="AE380" s="25"/>
      <c r="AF380" s="25"/>
      <c r="AG380" s="25" t="s">
        <v>75</v>
      </c>
      <c r="AH380" s="25" t="s">
        <v>80</v>
      </c>
      <c r="AI380" s="25"/>
      <c r="AJ380" s="25"/>
    </row>
    <row r="381" spans="1:36">
      <c r="A381" s="36">
        <v>379</v>
      </c>
      <c r="B381" s="51" t="s">
        <v>715</v>
      </c>
      <c r="C381" s="54">
        <v>5</v>
      </c>
      <c r="D381" s="54">
        <v>60000</v>
      </c>
      <c r="E381" s="54">
        <v>60000</v>
      </c>
      <c r="F381" s="54">
        <v>100000</v>
      </c>
      <c r="G381" s="54">
        <v>100000</v>
      </c>
      <c r="H381" s="59">
        <v>3500</v>
      </c>
      <c r="I381" s="59">
        <v>2100000</v>
      </c>
      <c r="J381" s="62">
        <v>2000</v>
      </c>
      <c r="K381" s="62">
        <v>2000</v>
      </c>
      <c r="L381" s="33">
        <v>0</v>
      </c>
      <c r="M381" s="33">
        <f t="shared" ref="M381:M420" si="6">N381-Q381</f>
        <v>1730</v>
      </c>
      <c r="N381" s="34">
        <v>1750</v>
      </c>
      <c r="O381" s="34">
        <v>2800</v>
      </c>
      <c r="P381" s="34">
        <v>1900</v>
      </c>
      <c r="Q381" s="34">
        <v>20</v>
      </c>
      <c r="R381" s="34">
        <v>2800</v>
      </c>
      <c r="S381" s="34">
        <v>120</v>
      </c>
      <c r="T381" s="34">
        <v>4000</v>
      </c>
      <c r="U381" s="34">
        <v>16</v>
      </c>
      <c r="V381" s="34">
        <v>40</v>
      </c>
      <c r="W381" s="34">
        <v>19</v>
      </c>
      <c r="X381" s="34">
        <v>19</v>
      </c>
      <c r="Y381" s="25" t="s">
        <v>73</v>
      </c>
      <c r="Z381" s="25" t="s">
        <v>755</v>
      </c>
      <c r="AA381" s="25" t="s">
        <v>73</v>
      </c>
      <c r="AB381" s="25" t="s">
        <v>78</v>
      </c>
      <c r="AC381" s="25" t="s">
        <v>73</v>
      </c>
      <c r="AD381" s="25" t="s">
        <v>794</v>
      </c>
      <c r="AE381" s="25"/>
      <c r="AF381" s="25"/>
      <c r="AG381" s="25" t="s">
        <v>75</v>
      </c>
      <c r="AH381" s="25" t="s">
        <v>80</v>
      </c>
      <c r="AI381" s="25"/>
      <c r="AJ381" s="25"/>
    </row>
    <row r="382" spans="1:36">
      <c r="A382" s="37">
        <v>380</v>
      </c>
      <c r="B382" s="52" t="s">
        <v>716</v>
      </c>
      <c r="C382" s="55">
        <v>4</v>
      </c>
      <c r="D382" s="55">
        <v>57301.204819277111</v>
      </c>
      <c r="E382" s="55">
        <v>57301.204819277111</v>
      </c>
      <c r="F382" s="55">
        <v>100000</v>
      </c>
      <c r="G382" s="55">
        <v>100000</v>
      </c>
      <c r="H382" s="60">
        <v>3500</v>
      </c>
      <c r="I382" s="60">
        <v>2100000</v>
      </c>
      <c r="J382" s="63">
        <v>2000</v>
      </c>
      <c r="K382" s="63">
        <v>2000</v>
      </c>
      <c r="L382" s="27">
        <v>0</v>
      </c>
      <c r="M382" s="27">
        <f t="shared" si="6"/>
        <v>1730</v>
      </c>
      <c r="N382" s="26">
        <v>1750</v>
      </c>
      <c r="O382" s="26">
        <v>2800</v>
      </c>
      <c r="P382" s="26">
        <v>1900</v>
      </c>
      <c r="Q382" s="26">
        <v>20</v>
      </c>
      <c r="R382" s="26">
        <v>2800</v>
      </c>
      <c r="S382" s="26">
        <v>120</v>
      </c>
      <c r="T382" s="26">
        <v>4000</v>
      </c>
      <c r="U382" s="26">
        <v>16</v>
      </c>
      <c r="V382" s="26">
        <v>40</v>
      </c>
      <c r="W382" s="26">
        <v>19</v>
      </c>
      <c r="X382" s="26">
        <v>19</v>
      </c>
      <c r="Y382" s="25" t="s">
        <v>73</v>
      </c>
      <c r="Z382" s="25" t="s">
        <v>755</v>
      </c>
      <c r="AA382" s="25" t="s">
        <v>73</v>
      </c>
      <c r="AB382" s="25" t="s">
        <v>78</v>
      </c>
      <c r="AC382" s="25" t="s">
        <v>73</v>
      </c>
      <c r="AD382" s="25" t="s">
        <v>794</v>
      </c>
      <c r="AE382" s="25"/>
      <c r="AF382" s="25"/>
      <c r="AG382" s="25" t="s">
        <v>75</v>
      </c>
      <c r="AH382" s="25" t="s">
        <v>80</v>
      </c>
      <c r="AI382" s="25"/>
      <c r="AJ382" s="25"/>
    </row>
    <row r="383" spans="1:36">
      <c r="A383" s="36">
        <v>381</v>
      </c>
      <c r="B383" s="52" t="s">
        <v>717</v>
      </c>
      <c r="C383" s="55">
        <v>4</v>
      </c>
      <c r="D383" s="55">
        <v>54602.409638554214</v>
      </c>
      <c r="E383" s="55">
        <v>54602.409638554214</v>
      </c>
      <c r="F383" s="55">
        <v>100000</v>
      </c>
      <c r="G383" s="55">
        <v>100000</v>
      </c>
      <c r="H383" s="60">
        <v>3500</v>
      </c>
      <c r="I383" s="60">
        <v>2100000</v>
      </c>
      <c r="J383" s="63">
        <v>2000</v>
      </c>
      <c r="K383" s="63">
        <v>2000</v>
      </c>
      <c r="L383" s="27">
        <v>0</v>
      </c>
      <c r="M383" s="27">
        <f t="shared" si="6"/>
        <v>1730</v>
      </c>
      <c r="N383" s="26">
        <v>1750</v>
      </c>
      <c r="O383" s="26">
        <v>2800</v>
      </c>
      <c r="P383" s="26">
        <v>1900</v>
      </c>
      <c r="Q383" s="26">
        <v>20</v>
      </c>
      <c r="R383" s="26">
        <v>2800</v>
      </c>
      <c r="S383" s="26">
        <v>120</v>
      </c>
      <c r="T383" s="26">
        <v>4000</v>
      </c>
      <c r="U383" s="26">
        <v>16</v>
      </c>
      <c r="V383" s="26">
        <v>40</v>
      </c>
      <c r="W383" s="26">
        <v>19</v>
      </c>
      <c r="X383" s="26">
        <v>19</v>
      </c>
      <c r="Y383" s="25" t="s">
        <v>73</v>
      </c>
      <c r="Z383" s="25" t="s">
        <v>755</v>
      </c>
      <c r="AA383" s="25" t="s">
        <v>73</v>
      </c>
      <c r="AB383" s="25" t="s">
        <v>78</v>
      </c>
      <c r="AC383" s="25" t="s">
        <v>73</v>
      </c>
      <c r="AD383" s="25" t="s">
        <v>794</v>
      </c>
      <c r="AE383" s="25"/>
      <c r="AF383" s="25"/>
      <c r="AG383" s="25" t="s">
        <v>75</v>
      </c>
      <c r="AH383" s="25" t="s">
        <v>80</v>
      </c>
      <c r="AI383" s="25"/>
      <c r="AJ383" s="25"/>
    </row>
    <row r="384" spans="1:36">
      <c r="A384" s="37">
        <v>382</v>
      </c>
      <c r="B384" s="52" t="s">
        <v>718</v>
      </c>
      <c r="C384" s="55">
        <v>4</v>
      </c>
      <c r="D384" s="55">
        <v>51903.614457831325</v>
      </c>
      <c r="E384" s="55">
        <v>51903.614457831325</v>
      </c>
      <c r="F384" s="55">
        <v>100000</v>
      </c>
      <c r="G384" s="55">
        <v>100000</v>
      </c>
      <c r="H384" s="59">
        <v>3500</v>
      </c>
      <c r="I384" s="59">
        <v>2100000</v>
      </c>
      <c r="J384" s="62">
        <v>2000</v>
      </c>
      <c r="K384" s="62">
        <v>2000</v>
      </c>
      <c r="L384" s="33">
        <v>0</v>
      </c>
      <c r="M384" s="33">
        <f t="shared" si="6"/>
        <v>1730</v>
      </c>
      <c r="N384" s="26">
        <v>1750</v>
      </c>
      <c r="O384" s="26">
        <v>2800</v>
      </c>
      <c r="P384" s="26">
        <v>1900</v>
      </c>
      <c r="Q384" s="26">
        <v>20</v>
      </c>
      <c r="R384" s="26">
        <v>2800</v>
      </c>
      <c r="S384" s="26">
        <v>120</v>
      </c>
      <c r="T384" s="26">
        <v>4000</v>
      </c>
      <c r="U384" s="26">
        <v>16</v>
      </c>
      <c r="V384" s="26">
        <v>40</v>
      </c>
      <c r="W384" s="26">
        <v>19</v>
      </c>
      <c r="X384" s="26">
        <v>19</v>
      </c>
      <c r="Y384" s="25" t="s">
        <v>73</v>
      </c>
      <c r="Z384" s="25" t="s">
        <v>755</v>
      </c>
      <c r="AA384" s="25" t="s">
        <v>73</v>
      </c>
      <c r="AB384" s="25" t="s">
        <v>78</v>
      </c>
      <c r="AC384" s="25" t="s">
        <v>73</v>
      </c>
      <c r="AD384" s="25" t="s">
        <v>794</v>
      </c>
      <c r="AE384" s="25"/>
      <c r="AF384" s="25"/>
      <c r="AG384" s="25" t="s">
        <v>75</v>
      </c>
      <c r="AH384" s="25" t="s">
        <v>80</v>
      </c>
      <c r="AI384" s="25"/>
      <c r="AJ384" s="25"/>
    </row>
    <row r="385" spans="1:36">
      <c r="A385" s="36">
        <v>383</v>
      </c>
      <c r="B385" s="51" t="s">
        <v>719</v>
      </c>
      <c r="C385" s="54">
        <v>4</v>
      </c>
      <c r="D385" s="54">
        <v>49204.819277108436</v>
      </c>
      <c r="E385" s="54">
        <v>49204.819277108436</v>
      </c>
      <c r="F385" s="54">
        <v>100000</v>
      </c>
      <c r="G385" s="54">
        <v>100000</v>
      </c>
      <c r="H385" s="60">
        <v>3500</v>
      </c>
      <c r="I385" s="60">
        <v>2100000</v>
      </c>
      <c r="J385" s="63">
        <v>2000</v>
      </c>
      <c r="K385" s="63">
        <v>2000</v>
      </c>
      <c r="L385" s="27">
        <v>0</v>
      </c>
      <c r="M385" s="27">
        <f t="shared" si="6"/>
        <v>1730</v>
      </c>
      <c r="N385" s="34">
        <v>1750</v>
      </c>
      <c r="O385" s="34">
        <v>2800</v>
      </c>
      <c r="P385" s="34">
        <v>1900</v>
      </c>
      <c r="Q385" s="34">
        <v>20</v>
      </c>
      <c r="R385" s="34">
        <v>2800</v>
      </c>
      <c r="S385" s="34">
        <v>120</v>
      </c>
      <c r="T385" s="34">
        <v>4000</v>
      </c>
      <c r="U385" s="34">
        <v>16</v>
      </c>
      <c r="V385" s="34">
        <v>40</v>
      </c>
      <c r="W385" s="34">
        <v>19</v>
      </c>
      <c r="X385" s="34">
        <v>19</v>
      </c>
      <c r="Y385" s="25" t="s">
        <v>73</v>
      </c>
      <c r="Z385" s="25" t="s">
        <v>755</v>
      </c>
      <c r="AA385" s="25" t="s">
        <v>73</v>
      </c>
      <c r="AB385" s="25" t="s">
        <v>78</v>
      </c>
      <c r="AC385" s="25" t="s">
        <v>73</v>
      </c>
      <c r="AD385" s="25" t="s">
        <v>794</v>
      </c>
      <c r="AE385" s="25"/>
      <c r="AF385" s="25"/>
      <c r="AG385" s="25" t="s">
        <v>75</v>
      </c>
      <c r="AH385" s="25" t="s">
        <v>80</v>
      </c>
      <c r="AI385" s="25"/>
      <c r="AJ385" s="25"/>
    </row>
    <row r="386" spans="1:36">
      <c r="A386" s="37">
        <v>384</v>
      </c>
      <c r="B386" s="52" t="s">
        <v>720</v>
      </c>
      <c r="C386" s="55">
        <v>4</v>
      </c>
      <c r="D386" s="55">
        <v>46506.024096385547</v>
      </c>
      <c r="E386" s="55">
        <v>46506.024096385547</v>
      </c>
      <c r="F386" s="55">
        <v>100000</v>
      </c>
      <c r="G386" s="55">
        <v>100000</v>
      </c>
      <c r="H386" s="60">
        <v>3500</v>
      </c>
      <c r="I386" s="60">
        <v>2100000</v>
      </c>
      <c r="J386" s="63">
        <v>2000</v>
      </c>
      <c r="K386" s="63">
        <v>2000</v>
      </c>
      <c r="L386" s="27">
        <v>0</v>
      </c>
      <c r="M386" s="27">
        <f t="shared" si="6"/>
        <v>1730</v>
      </c>
      <c r="N386" s="26">
        <v>1750</v>
      </c>
      <c r="O386" s="26">
        <v>2800</v>
      </c>
      <c r="P386" s="26">
        <v>1900</v>
      </c>
      <c r="Q386" s="26">
        <v>20</v>
      </c>
      <c r="R386" s="26">
        <v>2800</v>
      </c>
      <c r="S386" s="26">
        <v>120</v>
      </c>
      <c r="T386" s="26">
        <v>4000</v>
      </c>
      <c r="U386" s="26">
        <v>16</v>
      </c>
      <c r="V386" s="26">
        <v>40</v>
      </c>
      <c r="W386" s="26">
        <v>19</v>
      </c>
      <c r="X386" s="26">
        <v>19</v>
      </c>
      <c r="Y386" s="25" t="s">
        <v>73</v>
      </c>
      <c r="Z386" s="25" t="s">
        <v>755</v>
      </c>
      <c r="AA386" s="25" t="s">
        <v>73</v>
      </c>
      <c r="AB386" s="25" t="s">
        <v>78</v>
      </c>
      <c r="AC386" s="25" t="s">
        <v>73</v>
      </c>
      <c r="AD386" s="25" t="s">
        <v>794</v>
      </c>
      <c r="AE386" s="25"/>
      <c r="AF386" s="25"/>
      <c r="AG386" s="25" t="s">
        <v>75</v>
      </c>
      <c r="AH386" s="25" t="s">
        <v>80</v>
      </c>
      <c r="AI386" s="25"/>
      <c r="AJ386" s="25"/>
    </row>
    <row r="387" spans="1:36">
      <c r="A387" s="36">
        <v>385</v>
      </c>
      <c r="B387" s="52" t="s">
        <v>721</v>
      </c>
      <c r="C387" s="55">
        <v>4</v>
      </c>
      <c r="D387" s="55">
        <v>44077.108433734938</v>
      </c>
      <c r="E387" s="55">
        <v>44077.108433734938</v>
      </c>
      <c r="F387" s="55">
        <v>100000</v>
      </c>
      <c r="G387" s="55">
        <v>100000</v>
      </c>
      <c r="H387" s="59">
        <v>3500</v>
      </c>
      <c r="I387" s="59">
        <v>2100000</v>
      </c>
      <c r="J387" s="62">
        <v>2000</v>
      </c>
      <c r="K387" s="62">
        <v>2000</v>
      </c>
      <c r="L387" s="33">
        <v>0</v>
      </c>
      <c r="M387" s="33">
        <f t="shared" si="6"/>
        <v>1730</v>
      </c>
      <c r="N387" s="26">
        <v>1750</v>
      </c>
      <c r="O387" s="26">
        <v>2800</v>
      </c>
      <c r="P387" s="26">
        <v>1900</v>
      </c>
      <c r="Q387" s="26">
        <v>20</v>
      </c>
      <c r="R387" s="26">
        <v>2800</v>
      </c>
      <c r="S387" s="26">
        <v>120</v>
      </c>
      <c r="T387" s="26">
        <v>4000</v>
      </c>
      <c r="U387" s="26">
        <v>16</v>
      </c>
      <c r="V387" s="26">
        <v>40</v>
      </c>
      <c r="W387" s="26">
        <v>19</v>
      </c>
      <c r="X387" s="26">
        <v>19</v>
      </c>
      <c r="Y387" s="25" t="s">
        <v>73</v>
      </c>
      <c r="Z387" s="25" t="s">
        <v>755</v>
      </c>
      <c r="AA387" s="25" t="s">
        <v>73</v>
      </c>
      <c r="AB387" s="25" t="s">
        <v>78</v>
      </c>
      <c r="AC387" s="25" t="s">
        <v>73</v>
      </c>
      <c r="AD387" s="25" t="s">
        <v>794</v>
      </c>
      <c r="AE387" s="25"/>
      <c r="AF387" s="25"/>
      <c r="AG387" s="25" t="s">
        <v>75</v>
      </c>
      <c r="AH387" s="25" t="s">
        <v>80</v>
      </c>
      <c r="AI387" s="25"/>
      <c r="AJ387" s="25"/>
    </row>
    <row r="388" spans="1:36">
      <c r="A388" s="37">
        <v>386</v>
      </c>
      <c r="B388" s="51" t="s">
        <v>722</v>
      </c>
      <c r="C388" s="54">
        <v>4</v>
      </c>
      <c r="D388" s="54">
        <v>41378.313253012049</v>
      </c>
      <c r="E388" s="54">
        <v>41378.313253012049</v>
      </c>
      <c r="F388" s="54">
        <v>100000</v>
      </c>
      <c r="G388" s="54">
        <v>100000</v>
      </c>
      <c r="H388" s="60">
        <v>3500</v>
      </c>
      <c r="I388" s="60">
        <v>2100000</v>
      </c>
      <c r="J388" s="63">
        <v>2000</v>
      </c>
      <c r="K388" s="63">
        <v>2000</v>
      </c>
      <c r="L388" s="27">
        <v>0</v>
      </c>
      <c r="M388" s="27">
        <f t="shared" si="6"/>
        <v>1730</v>
      </c>
      <c r="N388" s="34">
        <v>1750</v>
      </c>
      <c r="O388" s="34">
        <v>2800</v>
      </c>
      <c r="P388" s="34">
        <v>1900</v>
      </c>
      <c r="Q388" s="34">
        <v>20</v>
      </c>
      <c r="R388" s="34">
        <v>2800</v>
      </c>
      <c r="S388" s="34">
        <v>120</v>
      </c>
      <c r="T388" s="34">
        <v>4000</v>
      </c>
      <c r="U388" s="34">
        <v>16</v>
      </c>
      <c r="V388" s="34">
        <v>40</v>
      </c>
      <c r="W388" s="34">
        <v>19</v>
      </c>
      <c r="X388" s="34">
        <v>19</v>
      </c>
      <c r="Y388" s="25" t="s">
        <v>73</v>
      </c>
      <c r="Z388" s="25" t="s">
        <v>755</v>
      </c>
      <c r="AA388" s="25" t="s">
        <v>73</v>
      </c>
      <c r="AB388" s="25" t="s">
        <v>78</v>
      </c>
      <c r="AC388" s="25" t="s">
        <v>73</v>
      </c>
      <c r="AD388" s="25" t="s">
        <v>794</v>
      </c>
      <c r="AE388" s="25"/>
      <c r="AF388" s="25"/>
      <c r="AG388" s="25" t="s">
        <v>75</v>
      </c>
      <c r="AH388" s="25" t="s">
        <v>80</v>
      </c>
      <c r="AI388" s="25"/>
      <c r="AJ388" s="25"/>
    </row>
    <row r="389" spans="1:36">
      <c r="A389" s="36">
        <v>387</v>
      </c>
      <c r="B389" s="52" t="s">
        <v>723</v>
      </c>
      <c r="C389" s="55">
        <v>4</v>
      </c>
      <c r="D389" s="55">
        <v>38679.518072289153</v>
      </c>
      <c r="E389" s="55">
        <v>38679.518072289153</v>
      </c>
      <c r="F389" s="55">
        <v>100000</v>
      </c>
      <c r="G389" s="55">
        <v>100000</v>
      </c>
      <c r="H389" s="60">
        <v>3500</v>
      </c>
      <c r="I389" s="60">
        <v>2100000</v>
      </c>
      <c r="J389" s="63">
        <v>2000</v>
      </c>
      <c r="K389" s="63">
        <v>2000</v>
      </c>
      <c r="L389" s="27">
        <v>0</v>
      </c>
      <c r="M389" s="27">
        <f t="shared" si="6"/>
        <v>1730</v>
      </c>
      <c r="N389" s="26">
        <v>1750</v>
      </c>
      <c r="O389" s="26">
        <v>2800</v>
      </c>
      <c r="P389" s="26">
        <v>1900</v>
      </c>
      <c r="Q389" s="26">
        <v>20</v>
      </c>
      <c r="R389" s="26">
        <v>2800</v>
      </c>
      <c r="S389" s="26">
        <v>120</v>
      </c>
      <c r="T389" s="26">
        <v>4000</v>
      </c>
      <c r="U389" s="26">
        <v>16</v>
      </c>
      <c r="V389" s="26">
        <v>40</v>
      </c>
      <c r="W389" s="26">
        <v>19</v>
      </c>
      <c r="X389" s="26">
        <v>19</v>
      </c>
      <c r="Y389" s="25" t="s">
        <v>73</v>
      </c>
      <c r="Z389" s="25" t="s">
        <v>755</v>
      </c>
      <c r="AA389" s="25" t="s">
        <v>73</v>
      </c>
      <c r="AB389" s="25" t="s">
        <v>78</v>
      </c>
      <c r="AC389" s="25" t="s">
        <v>73</v>
      </c>
      <c r="AD389" s="25" t="s">
        <v>794</v>
      </c>
      <c r="AE389" s="25"/>
      <c r="AF389" s="25"/>
      <c r="AG389" s="25" t="s">
        <v>75</v>
      </c>
      <c r="AH389" s="25" t="s">
        <v>80</v>
      </c>
      <c r="AI389" s="25"/>
      <c r="AJ389" s="25"/>
    </row>
    <row r="390" spans="1:36">
      <c r="A390" s="37">
        <v>388</v>
      </c>
      <c r="B390" s="52" t="s">
        <v>724</v>
      </c>
      <c r="C390" s="55">
        <v>4</v>
      </c>
      <c r="D390" s="55">
        <v>36385.542168674699</v>
      </c>
      <c r="E390" s="55">
        <v>36385.542168674699</v>
      </c>
      <c r="F390" s="55">
        <v>100000</v>
      </c>
      <c r="G390" s="55">
        <v>100000</v>
      </c>
      <c r="H390" s="59">
        <v>3500</v>
      </c>
      <c r="I390" s="59">
        <v>2100000</v>
      </c>
      <c r="J390" s="62">
        <v>2000</v>
      </c>
      <c r="K390" s="62">
        <v>2000</v>
      </c>
      <c r="L390" s="33">
        <v>0</v>
      </c>
      <c r="M390" s="33">
        <f t="shared" si="6"/>
        <v>1730</v>
      </c>
      <c r="N390" s="26">
        <v>1750</v>
      </c>
      <c r="O390" s="26">
        <v>2800</v>
      </c>
      <c r="P390" s="26">
        <v>1900</v>
      </c>
      <c r="Q390" s="26">
        <v>20</v>
      </c>
      <c r="R390" s="26">
        <v>2800</v>
      </c>
      <c r="S390" s="26">
        <v>120</v>
      </c>
      <c r="T390" s="26">
        <v>4000</v>
      </c>
      <c r="U390" s="26">
        <v>16</v>
      </c>
      <c r="V390" s="26">
        <v>40</v>
      </c>
      <c r="W390" s="26">
        <v>19</v>
      </c>
      <c r="X390" s="26">
        <v>19</v>
      </c>
      <c r="Y390" s="25" t="s">
        <v>73</v>
      </c>
      <c r="Z390" s="25" t="s">
        <v>755</v>
      </c>
      <c r="AA390" s="25" t="s">
        <v>73</v>
      </c>
      <c r="AB390" s="25" t="s">
        <v>78</v>
      </c>
      <c r="AC390" s="25" t="s">
        <v>73</v>
      </c>
      <c r="AD390" s="25" t="s">
        <v>794</v>
      </c>
      <c r="AE390" s="25"/>
      <c r="AF390" s="25"/>
      <c r="AG390" s="25" t="s">
        <v>75</v>
      </c>
      <c r="AH390" s="25" t="s">
        <v>80</v>
      </c>
      <c r="AI390" s="25"/>
      <c r="AJ390" s="25"/>
    </row>
    <row r="391" spans="1:36">
      <c r="A391" s="36">
        <v>389</v>
      </c>
      <c r="B391" s="50" t="s">
        <v>725</v>
      </c>
      <c r="C391" s="53">
        <v>3</v>
      </c>
      <c r="D391" s="53">
        <v>32000</v>
      </c>
      <c r="E391" s="53">
        <v>32000</v>
      </c>
      <c r="F391" s="53">
        <v>80000</v>
      </c>
      <c r="G391" s="53">
        <v>80000</v>
      </c>
      <c r="H391" s="60">
        <v>3500</v>
      </c>
      <c r="I391" s="60">
        <v>2100000</v>
      </c>
      <c r="J391" s="63">
        <v>2000</v>
      </c>
      <c r="K391" s="63">
        <v>2000</v>
      </c>
      <c r="L391" s="27">
        <v>0</v>
      </c>
      <c r="M391" s="27">
        <f t="shared" si="6"/>
        <v>1730</v>
      </c>
      <c r="N391" s="31">
        <v>1750</v>
      </c>
      <c r="O391" s="31">
        <v>2800</v>
      </c>
      <c r="P391" s="31">
        <v>1900</v>
      </c>
      <c r="Q391" s="31">
        <v>20</v>
      </c>
      <c r="R391" s="31">
        <v>2800</v>
      </c>
      <c r="S391" s="31">
        <v>120</v>
      </c>
      <c r="T391" s="31">
        <v>4000</v>
      </c>
      <c r="U391" s="31">
        <v>16</v>
      </c>
      <c r="V391" s="31">
        <v>40</v>
      </c>
      <c r="W391" s="31">
        <v>19</v>
      </c>
      <c r="X391" s="31">
        <v>19</v>
      </c>
      <c r="Y391" s="25" t="s">
        <v>73</v>
      </c>
      <c r="Z391" s="25" t="s">
        <v>755</v>
      </c>
      <c r="AA391" s="25" t="s">
        <v>73</v>
      </c>
      <c r="AB391" s="25" t="s">
        <v>78</v>
      </c>
      <c r="AC391" s="25" t="s">
        <v>73</v>
      </c>
      <c r="AD391" s="25" t="s">
        <v>794</v>
      </c>
      <c r="AE391" s="25"/>
      <c r="AF391" s="25"/>
      <c r="AG391" s="25" t="s">
        <v>75</v>
      </c>
      <c r="AH391" s="25" t="s">
        <v>80</v>
      </c>
      <c r="AI391" s="25"/>
      <c r="AJ391" s="25"/>
    </row>
    <row r="392" spans="1:36">
      <c r="A392" s="37">
        <v>390</v>
      </c>
      <c r="B392" s="52" t="s">
        <v>726</v>
      </c>
      <c r="C392" s="55">
        <v>2</v>
      </c>
      <c r="D392" s="55">
        <v>35924.528301886792</v>
      </c>
      <c r="E392" s="55">
        <v>35924.528301886792</v>
      </c>
      <c r="F392" s="55">
        <v>60000</v>
      </c>
      <c r="G392" s="55">
        <v>60000</v>
      </c>
      <c r="H392" s="60">
        <v>3500</v>
      </c>
      <c r="I392" s="60">
        <v>2100000</v>
      </c>
      <c r="J392" s="63">
        <v>2000</v>
      </c>
      <c r="K392" s="63">
        <v>2000</v>
      </c>
      <c r="L392" s="27">
        <v>0</v>
      </c>
      <c r="M392" s="27">
        <f t="shared" si="6"/>
        <v>1730</v>
      </c>
      <c r="N392" s="26">
        <v>1750</v>
      </c>
      <c r="O392" s="26">
        <v>2800</v>
      </c>
      <c r="P392" s="26">
        <v>1900</v>
      </c>
      <c r="Q392" s="26">
        <v>20</v>
      </c>
      <c r="R392" s="26">
        <v>2800</v>
      </c>
      <c r="S392" s="26">
        <v>120</v>
      </c>
      <c r="T392" s="26">
        <v>4000</v>
      </c>
      <c r="U392" s="26">
        <v>16</v>
      </c>
      <c r="V392" s="26">
        <v>40</v>
      </c>
      <c r="W392" s="26">
        <v>19</v>
      </c>
      <c r="X392" s="26">
        <v>19</v>
      </c>
      <c r="Y392" s="25" t="s">
        <v>73</v>
      </c>
      <c r="Z392" s="25" t="s">
        <v>755</v>
      </c>
      <c r="AA392" s="25" t="s">
        <v>73</v>
      </c>
      <c r="AB392" s="25" t="s">
        <v>78</v>
      </c>
      <c r="AC392" s="25" t="s">
        <v>73</v>
      </c>
      <c r="AD392" s="25" t="s">
        <v>794</v>
      </c>
      <c r="AE392" s="25"/>
      <c r="AF392" s="25"/>
      <c r="AG392" s="25" t="s">
        <v>75</v>
      </c>
      <c r="AH392" s="25" t="s">
        <v>80</v>
      </c>
      <c r="AI392" s="25"/>
      <c r="AJ392" s="25"/>
    </row>
    <row r="393" spans="1:36">
      <c r="A393" s="36">
        <v>391</v>
      </c>
      <c r="B393" s="52" t="s">
        <v>727</v>
      </c>
      <c r="C393" s="55">
        <v>2</v>
      </c>
      <c r="D393" s="55">
        <v>38339.622641509435</v>
      </c>
      <c r="E393" s="55">
        <v>38339.622641509435</v>
      </c>
      <c r="F393" s="55">
        <v>60000</v>
      </c>
      <c r="G393" s="55">
        <v>60000</v>
      </c>
      <c r="H393" s="59">
        <v>3500</v>
      </c>
      <c r="I393" s="59">
        <v>2100000</v>
      </c>
      <c r="J393" s="62">
        <v>2000</v>
      </c>
      <c r="K393" s="62">
        <v>2000</v>
      </c>
      <c r="L393" s="33">
        <v>0</v>
      </c>
      <c r="M393" s="33">
        <f t="shared" si="6"/>
        <v>1730</v>
      </c>
      <c r="N393" s="26">
        <v>1750</v>
      </c>
      <c r="O393" s="26">
        <v>2800</v>
      </c>
      <c r="P393" s="26">
        <v>1900</v>
      </c>
      <c r="Q393" s="26">
        <v>20</v>
      </c>
      <c r="R393" s="26">
        <v>2800</v>
      </c>
      <c r="S393" s="26">
        <v>120</v>
      </c>
      <c r="T393" s="26">
        <v>4000</v>
      </c>
      <c r="U393" s="26">
        <v>16</v>
      </c>
      <c r="V393" s="26">
        <v>40</v>
      </c>
      <c r="W393" s="26">
        <v>19</v>
      </c>
      <c r="X393" s="26">
        <v>19</v>
      </c>
      <c r="Y393" s="25" t="s">
        <v>73</v>
      </c>
      <c r="Z393" s="25" t="s">
        <v>755</v>
      </c>
      <c r="AA393" s="25" t="s">
        <v>73</v>
      </c>
      <c r="AB393" s="25" t="s">
        <v>78</v>
      </c>
      <c r="AC393" s="25" t="s">
        <v>73</v>
      </c>
      <c r="AD393" s="25" t="s">
        <v>794</v>
      </c>
      <c r="AE393" s="25"/>
      <c r="AF393" s="25"/>
      <c r="AG393" s="25" t="s">
        <v>75</v>
      </c>
      <c r="AH393" s="25" t="s">
        <v>80</v>
      </c>
      <c r="AI393" s="25"/>
      <c r="AJ393" s="25"/>
    </row>
    <row r="394" spans="1:36">
      <c r="A394" s="37">
        <v>392</v>
      </c>
      <c r="B394" s="52" t="s">
        <v>728</v>
      </c>
      <c r="C394" s="55">
        <v>2</v>
      </c>
      <c r="D394" s="55">
        <v>40754.716981132078</v>
      </c>
      <c r="E394" s="55">
        <v>40754.716981132078</v>
      </c>
      <c r="F394" s="55">
        <v>60000</v>
      </c>
      <c r="G394" s="55">
        <v>60000</v>
      </c>
      <c r="H394" s="60">
        <v>3500</v>
      </c>
      <c r="I394" s="60">
        <v>2100000</v>
      </c>
      <c r="J394" s="63">
        <v>2000</v>
      </c>
      <c r="K394" s="63">
        <v>2000</v>
      </c>
      <c r="L394" s="27">
        <v>0</v>
      </c>
      <c r="M394" s="27">
        <f t="shared" si="6"/>
        <v>1730</v>
      </c>
      <c r="N394" s="26">
        <v>1750</v>
      </c>
      <c r="O394" s="26">
        <v>2800</v>
      </c>
      <c r="P394" s="26">
        <v>1900</v>
      </c>
      <c r="Q394" s="26">
        <v>20</v>
      </c>
      <c r="R394" s="26">
        <v>2800</v>
      </c>
      <c r="S394" s="26">
        <v>120</v>
      </c>
      <c r="T394" s="26">
        <v>4000</v>
      </c>
      <c r="U394" s="26">
        <v>16</v>
      </c>
      <c r="V394" s="26">
        <v>40</v>
      </c>
      <c r="W394" s="26">
        <v>19</v>
      </c>
      <c r="X394" s="26">
        <v>19</v>
      </c>
      <c r="Y394" s="25" t="s">
        <v>73</v>
      </c>
      <c r="Z394" s="25" t="s">
        <v>755</v>
      </c>
      <c r="AA394" s="25" t="s">
        <v>73</v>
      </c>
      <c r="AB394" s="25" t="s">
        <v>78</v>
      </c>
      <c r="AC394" s="25" t="s">
        <v>73</v>
      </c>
      <c r="AD394" s="25" t="s">
        <v>794</v>
      </c>
      <c r="AE394" s="25"/>
      <c r="AF394" s="25"/>
      <c r="AG394" s="25" t="s">
        <v>75</v>
      </c>
      <c r="AH394" s="25" t="s">
        <v>80</v>
      </c>
      <c r="AI394" s="25"/>
      <c r="AJ394" s="25"/>
    </row>
    <row r="395" spans="1:36">
      <c r="A395" s="36">
        <v>393</v>
      </c>
      <c r="B395" s="51" t="s">
        <v>729</v>
      </c>
      <c r="C395" s="54">
        <v>2</v>
      </c>
      <c r="D395" s="54">
        <v>43169.811320754714</v>
      </c>
      <c r="E395" s="54">
        <v>43169.811320754714</v>
      </c>
      <c r="F395" s="54">
        <v>60000</v>
      </c>
      <c r="G395" s="54">
        <v>60000</v>
      </c>
      <c r="H395" s="60">
        <v>3500</v>
      </c>
      <c r="I395" s="60">
        <v>2100000</v>
      </c>
      <c r="J395" s="63">
        <v>2000</v>
      </c>
      <c r="K395" s="63">
        <v>2000</v>
      </c>
      <c r="L395" s="27">
        <v>0</v>
      </c>
      <c r="M395" s="27">
        <f t="shared" si="6"/>
        <v>1730</v>
      </c>
      <c r="N395" s="34">
        <v>1750</v>
      </c>
      <c r="O395" s="34">
        <v>2800</v>
      </c>
      <c r="P395" s="34">
        <v>1900</v>
      </c>
      <c r="Q395" s="34">
        <v>20</v>
      </c>
      <c r="R395" s="34">
        <v>2800</v>
      </c>
      <c r="S395" s="34">
        <v>120</v>
      </c>
      <c r="T395" s="34">
        <v>4000</v>
      </c>
      <c r="U395" s="34">
        <v>16</v>
      </c>
      <c r="V395" s="34">
        <v>40</v>
      </c>
      <c r="W395" s="34">
        <v>19</v>
      </c>
      <c r="X395" s="34">
        <v>19</v>
      </c>
      <c r="Y395" s="25" t="s">
        <v>73</v>
      </c>
      <c r="Z395" s="25" t="s">
        <v>755</v>
      </c>
      <c r="AA395" s="25" t="s">
        <v>73</v>
      </c>
      <c r="AB395" s="25" t="s">
        <v>78</v>
      </c>
      <c r="AC395" s="25" t="s">
        <v>73</v>
      </c>
      <c r="AD395" s="25" t="s">
        <v>794</v>
      </c>
      <c r="AE395" s="25"/>
      <c r="AF395" s="25"/>
      <c r="AG395" s="25" t="s">
        <v>75</v>
      </c>
      <c r="AH395" s="25" t="s">
        <v>80</v>
      </c>
      <c r="AI395" s="25"/>
      <c r="AJ395" s="25"/>
    </row>
    <row r="396" spans="1:36">
      <c r="A396" s="37">
        <v>394</v>
      </c>
      <c r="B396" s="52" t="s">
        <v>730</v>
      </c>
      <c r="C396" s="55">
        <v>2</v>
      </c>
      <c r="D396" s="55">
        <v>45584.905660377357</v>
      </c>
      <c r="E396" s="55">
        <v>45584.905660377357</v>
      </c>
      <c r="F396" s="55">
        <v>60000</v>
      </c>
      <c r="G396" s="55">
        <v>60000</v>
      </c>
      <c r="H396" s="59">
        <v>3500</v>
      </c>
      <c r="I396" s="59">
        <v>2100000</v>
      </c>
      <c r="J396" s="62">
        <v>2000</v>
      </c>
      <c r="K396" s="62">
        <v>2000</v>
      </c>
      <c r="L396" s="33">
        <v>0</v>
      </c>
      <c r="M396" s="33">
        <f t="shared" si="6"/>
        <v>1730</v>
      </c>
      <c r="N396" s="26">
        <v>1750</v>
      </c>
      <c r="O396" s="26">
        <v>2800</v>
      </c>
      <c r="P396" s="26">
        <v>1900</v>
      </c>
      <c r="Q396" s="26">
        <v>20</v>
      </c>
      <c r="R396" s="26">
        <v>2800</v>
      </c>
      <c r="S396" s="26">
        <v>120</v>
      </c>
      <c r="T396" s="26">
        <v>4000</v>
      </c>
      <c r="U396" s="26">
        <v>16</v>
      </c>
      <c r="V396" s="26">
        <v>40</v>
      </c>
      <c r="W396" s="26">
        <v>19</v>
      </c>
      <c r="X396" s="26">
        <v>19</v>
      </c>
      <c r="Y396" s="25" t="s">
        <v>73</v>
      </c>
      <c r="Z396" s="25" t="s">
        <v>755</v>
      </c>
      <c r="AA396" s="25" t="s">
        <v>73</v>
      </c>
      <c r="AB396" s="25" t="s">
        <v>78</v>
      </c>
      <c r="AC396" s="25" t="s">
        <v>73</v>
      </c>
      <c r="AD396" s="25" t="s">
        <v>794</v>
      </c>
      <c r="AE396" s="25"/>
      <c r="AF396" s="25"/>
      <c r="AG396" s="25" t="s">
        <v>75</v>
      </c>
      <c r="AH396" s="25" t="s">
        <v>80</v>
      </c>
      <c r="AI396" s="25"/>
      <c r="AJ396" s="25"/>
    </row>
    <row r="397" spans="1:36">
      <c r="A397" s="36">
        <v>395</v>
      </c>
      <c r="B397" s="52" t="s">
        <v>731</v>
      </c>
      <c r="C397" s="55">
        <v>1</v>
      </c>
      <c r="D397" s="55">
        <v>48000</v>
      </c>
      <c r="E397" s="55">
        <v>48000</v>
      </c>
      <c r="F397" s="55">
        <v>60000</v>
      </c>
      <c r="G397" s="55">
        <v>60000</v>
      </c>
      <c r="H397" s="60">
        <v>3500</v>
      </c>
      <c r="I397" s="60">
        <v>2100000</v>
      </c>
      <c r="J397" s="63">
        <v>2000</v>
      </c>
      <c r="K397" s="63">
        <v>2000</v>
      </c>
      <c r="L397" s="27">
        <v>0</v>
      </c>
      <c r="M397" s="27">
        <f t="shared" si="6"/>
        <v>1730</v>
      </c>
      <c r="N397" s="26">
        <v>1750</v>
      </c>
      <c r="O397" s="26">
        <v>2800</v>
      </c>
      <c r="P397" s="26">
        <v>1900</v>
      </c>
      <c r="Q397" s="26">
        <v>20</v>
      </c>
      <c r="R397" s="26">
        <v>2800</v>
      </c>
      <c r="S397" s="26">
        <v>120</v>
      </c>
      <c r="T397" s="26">
        <v>4000</v>
      </c>
      <c r="U397" s="26">
        <v>16</v>
      </c>
      <c r="V397" s="26">
        <v>40</v>
      </c>
      <c r="W397" s="26">
        <v>19</v>
      </c>
      <c r="X397" s="26">
        <v>19</v>
      </c>
      <c r="Y397" s="25" t="s">
        <v>73</v>
      </c>
      <c r="Z397" s="25" t="s">
        <v>755</v>
      </c>
      <c r="AA397" s="25" t="s">
        <v>73</v>
      </c>
      <c r="AB397" s="25" t="s">
        <v>78</v>
      </c>
      <c r="AC397" s="25" t="s">
        <v>73</v>
      </c>
      <c r="AD397" s="25" t="s">
        <v>794</v>
      </c>
      <c r="AE397" s="25"/>
      <c r="AF397" s="25"/>
      <c r="AG397" s="25" t="s">
        <v>75</v>
      </c>
      <c r="AH397" s="25" t="s">
        <v>80</v>
      </c>
      <c r="AI397" s="25"/>
      <c r="AJ397" s="25"/>
    </row>
    <row r="398" spans="1:36">
      <c r="A398" s="37">
        <v>396</v>
      </c>
      <c r="B398" s="52" t="s">
        <v>732</v>
      </c>
      <c r="C398" s="55">
        <v>1</v>
      </c>
      <c r="D398" s="55">
        <v>48000</v>
      </c>
      <c r="E398" s="55">
        <v>48000</v>
      </c>
      <c r="F398" s="55">
        <v>60000</v>
      </c>
      <c r="G398" s="55">
        <v>60000</v>
      </c>
      <c r="H398" s="60">
        <v>3500</v>
      </c>
      <c r="I398" s="60">
        <v>2100000</v>
      </c>
      <c r="J398" s="63">
        <v>2000</v>
      </c>
      <c r="K398" s="63">
        <v>2000</v>
      </c>
      <c r="L398" s="27">
        <v>0</v>
      </c>
      <c r="M398" s="27">
        <f t="shared" si="6"/>
        <v>1730</v>
      </c>
      <c r="N398" s="26">
        <v>1750</v>
      </c>
      <c r="O398" s="26">
        <v>2800</v>
      </c>
      <c r="P398" s="26">
        <v>1900</v>
      </c>
      <c r="Q398" s="26">
        <v>20</v>
      </c>
      <c r="R398" s="26">
        <v>2800</v>
      </c>
      <c r="S398" s="26">
        <v>120</v>
      </c>
      <c r="T398" s="26">
        <v>4000</v>
      </c>
      <c r="U398" s="26">
        <v>16</v>
      </c>
      <c r="V398" s="26">
        <v>40</v>
      </c>
      <c r="W398" s="26">
        <v>19</v>
      </c>
      <c r="X398" s="26">
        <v>19</v>
      </c>
      <c r="Y398" s="25" t="s">
        <v>73</v>
      </c>
      <c r="Z398" s="25" t="s">
        <v>755</v>
      </c>
      <c r="AA398" s="25" t="s">
        <v>73</v>
      </c>
      <c r="AB398" s="25" t="s">
        <v>78</v>
      </c>
      <c r="AC398" s="25" t="s">
        <v>73</v>
      </c>
      <c r="AD398" s="25" t="s">
        <v>794</v>
      </c>
      <c r="AE398" s="25"/>
      <c r="AF398" s="25"/>
      <c r="AG398" s="25" t="s">
        <v>75</v>
      </c>
      <c r="AH398" s="25" t="s">
        <v>80</v>
      </c>
      <c r="AI398" s="25"/>
      <c r="AJ398" s="25"/>
    </row>
    <row r="399" spans="1:36">
      <c r="A399" s="36">
        <v>397</v>
      </c>
      <c r="B399" s="51" t="s">
        <v>733</v>
      </c>
      <c r="C399" s="54">
        <v>1</v>
      </c>
      <c r="D399" s="54">
        <v>48000</v>
      </c>
      <c r="E399" s="54">
        <v>48000</v>
      </c>
      <c r="F399" s="54">
        <v>60000</v>
      </c>
      <c r="G399" s="54">
        <v>60000</v>
      </c>
      <c r="H399" s="59">
        <v>3500</v>
      </c>
      <c r="I399" s="59">
        <v>2100000</v>
      </c>
      <c r="J399" s="62">
        <v>2000</v>
      </c>
      <c r="K399" s="62">
        <v>2000</v>
      </c>
      <c r="L399" s="33">
        <v>0</v>
      </c>
      <c r="M399" s="33">
        <f t="shared" si="6"/>
        <v>1730</v>
      </c>
      <c r="N399" s="34">
        <v>1750</v>
      </c>
      <c r="O399" s="34">
        <v>2800</v>
      </c>
      <c r="P399" s="34">
        <v>1900</v>
      </c>
      <c r="Q399" s="34">
        <v>20</v>
      </c>
      <c r="R399" s="34">
        <v>2800</v>
      </c>
      <c r="S399" s="34">
        <v>120</v>
      </c>
      <c r="T399" s="34">
        <v>4000</v>
      </c>
      <c r="U399" s="34">
        <v>16</v>
      </c>
      <c r="V399" s="34">
        <v>40</v>
      </c>
      <c r="W399" s="34">
        <v>19</v>
      </c>
      <c r="X399" s="34">
        <v>19</v>
      </c>
      <c r="Y399" s="25" t="s">
        <v>73</v>
      </c>
      <c r="Z399" s="25" t="s">
        <v>755</v>
      </c>
      <c r="AA399" s="25" t="s">
        <v>73</v>
      </c>
      <c r="AB399" s="25" t="s">
        <v>78</v>
      </c>
      <c r="AC399" s="25" t="s">
        <v>73</v>
      </c>
      <c r="AD399" s="25" t="s">
        <v>794</v>
      </c>
      <c r="AE399" s="25"/>
      <c r="AF399" s="25"/>
      <c r="AG399" s="25" t="s">
        <v>75</v>
      </c>
      <c r="AH399" s="25" t="s">
        <v>80</v>
      </c>
      <c r="AI399" s="25"/>
      <c r="AJ399" s="25"/>
    </row>
    <row r="400" spans="1:36">
      <c r="A400" s="37">
        <v>398</v>
      </c>
      <c r="B400" s="52" t="s">
        <v>734</v>
      </c>
      <c r="C400" s="55">
        <v>1</v>
      </c>
      <c r="D400" s="55">
        <v>48000</v>
      </c>
      <c r="E400" s="55">
        <v>48000</v>
      </c>
      <c r="F400" s="55">
        <v>60000</v>
      </c>
      <c r="G400" s="55">
        <v>60000</v>
      </c>
      <c r="H400" s="60">
        <v>3500</v>
      </c>
      <c r="I400" s="60">
        <v>2100000</v>
      </c>
      <c r="J400" s="63">
        <v>2000</v>
      </c>
      <c r="K400" s="63">
        <v>2000</v>
      </c>
      <c r="L400" s="27">
        <v>0</v>
      </c>
      <c r="M400" s="27">
        <f t="shared" si="6"/>
        <v>1730</v>
      </c>
      <c r="N400" s="26">
        <v>1750</v>
      </c>
      <c r="O400" s="26">
        <v>2800</v>
      </c>
      <c r="P400" s="26">
        <v>1900</v>
      </c>
      <c r="Q400" s="26">
        <v>20</v>
      </c>
      <c r="R400" s="26">
        <v>2800</v>
      </c>
      <c r="S400" s="26">
        <v>120</v>
      </c>
      <c r="T400" s="26">
        <v>4000</v>
      </c>
      <c r="U400" s="26">
        <v>16</v>
      </c>
      <c r="V400" s="26">
        <v>32</v>
      </c>
      <c r="W400" s="26">
        <v>19</v>
      </c>
      <c r="X400" s="26">
        <v>19</v>
      </c>
      <c r="Y400" s="25" t="s">
        <v>73</v>
      </c>
      <c r="Z400" s="25" t="s">
        <v>755</v>
      </c>
      <c r="AA400" s="25" t="s">
        <v>73</v>
      </c>
      <c r="AB400" s="25" t="s">
        <v>78</v>
      </c>
      <c r="AC400" s="25" t="s">
        <v>73</v>
      </c>
      <c r="AD400" s="25" t="s">
        <v>794</v>
      </c>
      <c r="AE400" s="25"/>
      <c r="AF400" s="25"/>
      <c r="AG400" s="25" t="s">
        <v>75</v>
      </c>
      <c r="AH400" s="25" t="s">
        <v>80</v>
      </c>
      <c r="AI400" s="25"/>
      <c r="AJ400" s="25"/>
    </row>
    <row r="401" spans="1:36">
      <c r="A401" s="36">
        <v>399</v>
      </c>
      <c r="B401" s="52" t="s">
        <v>735</v>
      </c>
      <c r="C401" s="55">
        <v>1</v>
      </c>
      <c r="D401" s="55">
        <v>48000</v>
      </c>
      <c r="E401" s="55">
        <v>48000</v>
      </c>
      <c r="F401" s="55">
        <v>60000</v>
      </c>
      <c r="G401" s="55">
        <v>60000</v>
      </c>
      <c r="H401" s="60">
        <v>3500</v>
      </c>
      <c r="I401" s="60">
        <v>2100000</v>
      </c>
      <c r="J401" s="63">
        <v>2000</v>
      </c>
      <c r="K401" s="63">
        <v>2000</v>
      </c>
      <c r="L401" s="27">
        <v>0</v>
      </c>
      <c r="M401" s="27">
        <f t="shared" si="6"/>
        <v>1730</v>
      </c>
      <c r="N401" s="26">
        <v>1750</v>
      </c>
      <c r="O401" s="26">
        <v>2800</v>
      </c>
      <c r="P401" s="26">
        <v>1900</v>
      </c>
      <c r="Q401" s="26">
        <v>20</v>
      </c>
      <c r="R401" s="26">
        <v>2800</v>
      </c>
      <c r="S401" s="26">
        <v>120</v>
      </c>
      <c r="T401" s="26">
        <v>4000</v>
      </c>
      <c r="U401" s="26">
        <v>16</v>
      </c>
      <c r="V401" s="26">
        <v>32</v>
      </c>
      <c r="W401" s="26">
        <v>19</v>
      </c>
      <c r="X401" s="26">
        <v>19</v>
      </c>
      <c r="Y401" s="25" t="s">
        <v>73</v>
      </c>
      <c r="Z401" s="25" t="s">
        <v>755</v>
      </c>
      <c r="AA401" s="25" t="s">
        <v>73</v>
      </c>
      <c r="AB401" s="25" t="s">
        <v>78</v>
      </c>
      <c r="AC401" s="25" t="s">
        <v>73</v>
      </c>
      <c r="AD401" s="25" t="s">
        <v>794</v>
      </c>
      <c r="AE401" s="25"/>
      <c r="AF401" s="25"/>
      <c r="AG401" s="25" t="s">
        <v>75</v>
      </c>
      <c r="AH401" s="25" t="s">
        <v>80</v>
      </c>
      <c r="AI401" s="25"/>
      <c r="AJ401" s="25"/>
    </row>
    <row r="402" spans="1:36">
      <c r="A402" s="37">
        <v>400</v>
      </c>
      <c r="B402" s="52" t="s">
        <v>736</v>
      </c>
      <c r="C402" s="55">
        <v>1</v>
      </c>
      <c r="D402" s="55">
        <v>48000</v>
      </c>
      <c r="E402" s="55">
        <v>48000</v>
      </c>
      <c r="F402" s="55">
        <v>60000</v>
      </c>
      <c r="G402" s="55">
        <v>60000</v>
      </c>
      <c r="H402" s="59">
        <v>3500</v>
      </c>
      <c r="I402" s="59">
        <v>2100000</v>
      </c>
      <c r="J402" s="62">
        <v>2000</v>
      </c>
      <c r="K402" s="62">
        <v>2000</v>
      </c>
      <c r="L402" s="33">
        <v>0</v>
      </c>
      <c r="M402" s="33">
        <f t="shared" si="6"/>
        <v>1730</v>
      </c>
      <c r="N402" s="26">
        <v>1750</v>
      </c>
      <c r="O402" s="26">
        <v>2800</v>
      </c>
      <c r="P402" s="26">
        <v>1900</v>
      </c>
      <c r="Q402" s="26">
        <v>20</v>
      </c>
      <c r="R402" s="26">
        <v>2800</v>
      </c>
      <c r="S402" s="26">
        <v>120</v>
      </c>
      <c r="T402" s="26">
        <v>4000</v>
      </c>
      <c r="U402" s="26">
        <v>16</v>
      </c>
      <c r="V402" s="26">
        <v>32</v>
      </c>
      <c r="W402" s="26">
        <v>19</v>
      </c>
      <c r="X402" s="26">
        <v>19</v>
      </c>
      <c r="Y402" s="25" t="s">
        <v>73</v>
      </c>
      <c r="Z402" s="25" t="s">
        <v>755</v>
      </c>
      <c r="AA402" s="25" t="s">
        <v>73</v>
      </c>
      <c r="AB402" s="25" t="s">
        <v>78</v>
      </c>
      <c r="AC402" s="25" t="s">
        <v>73</v>
      </c>
      <c r="AD402" s="25" t="s">
        <v>794</v>
      </c>
      <c r="AE402" s="25"/>
      <c r="AF402" s="25"/>
      <c r="AG402" s="25" t="s">
        <v>75</v>
      </c>
      <c r="AH402" s="25" t="s">
        <v>80</v>
      </c>
      <c r="AI402" s="25"/>
      <c r="AJ402" s="25"/>
    </row>
    <row r="403" spans="1:36">
      <c r="A403" s="36">
        <v>401</v>
      </c>
      <c r="B403" s="51" t="s">
        <v>737</v>
      </c>
      <c r="C403" s="54">
        <v>1</v>
      </c>
      <c r="D403" s="54">
        <v>48000</v>
      </c>
      <c r="E403" s="54">
        <v>48000</v>
      </c>
      <c r="F403" s="54">
        <v>60000</v>
      </c>
      <c r="G403" s="54">
        <v>60000</v>
      </c>
      <c r="H403" s="60">
        <v>3500</v>
      </c>
      <c r="I403" s="60">
        <v>2100000</v>
      </c>
      <c r="J403" s="63">
        <v>2000</v>
      </c>
      <c r="K403" s="63">
        <v>2000</v>
      </c>
      <c r="L403" s="27">
        <v>0</v>
      </c>
      <c r="M403" s="27">
        <f t="shared" si="6"/>
        <v>1730</v>
      </c>
      <c r="N403" s="34">
        <v>1750</v>
      </c>
      <c r="O403" s="34">
        <v>2800</v>
      </c>
      <c r="P403" s="34">
        <v>1900</v>
      </c>
      <c r="Q403" s="34">
        <v>20</v>
      </c>
      <c r="R403" s="34">
        <v>2800</v>
      </c>
      <c r="S403" s="34">
        <v>120</v>
      </c>
      <c r="T403" s="34">
        <v>4000</v>
      </c>
      <c r="U403" s="34">
        <v>16</v>
      </c>
      <c r="V403" s="34">
        <v>32</v>
      </c>
      <c r="W403" s="34">
        <v>19</v>
      </c>
      <c r="X403" s="34">
        <v>19</v>
      </c>
      <c r="Y403" s="25" t="s">
        <v>73</v>
      </c>
      <c r="Z403" s="25" t="s">
        <v>755</v>
      </c>
      <c r="AA403" s="25" t="s">
        <v>73</v>
      </c>
      <c r="AB403" s="25" t="s">
        <v>78</v>
      </c>
      <c r="AC403" s="25" t="s">
        <v>73</v>
      </c>
      <c r="AD403" s="25" t="s">
        <v>794</v>
      </c>
      <c r="AE403" s="25"/>
      <c r="AF403" s="25"/>
      <c r="AG403" s="25" t="s">
        <v>75</v>
      </c>
      <c r="AH403" s="25" t="s">
        <v>80</v>
      </c>
      <c r="AI403" s="25"/>
      <c r="AJ403" s="25"/>
    </row>
    <row r="404" spans="1:36">
      <c r="A404" s="37">
        <v>402</v>
      </c>
      <c r="B404" s="52" t="s">
        <v>738</v>
      </c>
      <c r="C404" s="55">
        <v>1</v>
      </c>
      <c r="D404" s="55">
        <v>48000</v>
      </c>
      <c r="E404" s="55">
        <v>48000</v>
      </c>
      <c r="F404" s="55">
        <v>60000</v>
      </c>
      <c r="G404" s="55">
        <v>60000</v>
      </c>
      <c r="H404" s="60">
        <v>3500</v>
      </c>
      <c r="I404" s="60">
        <v>2100000</v>
      </c>
      <c r="J404" s="63">
        <v>2000</v>
      </c>
      <c r="K404" s="63">
        <v>2000</v>
      </c>
      <c r="L404" s="27">
        <v>0</v>
      </c>
      <c r="M404" s="27">
        <f t="shared" si="6"/>
        <v>1730</v>
      </c>
      <c r="N404" s="26">
        <v>1750</v>
      </c>
      <c r="O404" s="26">
        <v>2800</v>
      </c>
      <c r="P404" s="26">
        <v>1900</v>
      </c>
      <c r="Q404" s="26">
        <v>20</v>
      </c>
      <c r="R404" s="26">
        <v>2800</v>
      </c>
      <c r="S404" s="26">
        <v>120</v>
      </c>
      <c r="T404" s="26">
        <v>4000</v>
      </c>
      <c r="U404" s="26">
        <v>16</v>
      </c>
      <c r="V404" s="26">
        <v>32</v>
      </c>
      <c r="W404" s="26">
        <v>19</v>
      </c>
      <c r="X404" s="26">
        <v>19</v>
      </c>
      <c r="Y404" s="25" t="s">
        <v>73</v>
      </c>
      <c r="Z404" s="25" t="s">
        <v>755</v>
      </c>
      <c r="AA404" s="25" t="s">
        <v>73</v>
      </c>
      <c r="AB404" s="25" t="s">
        <v>78</v>
      </c>
      <c r="AC404" s="25" t="s">
        <v>73</v>
      </c>
      <c r="AD404" s="25" t="s">
        <v>794</v>
      </c>
      <c r="AE404" s="25"/>
      <c r="AF404" s="25"/>
      <c r="AG404" s="25" t="s">
        <v>75</v>
      </c>
      <c r="AH404" s="25" t="s">
        <v>80</v>
      </c>
      <c r="AI404" s="25"/>
      <c r="AJ404" s="25"/>
    </row>
    <row r="405" spans="1:36">
      <c r="A405" s="36">
        <v>403</v>
      </c>
      <c r="B405" s="52" t="s">
        <v>739</v>
      </c>
      <c r="C405" s="55">
        <v>1</v>
      </c>
      <c r="D405" s="55">
        <v>48000</v>
      </c>
      <c r="E405" s="55">
        <v>48000</v>
      </c>
      <c r="F405" s="55">
        <v>60000</v>
      </c>
      <c r="G405" s="55">
        <v>60000</v>
      </c>
      <c r="H405" s="59">
        <v>3500</v>
      </c>
      <c r="I405" s="59">
        <v>2100000</v>
      </c>
      <c r="J405" s="62">
        <v>2000</v>
      </c>
      <c r="K405" s="62">
        <v>2000</v>
      </c>
      <c r="L405" s="33">
        <v>0</v>
      </c>
      <c r="M405" s="33">
        <f t="shared" si="6"/>
        <v>1730</v>
      </c>
      <c r="N405" s="26">
        <v>1750</v>
      </c>
      <c r="O405" s="26">
        <v>2800</v>
      </c>
      <c r="P405" s="26">
        <v>1900</v>
      </c>
      <c r="Q405" s="26">
        <v>20</v>
      </c>
      <c r="R405" s="26">
        <v>2800</v>
      </c>
      <c r="S405" s="26">
        <v>120</v>
      </c>
      <c r="T405" s="26">
        <v>4000</v>
      </c>
      <c r="U405" s="26">
        <v>16</v>
      </c>
      <c r="V405" s="26">
        <v>32</v>
      </c>
      <c r="W405" s="26">
        <v>19</v>
      </c>
      <c r="X405" s="26">
        <v>19</v>
      </c>
      <c r="Y405" s="25" t="s">
        <v>73</v>
      </c>
      <c r="Z405" s="25" t="s">
        <v>755</v>
      </c>
      <c r="AA405" s="25" t="s">
        <v>73</v>
      </c>
      <c r="AB405" s="25" t="s">
        <v>78</v>
      </c>
      <c r="AC405" s="25" t="s">
        <v>73</v>
      </c>
      <c r="AD405" s="25" t="s">
        <v>794</v>
      </c>
      <c r="AE405" s="25"/>
      <c r="AF405" s="25"/>
      <c r="AG405" s="25" t="s">
        <v>75</v>
      </c>
      <c r="AH405" s="25" t="s">
        <v>80</v>
      </c>
      <c r="AI405" s="25"/>
      <c r="AJ405" s="25"/>
    </row>
    <row r="406" spans="1:36">
      <c r="A406" s="37">
        <v>404</v>
      </c>
      <c r="B406" s="52" t="s">
        <v>740</v>
      </c>
      <c r="C406" s="55">
        <v>1</v>
      </c>
      <c r="D406" s="55">
        <v>48000</v>
      </c>
      <c r="E406" s="55">
        <v>48000</v>
      </c>
      <c r="F406" s="55">
        <v>60000</v>
      </c>
      <c r="G406" s="55">
        <v>60000</v>
      </c>
      <c r="H406" s="60">
        <v>3500</v>
      </c>
      <c r="I406" s="60">
        <v>2100000</v>
      </c>
      <c r="J406" s="63">
        <v>2000</v>
      </c>
      <c r="K406" s="63">
        <v>2000</v>
      </c>
      <c r="L406" s="27">
        <v>0</v>
      </c>
      <c r="M406" s="27">
        <f t="shared" si="6"/>
        <v>1730</v>
      </c>
      <c r="N406" s="26">
        <v>1750</v>
      </c>
      <c r="O406" s="26">
        <v>2800</v>
      </c>
      <c r="P406" s="26">
        <v>1900</v>
      </c>
      <c r="Q406" s="26">
        <v>20</v>
      </c>
      <c r="R406" s="26">
        <v>2800</v>
      </c>
      <c r="S406" s="26">
        <v>120</v>
      </c>
      <c r="T406" s="26">
        <v>4000</v>
      </c>
      <c r="U406" s="26">
        <v>16</v>
      </c>
      <c r="V406" s="26">
        <v>32</v>
      </c>
      <c r="W406" s="26">
        <v>19</v>
      </c>
      <c r="X406" s="26">
        <v>19</v>
      </c>
      <c r="Y406" s="25" t="s">
        <v>73</v>
      </c>
      <c r="Z406" s="25" t="s">
        <v>755</v>
      </c>
      <c r="AA406" s="25" t="s">
        <v>73</v>
      </c>
      <c r="AB406" s="25" t="s">
        <v>78</v>
      </c>
      <c r="AC406" s="25" t="s">
        <v>73</v>
      </c>
      <c r="AD406" s="25" t="s">
        <v>794</v>
      </c>
      <c r="AE406" s="25"/>
      <c r="AF406" s="25"/>
      <c r="AG406" s="25" t="s">
        <v>75</v>
      </c>
      <c r="AH406" s="25" t="s">
        <v>80</v>
      </c>
      <c r="AI406" s="25"/>
      <c r="AJ406" s="25"/>
    </row>
    <row r="407" spans="1:36">
      <c r="A407" s="36">
        <v>405</v>
      </c>
      <c r="B407" s="51" t="s">
        <v>741</v>
      </c>
      <c r="C407" s="54">
        <v>1</v>
      </c>
      <c r="D407" s="54">
        <v>48000</v>
      </c>
      <c r="E407" s="54">
        <v>48000</v>
      </c>
      <c r="F407" s="54">
        <v>60000</v>
      </c>
      <c r="G407" s="54">
        <v>60000</v>
      </c>
      <c r="H407" s="60">
        <v>3500</v>
      </c>
      <c r="I407" s="60">
        <v>2100000</v>
      </c>
      <c r="J407" s="63">
        <v>2000</v>
      </c>
      <c r="K407" s="63">
        <v>2000</v>
      </c>
      <c r="L407" s="27">
        <v>0</v>
      </c>
      <c r="M407" s="27">
        <f t="shared" si="6"/>
        <v>1730</v>
      </c>
      <c r="N407" s="34">
        <v>1750</v>
      </c>
      <c r="O407" s="34">
        <v>2800</v>
      </c>
      <c r="P407" s="34">
        <v>1900</v>
      </c>
      <c r="Q407" s="34">
        <v>20</v>
      </c>
      <c r="R407" s="34">
        <v>2800</v>
      </c>
      <c r="S407" s="34">
        <v>120</v>
      </c>
      <c r="T407" s="34">
        <v>4000</v>
      </c>
      <c r="U407" s="34">
        <v>16</v>
      </c>
      <c r="V407" s="34">
        <v>32</v>
      </c>
      <c r="W407" s="34">
        <v>19</v>
      </c>
      <c r="X407" s="34">
        <v>19</v>
      </c>
      <c r="Y407" s="25" t="s">
        <v>73</v>
      </c>
      <c r="Z407" s="25" t="s">
        <v>755</v>
      </c>
      <c r="AA407" s="25" t="s">
        <v>73</v>
      </c>
      <c r="AB407" s="25" t="s">
        <v>78</v>
      </c>
      <c r="AC407" s="25" t="s">
        <v>73</v>
      </c>
      <c r="AD407" s="25" t="s">
        <v>794</v>
      </c>
      <c r="AE407" s="25"/>
      <c r="AF407" s="25"/>
      <c r="AG407" s="25" t="s">
        <v>75</v>
      </c>
      <c r="AH407" s="25" t="s">
        <v>80</v>
      </c>
      <c r="AI407" s="25"/>
      <c r="AJ407" s="25"/>
    </row>
    <row r="408" spans="1:36">
      <c r="A408" s="37">
        <v>406</v>
      </c>
      <c r="B408" s="52" t="s">
        <v>742</v>
      </c>
      <c r="C408" s="55">
        <v>1</v>
      </c>
      <c r="D408" s="55">
        <v>48000</v>
      </c>
      <c r="E408" s="55">
        <v>48000</v>
      </c>
      <c r="F408" s="55">
        <v>60000</v>
      </c>
      <c r="G408" s="55">
        <v>60000</v>
      </c>
      <c r="H408" s="59">
        <v>3500</v>
      </c>
      <c r="I408" s="59">
        <v>2100000</v>
      </c>
      <c r="J408" s="62">
        <v>2000</v>
      </c>
      <c r="K408" s="62">
        <v>2000</v>
      </c>
      <c r="L408" s="33">
        <v>0</v>
      </c>
      <c r="M408" s="33">
        <f t="shared" si="6"/>
        <v>1730</v>
      </c>
      <c r="N408" s="26">
        <v>1750</v>
      </c>
      <c r="O408" s="26">
        <v>2800</v>
      </c>
      <c r="P408" s="26">
        <v>1900</v>
      </c>
      <c r="Q408" s="26">
        <v>20</v>
      </c>
      <c r="R408" s="26">
        <v>2800</v>
      </c>
      <c r="S408" s="26">
        <v>120</v>
      </c>
      <c r="T408" s="26">
        <v>4000</v>
      </c>
      <c r="U408" s="26">
        <v>16</v>
      </c>
      <c r="V408" s="26">
        <v>28</v>
      </c>
      <c r="W408" s="26">
        <v>19</v>
      </c>
      <c r="X408" s="26">
        <v>19</v>
      </c>
      <c r="Y408" s="25" t="s">
        <v>73</v>
      </c>
      <c r="Z408" s="25" t="s">
        <v>755</v>
      </c>
      <c r="AA408" s="25" t="s">
        <v>73</v>
      </c>
      <c r="AB408" s="25" t="s">
        <v>78</v>
      </c>
      <c r="AC408" s="25" t="s">
        <v>73</v>
      </c>
      <c r="AD408" s="25" t="s">
        <v>794</v>
      </c>
      <c r="AE408" s="25"/>
      <c r="AF408" s="25"/>
      <c r="AG408" s="25" t="s">
        <v>75</v>
      </c>
      <c r="AH408" s="25" t="s">
        <v>80</v>
      </c>
      <c r="AI408" s="25"/>
      <c r="AJ408" s="25"/>
    </row>
    <row r="409" spans="1:36">
      <c r="A409" s="36">
        <v>407</v>
      </c>
      <c r="B409" s="52" t="s">
        <v>743</v>
      </c>
      <c r="C409" s="55">
        <v>1</v>
      </c>
      <c r="D409" s="55">
        <v>48000</v>
      </c>
      <c r="E409" s="55">
        <v>48000</v>
      </c>
      <c r="F409" s="55">
        <v>60000</v>
      </c>
      <c r="G409" s="55">
        <v>60000</v>
      </c>
      <c r="H409" s="60">
        <v>3500</v>
      </c>
      <c r="I409" s="60">
        <v>2100000</v>
      </c>
      <c r="J409" s="63">
        <v>2000</v>
      </c>
      <c r="K409" s="63">
        <v>2000</v>
      </c>
      <c r="L409" s="27">
        <v>0</v>
      </c>
      <c r="M409" s="27">
        <f t="shared" si="6"/>
        <v>1730</v>
      </c>
      <c r="N409" s="26">
        <v>1750</v>
      </c>
      <c r="O409" s="26">
        <v>2800</v>
      </c>
      <c r="P409" s="26">
        <v>1900</v>
      </c>
      <c r="Q409" s="26">
        <v>20</v>
      </c>
      <c r="R409" s="26">
        <v>2800</v>
      </c>
      <c r="S409" s="26">
        <v>120</v>
      </c>
      <c r="T409" s="26">
        <v>4000</v>
      </c>
      <c r="U409" s="26">
        <v>16</v>
      </c>
      <c r="V409" s="26">
        <v>28</v>
      </c>
      <c r="W409" s="26">
        <v>19</v>
      </c>
      <c r="X409" s="26">
        <v>19</v>
      </c>
      <c r="Y409" s="25" t="s">
        <v>73</v>
      </c>
      <c r="Z409" s="25" t="s">
        <v>755</v>
      </c>
      <c r="AA409" s="25" t="s">
        <v>73</v>
      </c>
      <c r="AB409" s="25" t="s">
        <v>78</v>
      </c>
      <c r="AC409" s="25" t="s">
        <v>73</v>
      </c>
      <c r="AD409" s="25" t="s">
        <v>794</v>
      </c>
      <c r="AE409" s="25"/>
      <c r="AF409" s="25"/>
      <c r="AG409" s="25" t="s">
        <v>75</v>
      </c>
      <c r="AH409" s="25" t="s">
        <v>80</v>
      </c>
      <c r="AI409" s="25"/>
      <c r="AJ409" s="25"/>
    </row>
    <row r="410" spans="1:36">
      <c r="A410" s="37">
        <v>408</v>
      </c>
      <c r="B410" s="52" t="s">
        <v>744</v>
      </c>
      <c r="C410" s="55">
        <v>1</v>
      </c>
      <c r="D410" s="55">
        <v>48000</v>
      </c>
      <c r="E410" s="55">
        <v>48000</v>
      </c>
      <c r="F410" s="55">
        <v>60000</v>
      </c>
      <c r="G410" s="55">
        <v>60000</v>
      </c>
      <c r="H410" s="60">
        <v>3500</v>
      </c>
      <c r="I410" s="60">
        <v>2100000</v>
      </c>
      <c r="J410" s="63">
        <v>2000</v>
      </c>
      <c r="K410" s="63">
        <v>2000</v>
      </c>
      <c r="L410" s="27">
        <v>0</v>
      </c>
      <c r="M410" s="27">
        <f t="shared" si="6"/>
        <v>1730</v>
      </c>
      <c r="N410" s="26">
        <v>1750</v>
      </c>
      <c r="O410" s="26">
        <v>2800</v>
      </c>
      <c r="P410" s="26">
        <v>1900</v>
      </c>
      <c r="Q410" s="26">
        <v>20</v>
      </c>
      <c r="R410" s="26">
        <v>2800</v>
      </c>
      <c r="S410" s="26">
        <v>120</v>
      </c>
      <c r="T410" s="26">
        <v>4000</v>
      </c>
      <c r="U410" s="26">
        <v>16</v>
      </c>
      <c r="V410" s="26">
        <v>28</v>
      </c>
      <c r="W410" s="26">
        <v>19</v>
      </c>
      <c r="X410" s="26">
        <v>19</v>
      </c>
      <c r="Y410" s="25" t="s">
        <v>73</v>
      </c>
      <c r="Z410" s="25" t="s">
        <v>755</v>
      </c>
      <c r="AA410" s="25" t="s">
        <v>73</v>
      </c>
      <c r="AB410" s="25" t="s">
        <v>78</v>
      </c>
      <c r="AC410" s="25" t="s">
        <v>73</v>
      </c>
      <c r="AD410" s="25" t="s">
        <v>794</v>
      </c>
      <c r="AE410" s="25"/>
      <c r="AF410" s="25"/>
      <c r="AG410" s="25" t="s">
        <v>75</v>
      </c>
      <c r="AH410" s="25" t="s">
        <v>80</v>
      </c>
      <c r="AI410" s="25"/>
      <c r="AJ410" s="25"/>
    </row>
    <row r="411" spans="1:36">
      <c r="A411" s="36">
        <v>409</v>
      </c>
      <c r="B411" s="51" t="s">
        <v>745</v>
      </c>
      <c r="C411" s="54">
        <v>1</v>
      </c>
      <c r="D411" s="54">
        <v>48000</v>
      </c>
      <c r="E411" s="54">
        <v>48000</v>
      </c>
      <c r="F411" s="54">
        <v>60000</v>
      </c>
      <c r="G411" s="54">
        <v>60000</v>
      </c>
      <c r="H411" s="59">
        <v>3500</v>
      </c>
      <c r="I411" s="59">
        <v>2100000</v>
      </c>
      <c r="J411" s="62">
        <v>2000</v>
      </c>
      <c r="K411" s="62">
        <v>2000</v>
      </c>
      <c r="L411" s="33">
        <v>0</v>
      </c>
      <c r="M411" s="33">
        <f t="shared" si="6"/>
        <v>1730</v>
      </c>
      <c r="N411" s="34">
        <v>1750</v>
      </c>
      <c r="O411" s="34">
        <v>2800</v>
      </c>
      <c r="P411" s="34">
        <v>1900</v>
      </c>
      <c r="Q411" s="34">
        <v>20</v>
      </c>
      <c r="R411" s="34">
        <v>2800</v>
      </c>
      <c r="S411" s="34">
        <v>120</v>
      </c>
      <c r="T411" s="34">
        <v>4000</v>
      </c>
      <c r="U411" s="34">
        <v>16</v>
      </c>
      <c r="V411" s="34">
        <v>28</v>
      </c>
      <c r="W411" s="34">
        <v>19</v>
      </c>
      <c r="X411" s="34">
        <v>19</v>
      </c>
      <c r="Y411" s="25" t="s">
        <v>73</v>
      </c>
      <c r="Z411" s="25" t="s">
        <v>755</v>
      </c>
      <c r="AA411" s="25" t="s">
        <v>73</v>
      </c>
      <c r="AB411" s="25" t="s">
        <v>78</v>
      </c>
      <c r="AC411" s="25" t="s">
        <v>73</v>
      </c>
      <c r="AD411" s="25" t="s">
        <v>794</v>
      </c>
      <c r="AE411" s="25"/>
      <c r="AF411" s="25"/>
      <c r="AG411" s="25" t="s">
        <v>75</v>
      </c>
      <c r="AH411" s="25" t="s">
        <v>80</v>
      </c>
      <c r="AI411" s="25"/>
      <c r="AJ411" s="25"/>
    </row>
    <row r="412" spans="1:36">
      <c r="A412" s="37">
        <v>410</v>
      </c>
      <c r="B412" s="52" t="s">
        <v>746</v>
      </c>
      <c r="C412" s="55">
        <v>1</v>
      </c>
      <c r="D412" s="55">
        <v>48000</v>
      </c>
      <c r="E412" s="55">
        <v>48000</v>
      </c>
      <c r="F412" s="55">
        <v>60000</v>
      </c>
      <c r="G412" s="55">
        <v>60000</v>
      </c>
      <c r="H412" s="60">
        <v>3500</v>
      </c>
      <c r="I412" s="60">
        <v>2100000</v>
      </c>
      <c r="J412" s="63">
        <v>2000</v>
      </c>
      <c r="K412" s="63">
        <v>2000</v>
      </c>
      <c r="L412" s="27">
        <v>0</v>
      </c>
      <c r="M412" s="27">
        <f t="shared" si="6"/>
        <v>1730</v>
      </c>
      <c r="N412" s="26">
        <v>1750</v>
      </c>
      <c r="O412" s="26">
        <v>2800</v>
      </c>
      <c r="P412" s="26">
        <v>1900</v>
      </c>
      <c r="Q412" s="26">
        <v>20</v>
      </c>
      <c r="R412" s="26">
        <v>2800</v>
      </c>
      <c r="S412" s="26">
        <v>120</v>
      </c>
      <c r="T412" s="26">
        <v>4000</v>
      </c>
      <c r="U412" s="26">
        <v>16</v>
      </c>
      <c r="V412" s="26">
        <v>28</v>
      </c>
      <c r="W412" s="26">
        <v>19</v>
      </c>
      <c r="X412" s="26">
        <v>19</v>
      </c>
      <c r="Y412" s="25" t="s">
        <v>73</v>
      </c>
      <c r="Z412" s="25" t="s">
        <v>755</v>
      </c>
      <c r="AA412" s="25" t="s">
        <v>73</v>
      </c>
      <c r="AB412" s="25" t="s">
        <v>78</v>
      </c>
      <c r="AC412" s="25" t="s">
        <v>73</v>
      </c>
      <c r="AD412" s="25" t="s">
        <v>794</v>
      </c>
      <c r="AE412" s="25"/>
      <c r="AF412" s="25"/>
      <c r="AG412" s="25" t="s">
        <v>75</v>
      </c>
      <c r="AH412" s="25" t="s">
        <v>80</v>
      </c>
      <c r="AI412" s="25"/>
      <c r="AJ412" s="25"/>
    </row>
    <row r="413" spans="1:36">
      <c r="A413" s="36">
        <v>411</v>
      </c>
      <c r="B413" s="52" t="s">
        <v>747</v>
      </c>
      <c r="C413" s="55">
        <v>1</v>
      </c>
      <c r="D413" s="55">
        <v>48000</v>
      </c>
      <c r="E413" s="55">
        <v>48000</v>
      </c>
      <c r="F413" s="55">
        <v>60000</v>
      </c>
      <c r="G413" s="55">
        <v>60000</v>
      </c>
      <c r="H413" s="60">
        <v>3500</v>
      </c>
      <c r="I413" s="60">
        <v>2100000</v>
      </c>
      <c r="J413" s="63">
        <v>2000</v>
      </c>
      <c r="K413" s="63">
        <v>2000</v>
      </c>
      <c r="L413" s="27">
        <v>0</v>
      </c>
      <c r="M413" s="27">
        <f t="shared" si="6"/>
        <v>1730</v>
      </c>
      <c r="N413" s="26">
        <v>1750</v>
      </c>
      <c r="O413" s="26">
        <v>2800</v>
      </c>
      <c r="P413" s="26">
        <v>1900</v>
      </c>
      <c r="Q413" s="26">
        <v>20</v>
      </c>
      <c r="R413" s="26">
        <v>2800</v>
      </c>
      <c r="S413" s="26">
        <v>120</v>
      </c>
      <c r="T413" s="26">
        <v>4000</v>
      </c>
      <c r="U413" s="26">
        <v>16</v>
      </c>
      <c r="V413" s="26">
        <v>28</v>
      </c>
      <c r="W413" s="26">
        <v>19</v>
      </c>
      <c r="X413" s="26">
        <v>19</v>
      </c>
      <c r="Y413" s="25" t="s">
        <v>73</v>
      </c>
      <c r="Z413" s="25" t="s">
        <v>755</v>
      </c>
      <c r="AA413" s="25" t="s">
        <v>73</v>
      </c>
      <c r="AB413" s="25" t="s">
        <v>78</v>
      </c>
      <c r="AC413" s="25" t="s">
        <v>73</v>
      </c>
      <c r="AD413" s="25" t="s">
        <v>794</v>
      </c>
      <c r="AE413" s="25"/>
      <c r="AF413" s="25"/>
      <c r="AG413" s="25" t="s">
        <v>75</v>
      </c>
      <c r="AH413" s="25" t="s">
        <v>80</v>
      </c>
      <c r="AI413" s="25"/>
      <c r="AJ413" s="25"/>
    </row>
    <row r="414" spans="1:36">
      <c r="A414" s="37">
        <v>412</v>
      </c>
      <c r="B414" s="52" t="s">
        <v>748</v>
      </c>
      <c r="C414" s="55">
        <v>1</v>
      </c>
      <c r="D414" s="55">
        <v>48000</v>
      </c>
      <c r="E414" s="55">
        <v>48000</v>
      </c>
      <c r="F414" s="55">
        <v>60000</v>
      </c>
      <c r="G414" s="55">
        <v>60000</v>
      </c>
      <c r="H414" s="59">
        <v>3500</v>
      </c>
      <c r="I414" s="59">
        <v>2100000</v>
      </c>
      <c r="J414" s="62">
        <v>2000</v>
      </c>
      <c r="K414" s="62">
        <v>2000</v>
      </c>
      <c r="L414" s="33">
        <v>0</v>
      </c>
      <c r="M414" s="33">
        <f t="shared" si="6"/>
        <v>1730</v>
      </c>
      <c r="N414" s="26">
        <v>1750</v>
      </c>
      <c r="O414" s="26">
        <v>2800</v>
      </c>
      <c r="P414" s="26">
        <v>1900</v>
      </c>
      <c r="Q414" s="26">
        <v>20</v>
      </c>
      <c r="R414" s="26">
        <v>2800</v>
      </c>
      <c r="S414" s="26">
        <v>120</v>
      </c>
      <c r="T414" s="26">
        <v>4000</v>
      </c>
      <c r="U414" s="26">
        <v>16</v>
      </c>
      <c r="V414" s="26">
        <v>28</v>
      </c>
      <c r="W414" s="26">
        <v>19</v>
      </c>
      <c r="X414" s="26">
        <v>19</v>
      </c>
      <c r="Y414" s="25" t="s">
        <v>73</v>
      </c>
      <c r="Z414" s="25" t="s">
        <v>755</v>
      </c>
      <c r="AA414" s="25" t="s">
        <v>73</v>
      </c>
      <c r="AB414" s="25" t="s">
        <v>78</v>
      </c>
      <c r="AC414" s="25" t="s">
        <v>73</v>
      </c>
      <c r="AD414" s="25" t="s">
        <v>794</v>
      </c>
      <c r="AE414" s="25"/>
      <c r="AF414" s="25"/>
      <c r="AG414" s="25" t="s">
        <v>75</v>
      </c>
      <c r="AH414" s="25" t="s">
        <v>80</v>
      </c>
      <c r="AI414" s="25"/>
      <c r="AJ414" s="25"/>
    </row>
    <row r="415" spans="1:36">
      <c r="A415" s="36">
        <v>413</v>
      </c>
      <c r="B415" s="51" t="s">
        <v>749</v>
      </c>
      <c r="C415" s="54">
        <v>1</v>
      </c>
      <c r="D415" s="54">
        <v>48000</v>
      </c>
      <c r="E415" s="54">
        <v>48000</v>
      </c>
      <c r="F415" s="54">
        <v>60000</v>
      </c>
      <c r="G415" s="54">
        <v>60000</v>
      </c>
      <c r="H415" s="60">
        <v>3500</v>
      </c>
      <c r="I415" s="60">
        <v>2100000</v>
      </c>
      <c r="J415" s="63">
        <v>2000</v>
      </c>
      <c r="K415" s="63">
        <v>2000</v>
      </c>
      <c r="L415" s="27">
        <v>0</v>
      </c>
      <c r="M415" s="27">
        <f t="shared" si="6"/>
        <v>1730</v>
      </c>
      <c r="N415" s="34">
        <v>1750</v>
      </c>
      <c r="O415" s="34">
        <v>2800</v>
      </c>
      <c r="P415" s="34">
        <v>1900</v>
      </c>
      <c r="Q415" s="34">
        <v>20</v>
      </c>
      <c r="R415" s="34">
        <v>2800</v>
      </c>
      <c r="S415" s="34">
        <v>120</v>
      </c>
      <c r="T415" s="34">
        <v>4000</v>
      </c>
      <c r="U415" s="34">
        <v>16</v>
      </c>
      <c r="V415" s="34">
        <v>28</v>
      </c>
      <c r="W415" s="34">
        <v>19</v>
      </c>
      <c r="X415" s="34">
        <v>19</v>
      </c>
      <c r="Y415" s="25" t="s">
        <v>73</v>
      </c>
      <c r="Z415" s="25" t="s">
        <v>755</v>
      </c>
      <c r="AA415" s="25" t="s">
        <v>73</v>
      </c>
      <c r="AB415" s="25" t="s">
        <v>78</v>
      </c>
      <c r="AC415" s="25" t="s">
        <v>73</v>
      </c>
      <c r="AD415" s="25" t="s">
        <v>794</v>
      </c>
      <c r="AE415" s="25"/>
      <c r="AF415" s="25"/>
      <c r="AG415" s="25" t="s">
        <v>75</v>
      </c>
      <c r="AH415" s="25" t="s">
        <v>80</v>
      </c>
      <c r="AI415" s="25"/>
      <c r="AJ415" s="25"/>
    </row>
    <row r="416" spans="1:36">
      <c r="A416" s="37">
        <v>414</v>
      </c>
      <c r="B416" s="52" t="s">
        <v>750</v>
      </c>
      <c r="C416" s="55">
        <v>1</v>
      </c>
      <c r="D416" s="55">
        <v>48000</v>
      </c>
      <c r="E416" s="55">
        <v>48000</v>
      </c>
      <c r="F416" s="55">
        <v>60000</v>
      </c>
      <c r="G416" s="55">
        <v>60000</v>
      </c>
      <c r="H416" s="60">
        <v>3500</v>
      </c>
      <c r="I416" s="60">
        <v>2100000</v>
      </c>
      <c r="J416" s="63">
        <v>2000</v>
      </c>
      <c r="K416" s="63">
        <v>2000</v>
      </c>
      <c r="L416" s="27">
        <v>0</v>
      </c>
      <c r="M416" s="27">
        <f t="shared" si="6"/>
        <v>1730</v>
      </c>
      <c r="N416" s="26">
        <v>1750</v>
      </c>
      <c r="O416" s="26">
        <v>2800</v>
      </c>
      <c r="P416" s="26">
        <v>1900</v>
      </c>
      <c r="Q416" s="26">
        <v>20</v>
      </c>
      <c r="R416" s="26">
        <v>2800</v>
      </c>
      <c r="S416" s="26">
        <v>120</v>
      </c>
      <c r="T416" s="26">
        <v>3708</v>
      </c>
      <c r="U416" s="26">
        <v>16</v>
      </c>
      <c r="V416" s="26">
        <v>28</v>
      </c>
      <c r="W416" s="26">
        <v>19</v>
      </c>
      <c r="X416" s="26">
        <v>19</v>
      </c>
      <c r="Y416" s="25" t="s">
        <v>73</v>
      </c>
      <c r="Z416" s="25" t="s">
        <v>755</v>
      </c>
      <c r="AA416" s="25" t="s">
        <v>73</v>
      </c>
      <c r="AB416" s="25" t="s">
        <v>78</v>
      </c>
      <c r="AC416" s="25" t="s">
        <v>73</v>
      </c>
      <c r="AD416" s="25" t="s">
        <v>794</v>
      </c>
      <c r="AE416" s="25"/>
      <c r="AF416" s="25"/>
      <c r="AG416" s="25" t="s">
        <v>75</v>
      </c>
      <c r="AH416" s="25" t="s">
        <v>80</v>
      </c>
      <c r="AI416" s="25"/>
      <c r="AJ416" s="25"/>
    </row>
    <row r="417" spans="1:36">
      <c r="A417" s="36">
        <v>415</v>
      </c>
      <c r="B417" s="52" t="s">
        <v>751</v>
      </c>
      <c r="C417" s="55">
        <v>1</v>
      </c>
      <c r="D417" s="55">
        <v>48000</v>
      </c>
      <c r="E417" s="55">
        <v>48000</v>
      </c>
      <c r="F417" s="55">
        <v>60000</v>
      </c>
      <c r="G417" s="55">
        <v>60000</v>
      </c>
      <c r="H417" s="59">
        <v>3500</v>
      </c>
      <c r="I417" s="59">
        <v>2100000</v>
      </c>
      <c r="J417" s="62">
        <v>2000</v>
      </c>
      <c r="K417" s="62">
        <v>2000</v>
      </c>
      <c r="L417" s="33">
        <v>0</v>
      </c>
      <c r="M417" s="33">
        <f t="shared" si="6"/>
        <v>1730</v>
      </c>
      <c r="N417" s="26">
        <v>1750</v>
      </c>
      <c r="O417" s="26">
        <v>2800</v>
      </c>
      <c r="P417" s="26">
        <v>1900</v>
      </c>
      <c r="Q417" s="26">
        <v>20</v>
      </c>
      <c r="R417" s="26">
        <v>2800</v>
      </c>
      <c r="S417" s="26">
        <v>120</v>
      </c>
      <c r="T417" s="26">
        <v>3400</v>
      </c>
      <c r="U417" s="26">
        <v>16</v>
      </c>
      <c r="V417" s="26">
        <v>28</v>
      </c>
      <c r="W417" s="26">
        <v>19</v>
      </c>
      <c r="X417" s="26">
        <v>19</v>
      </c>
      <c r="Y417" s="25" t="s">
        <v>73</v>
      </c>
      <c r="Z417" s="25" t="s">
        <v>755</v>
      </c>
      <c r="AA417" s="25" t="s">
        <v>73</v>
      </c>
      <c r="AB417" s="25" t="s">
        <v>78</v>
      </c>
      <c r="AC417" s="25" t="s">
        <v>73</v>
      </c>
      <c r="AD417" s="25" t="s">
        <v>794</v>
      </c>
      <c r="AE417" s="25"/>
      <c r="AF417" s="25"/>
      <c r="AG417" s="25" t="s">
        <v>75</v>
      </c>
      <c r="AH417" s="25" t="s">
        <v>80</v>
      </c>
      <c r="AI417" s="25"/>
      <c r="AJ417" s="25"/>
    </row>
    <row r="418" spans="1:36">
      <c r="A418" s="37">
        <v>416</v>
      </c>
      <c r="B418" s="52" t="s">
        <v>752</v>
      </c>
      <c r="C418" s="55">
        <v>1</v>
      </c>
      <c r="D418" s="55">
        <v>48000</v>
      </c>
      <c r="E418" s="55">
        <v>48000</v>
      </c>
      <c r="F418" s="55">
        <v>60000</v>
      </c>
      <c r="G418" s="55">
        <v>60000</v>
      </c>
      <c r="H418" s="60">
        <v>3500</v>
      </c>
      <c r="I418" s="60">
        <v>2100000</v>
      </c>
      <c r="J418" s="63">
        <v>2000</v>
      </c>
      <c r="K418" s="63">
        <v>2000</v>
      </c>
      <c r="L418" s="27">
        <v>0</v>
      </c>
      <c r="M418" s="27">
        <f t="shared" si="6"/>
        <v>1730</v>
      </c>
      <c r="N418" s="26">
        <v>1750</v>
      </c>
      <c r="O418" s="26">
        <v>2800</v>
      </c>
      <c r="P418" s="26">
        <v>1900</v>
      </c>
      <c r="Q418" s="26">
        <v>20</v>
      </c>
      <c r="R418" s="26">
        <v>2800</v>
      </c>
      <c r="S418" s="26">
        <v>120</v>
      </c>
      <c r="T418" s="26">
        <v>3092</v>
      </c>
      <c r="U418" s="26">
        <v>16</v>
      </c>
      <c r="V418" s="26">
        <v>28</v>
      </c>
      <c r="W418" s="26">
        <v>19</v>
      </c>
      <c r="X418" s="26">
        <v>19</v>
      </c>
      <c r="Y418" s="25" t="s">
        <v>73</v>
      </c>
      <c r="Z418" s="25" t="s">
        <v>755</v>
      </c>
      <c r="AA418" s="25" t="s">
        <v>73</v>
      </c>
      <c r="AB418" s="25" t="s">
        <v>78</v>
      </c>
      <c r="AC418" s="25" t="s">
        <v>73</v>
      </c>
      <c r="AD418" s="25" t="s">
        <v>794</v>
      </c>
      <c r="AE418" s="25"/>
      <c r="AF418" s="25"/>
      <c r="AG418" s="25" t="s">
        <v>75</v>
      </c>
      <c r="AH418" s="25" t="s">
        <v>80</v>
      </c>
      <c r="AI418" s="25"/>
      <c r="AJ418" s="25"/>
    </row>
    <row r="419" spans="1:36">
      <c r="A419" s="36">
        <v>417</v>
      </c>
      <c r="B419" s="51" t="s">
        <v>753</v>
      </c>
      <c r="C419" s="54">
        <v>1</v>
      </c>
      <c r="D419" s="54">
        <v>48000</v>
      </c>
      <c r="E419" s="54">
        <v>48000</v>
      </c>
      <c r="F419" s="54">
        <v>60000</v>
      </c>
      <c r="G419" s="54">
        <v>60000</v>
      </c>
      <c r="H419" s="60">
        <v>3500</v>
      </c>
      <c r="I419" s="60">
        <v>2100000</v>
      </c>
      <c r="J419" s="63">
        <v>2000</v>
      </c>
      <c r="K419" s="63">
        <v>2000</v>
      </c>
      <c r="L419" s="27">
        <v>0</v>
      </c>
      <c r="M419" s="27">
        <f t="shared" si="6"/>
        <v>1730</v>
      </c>
      <c r="N419" s="34">
        <v>1750</v>
      </c>
      <c r="O419" s="34">
        <v>2800</v>
      </c>
      <c r="P419" s="34">
        <v>1900</v>
      </c>
      <c r="Q419" s="34">
        <v>20</v>
      </c>
      <c r="R419" s="34">
        <v>2800</v>
      </c>
      <c r="S419" s="34">
        <v>120</v>
      </c>
      <c r="T419" s="34">
        <v>2800</v>
      </c>
      <c r="U419" s="34">
        <v>16</v>
      </c>
      <c r="V419" s="34">
        <v>28</v>
      </c>
      <c r="W419" s="34">
        <v>19</v>
      </c>
      <c r="X419" s="34">
        <v>19</v>
      </c>
      <c r="Y419" s="25" t="s">
        <v>73</v>
      </c>
      <c r="Z419" s="25" t="s">
        <v>755</v>
      </c>
      <c r="AA419" s="25" t="s">
        <v>73</v>
      </c>
      <c r="AB419" s="25" t="s">
        <v>78</v>
      </c>
      <c r="AC419" s="25" t="s">
        <v>73</v>
      </c>
      <c r="AD419" s="25" t="s">
        <v>794</v>
      </c>
      <c r="AE419" s="25"/>
      <c r="AF419" s="25"/>
      <c r="AG419" s="25" t="s">
        <v>75</v>
      </c>
      <c r="AH419" s="25" t="s">
        <v>80</v>
      </c>
      <c r="AI419" s="25"/>
      <c r="AJ419" s="25"/>
    </row>
    <row r="420" spans="1:36">
      <c r="A420" s="37">
        <v>418</v>
      </c>
      <c r="B420" s="50" t="s">
        <v>754</v>
      </c>
      <c r="C420" s="53">
        <v>1</v>
      </c>
      <c r="D420" s="53">
        <v>48000</v>
      </c>
      <c r="E420" s="53">
        <v>48000</v>
      </c>
      <c r="F420" s="53">
        <v>60000</v>
      </c>
      <c r="G420" s="53">
        <v>60000</v>
      </c>
      <c r="H420" s="59">
        <v>3500</v>
      </c>
      <c r="I420" s="59">
        <v>2100000</v>
      </c>
      <c r="J420" s="62">
        <v>2000</v>
      </c>
      <c r="K420" s="62">
        <v>2000</v>
      </c>
      <c r="L420" s="33">
        <v>0</v>
      </c>
      <c r="M420" s="33">
        <f t="shared" si="6"/>
        <v>1730</v>
      </c>
      <c r="N420" s="31">
        <v>1750</v>
      </c>
      <c r="O420" s="31">
        <v>2800</v>
      </c>
      <c r="P420" s="31">
        <v>1900</v>
      </c>
      <c r="Q420" s="31">
        <v>20</v>
      </c>
      <c r="R420" s="31">
        <v>2800</v>
      </c>
      <c r="S420" s="31">
        <v>120</v>
      </c>
      <c r="T420" s="31">
        <v>2800</v>
      </c>
      <c r="U420" s="31">
        <v>16</v>
      </c>
      <c r="V420" s="31">
        <v>28</v>
      </c>
      <c r="W420" s="31">
        <v>19</v>
      </c>
      <c r="X420" s="31">
        <v>19</v>
      </c>
      <c r="Y420" s="25" t="s">
        <v>73</v>
      </c>
      <c r="Z420" s="25" t="s">
        <v>755</v>
      </c>
      <c r="AA420" s="25" t="s">
        <v>73</v>
      </c>
      <c r="AB420" s="25" t="s">
        <v>78</v>
      </c>
      <c r="AC420" s="25" t="s">
        <v>73</v>
      </c>
      <c r="AD420" s="25" t="s">
        <v>794</v>
      </c>
      <c r="AE420" s="25"/>
      <c r="AF420" s="25"/>
      <c r="AG420" s="25" t="s">
        <v>75</v>
      </c>
      <c r="AH420" s="25" t="s">
        <v>80</v>
      </c>
      <c r="AI420" s="25"/>
      <c r="AJ420" s="25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7" r:id="rId3" name="Button 39">
              <controlPr defaultSize="0" print="0" autoFill="0" autoPict="0" macro="[0]!欄開關_斷面參數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542925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" name="Button 40">
              <controlPr defaultSize="0" print="0" autoFill="0" autoPict="0" macro="[0]!欄開關_頂版加勁鈑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0</xdr:col>
                    <xdr:colOff>1095375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欄開關_底版加勁鈑">
                <anchor moveWithCells="1" sizeWithCells="1">
                  <from>
                    <xdr:col>0</xdr:col>
                    <xdr:colOff>1114425</xdr:colOff>
                    <xdr:row>0</xdr:row>
                    <xdr:rowOff>0</xdr:rowOff>
                  </from>
                  <to>
                    <xdr:col>1</xdr:col>
                    <xdr:colOff>266700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5" tint="0.79998168889431442"/>
    <outlinePr summaryBelow="0"/>
  </sheetPr>
  <dimension ref="A1:G3"/>
  <sheetViews>
    <sheetView workbookViewId="0">
      <selection activeCell="C2" sqref="C2"/>
    </sheetView>
  </sheetViews>
  <sheetFormatPr defaultRowHeight="15.75"/>
  <cols>
    <col min="1" max="2" width="12.42578125" style="14" bestFit="1" customWidth="1"/>
    <col min="3" max="7" width="12.42578125" style="15" bestFit="1" customWidth="1"/>
  </cols>
  <sheetData>
    <row r="1" spans="1:7" ht="17.25" customHeight="1">
      <c r="A1" s="17" t="s">
        <v>1</v>
      </c>
      <c r="B1" s="17" t="s">
        <v>3</v>
      </c>
      <c r="C1" s="18" t="s">
        <v>43</v>
      </c>
      <c r="D1" s="18" t="s">
        <v>44</v>
      </c>
      <c r="E1" s="18" t="s">
        <v>45</v>
      </c>
      <c r="F1" s="18" t="s">
        <v>46</v>
      </c>
      <c r="G1" s="18" t="s">
        <v>47</v>
      </c>
    </row>
    <row r="2" spans="1:7" ht="17.25" customHeight="1">
      <c r="A2" s="19" t="s">
        <v>48</v>
      </c>
      <c r="B2" s="19" t="s">
        <v>74</v>
      </c>
      <c r="C2" s="20">
        <v>216</v>
      </c>
      <c r="D2" s="20">
        <v>60</v>
      </c>
      <c r="E2" s="20">
        <v>13</v>
      </c>
      <c r="F2" s="20">
        <v>16</v>
      </c>
      <c r="G2" s="20">
        <v>0</v>
      </c>
    </row>
    <row r="3" spans="1:7" ht="17.25" customHeight="1">
      <c r="A3" s="19" t="s">
        <v>49</v>
      </c>
      <c r="B3" s="19" t="s">
        <v>76</v>
      </c>
      <c r="C3" s="20">
        <v>250</v>
      </c>
      <c r="D3" s="20">
        <v>20</v>
      </c>
      <c r="E3" s="20">
        <v>0</v>
      </c>
      <c r="F3" s="20">
        <v>0</v>
      </c>
      <c r="G3" s="20">
        <v>0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7" tint="0.79998168889431442"/>
    <outlinePr summaryBelow="0"/>
  </sheetPr>
  <dimension ref="A1:AK233"/>
  <sheetViews>
    <sheetView zoomScale="85" zoomScaleNormal="85" workbookViewId="0">
      <selection activeCell="S3" sqref="S3:U211"/>
    </sheetView>
  </sheetViews>
  <sheetFormatPr defaultRowHeight="15.75"/>
  <cols>
    <col min="1" max="1" width="8.7109375" style="14" bestFit="1" customWidth="1"/>
    <col min="2" max="2" width="22.28515625" style="14" bestFit="1" customWidth="1"/>
    <col min="3" max="4" width="8.7109375" style="14" bestFit="1" customWidth="1"/>
    <col min="5" max="5" width="11.7109375" style="15" bestFit="1" customWidth="1"/>
    <col min="6" max="6" width="16.28515625" style="16" bestFit="1" customWidth="1"/>
    <col min="7" max="7" width="16.140625" style="16" bestFit="1" customWidth="1"/>
    <col min="8" max="9" width="31.5703125" style="16" bestFit="1" customWidth="1"/>
    <col min="10" max="10" width="31.7109375" style="16" bestFit="1" customWidth="1"/>
    <col min="11" max="14" width="13.28515625" style="16" bestFit="1" customWidth="1"/>
    <col min="15" max="16" width="8.85546875" style="15" bestFit="1" customWidth="1"/>
    <col min="17" max="18" width="10.140625" style="15" bestFit="1" customWidth="1"/>
    <col min="19" max="19" width="25.28515625" style="14" bestFit="1" customWidth="1"/>
    <col min="20" max="20" width="26.85546875" style="14" bestFit="1" customWidth="1"/>
    <col min="21" max="21" width="39.28515625" style="14" bestFit="1" customWidth="1"/>
    <col min="22" max="27" width="17.5703125" style="14" bestFit="1" customWidth="1"/>
    <col min="28" max="30" width="7.42578125" style="14" bestFit="1" customWidth="1"/>
    <col min="31" max="33" width="17.5703125" style="14" bestFit="1" customWidth="1"/>
    <col min="34" max="37" width="7.42578125" style="14" bestFit="1" customWidth="1"/>
  </cols>
  <sheetData>
    <row r="1" spans="1:37" ht="23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5" t="s">
        <v>5</v>
      </c>
      <c r="T1" s="5" t="s">
        <v>6</v>
      </c>
      <c r="U1" s="5" t="s">
        <v>7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6" t="s">
        <v>24</v>
      </c>
      <c r="AC1" s="6" t="s">
        <v>25</v>
      </c>
      <c r="AD1" s="6" t="s">
        <v>4</v>
      </c>
      <c r="AE1" s="7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</row>
    <row r="2" spans="1:37" ht="24" customHeight="1">
      <c r="A2" s="1" t="s">
        <v>33</v>
      </c>
      <c r="B2" s="2" t="s">
        <v>33</v>
      </c>
      <c r="C2" s="2" t="s">
        <v>33</v>
      </c>
      <c r="D2" s="2" t="s">
        <v>33</v>
      </c>
      <c r="E2" s="3" t="s">
        <v>34</v>
      </c>
      <c r="F2" s="4" t="s">
        <v>34</v>
      </c>
      <c r="G2" s="4" t="s">
        <v>34</v>
      </c>
      <c r="H2" s="4" t="s">
        <v>35</v>
      </c>
      <c r="I2" s="4" t="s">
        <v>35</v>
      </c>
      <c r="J2" s="4" t="s">
        <v>35</v>
      </c>
      <c r="K2" s="4" t="s">
        <v>36</v>
      </c>
      <c r="L2" s="4" t="s">
        <v>36</v>
      </c>
      <c r="M2" s="4" t="s">
        <v>36</v>
      </c>
      <c r="N2" s="4" t="s">
        <v>36</v>
      </c>
      <c r="O2" s="3" t="s">
        <v>34</v>
      </c>
      <c r="P2" s="3" t="s">
        <v>34</v>
      </c>
      <c r="Q2" s="3" t="s">
        <v>36</v>
      </c>
      <c r="R2" s="3" t="s">
        <v>36</v>
      </c>
      <c r="S2" s="5" t="s">
        <v>34</v>
      </c>
      <c r="T2" s="5" t="s">
        <v>34</v>
      </c>
      <c r="U2" s="5" t="s">
        <v>35</v>
      </c>
      <c r="V2" s="6" t="s">
        <v>37</v>
      </c>
      <c r="W2" s="6" t="s">
        <v>37</v>
      </c>
      <c r="X2" s="6" t="s">
        <v>37</v>
      </c>
      <c r="Y2" s="6" t="s">
        <v>37</v>
      </c>
      <c r="Z2" s="6" t="s">
        <v>38</v>
      </c>
      <c r="AA2" s="6" t="s">
        <v>38</v>
      </c>
      <c r="AB2" s="6" t="s">
        <v>38</v>
      </c>
      <c r="AC2" s="6" t="s">
        <v>38</v>
      </c>
      <c r="AD2" s="6" t="s">
        <v>39</v>
      </c>
      <c r="AE2" s="6" t="s">
        <v>40</v>
      </c>
      <c r="AF2" s="6" t="s">
        <v>39</v>
      </c>
      <c r="AG2" s="6" t="s">
        <v>39</v>
      </c>
      <c r="AH2" s="6" t="s">
        <v>40</v>
      </c>
      <c r="AI2" s="6" t="s">
        <v>40</v>
      </c>
      <c r="AJ2" s="6" t="s">
        <v>37</v>
      </c>
      <c r="AK2" s="6" t="s">
        <v>37</v>
      </c>
    </row>
    <row r="3" spans="1:37" ht="23.25" customHeight="1">
      <c r="A3" s="8">
        <f>鋼床鈑!A3</f>
        <v>1</v>
      </c>
      <c r="B3" s="40" t="s">
        <v>41</v>
      </c>
      <c r="C3" s="40" t="s">
        <v>42</v>
      </c>
      <c r="D3" s="40" t="s">
        <v>77</v>
      </c>
      <c r="E3" s="41">
        <v>400192</v>
      </c>
      <c r="F3" s="42">
        <v>139835.06460000001</v>
      </c>
      <c r="G3" s="42">
        <v>86180.915900000007</v>
      </c>
      <c r="H3" s="42">
        <v>431090007299.27802</v>
      </c>
      <c r="I3" s="42">
        <v>540067195120.409</v>
      </c>
      <c r="J3" s="42">
        <v>1241528946705.71</v>
      </c>
      <c r="K3" s="42">
        <v>3950.9621999999999</v>
      </c>
      <c r="L3" s="42">
        <v>3483.5378000000001</v>
      </c>
      <c r="M3" s="42">
        <v>1012.9807</v>
      </c>
      <c r="N3" s="42">
        <v>1823.0192999999999</v>
      </c>
      <c r="O3" s="41">
        <v>0</v>
      </c>
      <c r="P3" s="41">
        <v>0</v>
      </c>
      <c r="Q3" s="41">
        <v>28631</v>
      </c>
      <c r="R3" s="41">
        <v>18434</v>
      </c>
      <c r="S3" s="11">
        <f>(鋼床鈑!O3+鋼床鈑!W3+鋼床鈑!X3)*鋼床鈑!U3+(鋼床鈑!R3+鋼床鈑!W3+鋼床鈑!X3)*鋼床鈑!V3</f>
        <v>125400</v>
      </c>
      <c r="T3" s="11">
        <f>(鋼床鈑!T3)*鋼床鈑!W3+(鋼床鈑!T3)*鋼床鈑!X3</f>
        <v>140000</v>
      </c>
      <c r="U3" s="11">
        <f>4*((鋼床鈑!R3+鋼床鈑!W3/2+鋼床鈑!X3/2)*(鋼床鈑!T3+鋼床鈑!U3/2+鋼床鈑!V3/2))^2/((鋼床鈑!O3+鋼床鈑!W3/2+鋼床鈑!X3/2)/鋼床鈑!U3+(鋼床鈑!R3+鋼床鈑!W3/2+鋼床鈑!X3/2)/鋼床鈑!V3+(鋼床鈑!T3+鋼床鈑!U3/2+鋼床鈑!V3/2)/鋼床鈑!W3+(鋼床鈑!T3+鋼床鈑!U3/2+鋼床鈑!V3/2)/鋼床鈑!X3)</f>
        <v>505192655354.17603</v>
      </c>
      <c r="V3" s="12">
        <f>AH3/(L3/1000)</f>
        <v>0.3563988732103639</v>
      </c>
      <c r="W3" s="12">
        <f>AH3/(K3/1000)</f>
        <v>0.31423457979570396</v>
      </c>
      <c r="X3" s="12">
        <f>AI3/(M3/1000)</f>
        <v>0.5331465793182526</v>
      </c>
      <c r="Y3" s="12">
        <f>AI3/(N3/1000)</f>
        <v>0.29624875343909363</v>
      </c>
      <c r="Z3" s="12">
        <f>SQRT(AH3/AD3)</f>
        <v>1.7613441591028736</v>
      </c>
      <c r="AA3" s="12">
        <f>SQRT(AI3/AD3)</f>
        <v>1.1616885202567582</v>
      </c>
      <c r="AB3" s="10">
        <f>(M3+N3)/1000</f>
        <v>2.8359999999999999</v>
      </c>
      <c r="AC3" s="9">
        <f>(K3+L3)/1000</f>
        <v>7.4344999999999999</v>
      </c>
      <c r="AD3" s="10">
        <f>E3/1000^2</f>
        <v>0.40019199999999999</v>
      </c>
      <c r="AE3" s="12">
        <f>U3/(1000^4)</f>
        <v>0.50519265535417601</v>
      </c>
      <c r="AF3" s="12">
        <f>T3/1000^2</f>
        <v>0.14000000000000001</v>
      </c>
      <c r="AG3" s="12">
        <f>S3/1000^2</f>
        <v>0.12540000000000001</v>
      </c>
      <c r="AH3" s="10">
        <f>J3/(1000^4)</f>
        <v>1.24152894670571</v>
      </c>
      <c r="AI3" s="10">
        <f>I3/(1000^4)</f>
        <v>0.54006719512040902</v>
      </c>
      <c r="AJ3" s="13">
        <f>AH3</f>
        <v>1.24152894670571</v>
      </c>
      <c r="AK3" s="13">
        <f>AI3</f>
        <v>0.54006719512040902</v>
      </c>
    </row>
    <row r="4" spans="1:37" ht="23.25" customHeight="1">
      <c r="A4" s="8">
        <f>鋼床鈑!A4</f>
        <v>2</v>
      </c>
      <c r="B4" s="40" t="s">
        <v>41</v>
      </c>
      <c r="C4" s="40" t="s">
        <v>42</v>
      </c>
      <c r="D4" s="40" t="s">
        <v>81</v>
      </c>
      <c r="E4" s="41">
        <v>399832</v>
      </c>
      <c r="F4" s="42">
        <v>139675.05179999999</v>
      </c>
      <c r="G4" s="42">
        <v>86210.006500000003</v>
      </c>
      <c r="H4" s="42">
        <v>431268241146.90601</v>
      </c>
      <c r="I4" s="42">
        <v>539703265026.021</v>
      </c>
      <c r="J4" s="42">
        <v>1235336534557.8401</v>
      </c>
      <c r="K4" s="42">
        <v>3932.2098000000001</v>
      </c>
      <c r="L4" s="42">
        <v>3479.7901999999999</v>
      </c>
      <c r="M4" s="42">
        <v>1013.8856</v>
      </c>
      <c r="N4" s="42">
        <v>1822.1143999999999</v>
      </c>
      <c r="O4" s="41">
        <v>0</v>
      </c>
      <c r="P4" s="41">
        <v>0</v>
      </c>
      <c r="Q4" s="41">
        <v>28586</v>
      </c>
      <c r="R4" s="41">
        <v>18434</v>
      </c>
      <c r="S4" s="11">
        <f>(鋼床鈑!O4+鋼床鈑!W4+鋼床鈑!X4)*鋼床鈑!U4+(鋼床鈑!R4+鋼床鈑!W4+鋼床鈑!X4)*鋼床鈑!V4</f>
        <v>125400</v>
      </c>
      <c r="T4" s="11">
        <f>(鋼床鈑!T4)*鋼床鈑!W4+(鋼床鈑!T4)*鋼床鈑!X4</f>
        <v>140000</v>
      </c>
      <c r="U4" s="11">
        <f>4*((鋼床鈑!R4+鋼床鈑!W4/2+鋼床鈑!X4/2)*(鋼床鈑!T4+鋼床鈑!U4/2+鋼床鈑!V4/2))^2/((鋼床鈑!O4+鋼床鈑!W4/2+鋼床鈑!X4/2)/鋼床鈑!U4+(鋼床鈑!R4+鋼床鈑!W4/2+鋼床鈑!X4/2)/鋼床鈑!V4+(鋼床鈑!T4+鋼床鈑!U4/2+鋼床鈑!V4/2)/鋼床鈑!W4+(鋼床鈑!T4+鋼床鈑!U4/2+鋼床鈑!V4/2)/鋼床鈑!X4)</f>
        <v>505192655354.17603</v>
      </c>
      <c r="V4" s="12">
        <f>AH4/(L4/1000)</f>
        <v>0.3550031650062811</v>
      </c>
      <c r="W4" s="12">
        <f>AH4/(K4/1000)</f>
        <v>0.3141583479492473</v>
      </c>
      <c r="X4" s="12">
        <f>AI4/(M4/1000)</f>
        <v>0.53231179634666959</v>
      </c>
      <c r="Y4" s="12">
        <f>AI4/(N4/1000)</f>
        <v>0.29619614719362347</v>
      </c>
      <c r="Z4" s="12">
        <f t="shared" ref="Z4:Z67" si="0">SQRT(AH4/AD4)</f>
        <v>1.7577368929302821</v>
      </c>
      <c r="AA4" s="12">
        <f t="shared" ref="AA4:AA67" si="1">SQRT(AI4/AD4)</f>
        <v>1.1618197317581052</v>
      </c>
      <c r="AB4" s="10">
        <f>(M4+N4)/1000</f>
        <v>2.8359999999999999</v>
      </c>
      <c r="AC4" s="10">
        <f>(K4+L4)/1000</f>
        <v>7.4119999999999999</v>
      </c>
      <c r="AD4" s="10">
        <f>E4/1000^2</f>
        <v>0.39983200000000002</v>
      </c>
      <c r="AE4" s="12">
        <f>U4/(1000^4)</f>
        <v>0.50519265535417601</v>
      </c>
      <c r="AF4" s="12">
        <f>T4/1000^2</f>
        <v>0.14000000000000001</v>
      </c>
      <c r="AG4" s="12">
        <f>S4/1000^2</f>
        <v>0.12540000000000001</v>
      </c>
      <c r="AH4" s="10">
        <f>J4/(1000^4)</f>
        <v>1.23533653455784</v>
      </c>
      <c r="AI4" s="10">
        <f>I4/(1000^4)</f>
        <v>0.53970326502602095</v>
      </c>
      <c r="AJ4" s="13">
        <f>AH4</f>
        <v>1.23533653455784</v>
      </c>
      <c r="AK4" s="13">
        <f>AI4</f>
        <v>0.53970326502602095</v>
      </c>
    </row>
    <row r="5" spans="1:37">
      <c r="A5" s="8">
        <f>鋼床鈑!A5</f>
        <v>3</v>
      </c>
      <c r="B5" s="43" t="s">
        <v>41</v>
      </c>
      <c r="C5" s="43" t="s">
        <v>42</v>
      </c>
      <c r="D5" s="43" t="s">
        <v>82</v>
      </c>
      <c r="E5" s="44">
        <v>414952</v>
      </c>
      <c r="F5" s="45">
        <v>138146.69589999999</v>
      </c>
      <c r="G5" s="45">
        <v>101591.6805</v>
      </c>
      <c r="H5" s="45">
        <v>524784764444.15503</v>
      </c>
      <c r="I5" s="45">
        <v>721123086157.80603</v>
      </c>
      <c r="J5" s="45">
        <v>1258073399916.49</v>
      </c>
      <c r="K5" s="45">
        <v>3915.4267</v>
      </c>
      <c r="L5" s="45">
        <v>3461.5733</v>
      </c>
      <c r="M5" s="45">
        <v>1169.9115999999999</v>
      </c>
      <c r="N5" s="45">
        <v>2058.0884000000001</v>
      </c>
      <c r="O5" s="44">
        <v>0</v>
      </c>
      <c r="P5" s="44">
        <v>0</v>
      </c>
      <c r="Q5" s="44">
        <v>29300</v>
      </c>
      <c r="R5" s="44">
        <v>19218</v>
      </c>
      <c r="S5" s="11">
        <f>(鋼床鈑!O5+鋼床鈑!W5+鋼床鈑!X5)*鋼床鈑!U5+(鋼床鈑!R5+鋼床鈑!W5+鋼床鈑!X5)*鋼床鈑!V5</f>
        <v>125400</v>
      </c>
      <c r="T5" s="11">
        <f>(鋼床鈑!T5)*鋼床鈑!W5+(鋼床鈑!T5)*鋼床鈑!X5</f>
        <v>159600</v>
      </c>
      <c r="U5" s="11">
        <f>4*((鋼床鈑!R5+鋼床鈑!W5/2+鋼床鈑!X5/2)*(鋼床鈑!T5+鋼床鈑!U5/2+鋼床鈑!V5/2))^2/((鋼床鈑!O5+鋼床鈑!W5/2+鋼床鈑!X5/2)/鋼床鈑!U5+(鋼床鈑!R5+鋼床鈑!W5/2+鋼床鈑!X5/2)/鋼床鈑!V5+(鋼床鈑!T5+鋼床鈑!U5/2+鋼床鈑!V5/2)/鋼床鈑!W5+(鋼床鈑!T5+鋼床鈑!U5/2+鋼床鈑!V5/2)/鋼床鈑!X5)</f>
        <v>616850194091.30481</v>
      </c>
      <c r="V5" s="12">
        <f t="shared" ref="V5:V68" si="2">AH5/(L5/1000)</f>
        <v>0.3634397688231793</v>
      </c>
      <c r="W5" s="12">
        <f t="shared" ref="W5:W68" si="3">AH5/(K5/1000)</f>
        <v>0.32131195302838639</v>
      </c>
      <c r="X5" s="12">
        <f t="shared" ref="X5:X68" si="4">AI5/(M5/1000)</f>
        <v>0.61639108985482849</v>
      </c>
      <c r="Y5" s="12">
        <f t="shared" ref="Y5:Y68" si="5">AI5/(N5/1000)</f>
        <v>0.35038489413662022</v>
      </c>
      <c r="Z5" s="12">
        <f t="shared" si="0"/>
        <v>1.7412216517747681</v>
      </c>
      <c r="AA5" s="12">
        <f t="shared" si="1"/>
        <v>1.3182742486794823</v>
      </c>
      <c r="AB5" s="10">
        <f t="shared" ref="AB5:AB68" si="6">(M5+N5)/1000</f>
        <v>3.2280000000000002</v>
      </c>
      <c r="AC5" s="10">
        <f t="shared" ref="AC5:AC68" si="7">(K5+L5)/1000</f>
        <v>7.3769999999999998</v>
      </c>
      <c r="AD5" s="10">
        <f t="shared" ref="AD5:AD68" si="8">E5/1000^2</f>
        <v>0.41495199999999999</v>
      </c>
      <c r="AE5" s="12">
        <f t="shared" ref="AE5:AE68" si="9">U5/(1000^4)</f>
        <v>0.61685019409130482</v>
      </c>
      <c r="AF5" s="12">
        <f t="shared" ref="AF5:AF68" si="10">T5/1000^2</f>
        <v>0.15959999999999999</v>
      </c>
      <c r="AG5" s="12">
        <f t="shared" ref="AG5:AG68" si="11">S5/1000^2</f>
        <v>0.12540000000000001</v>
      </c>
      <c r="AH5" s="10">
        <f t="shared" ref="AH5:AH68" si="12">J5/(1000^4)</f>
        <v>1.2580733999164899</v>
      </c>
      <c r="AI5" s="10">
        <f t="shared" ref="AI5:AI68" si="13">I5/(1000^4)</f>
        <v>0.72112308615780607</v>
      </c>
      <c r="AJ5" s="13">
        <f t="shared" ref="AJ5:AJ68" si="14">AH5</f>
        <v>1.2580733999164899</v>
      </c>
      <c r="AK5" s="13">
        <f t="shared" ref="AK5:AK68" si="15">AI5</f>
        <v>0.72112308615780607</v>
      </c>
    </row>
    <row r="6" spans="1:37">
      <c r="A6" s="8">
        <f>鋼床鈑!A6</f>
        <v>4</v>
      </c>
      <c r="B6" s="43" t="s">
        <v>41</v>
      </c>
      <c r="C6" s="43" t="s">
        <v>42</v>
      </c>
      <c r="D6" s="43" t="s">
        <v>83</v>
      </c>
      <c r="E6" s="44">
        <v>431504</v>
      </c>
      <c r="F6" s="45">
        <v>136424.93659999999</v>
      </c>
      <c r="G6" s="45">
        <v>118108.6485</v>
      </c>
      <c r="H6" s="45">
        <v>629125337992.80701</v>
      </c>
      <c r="I6" s="45">
        <v>951173282435.55798</v>
      </c>
      <c r="J6" s="45">
        <v>1286658671603.72</v>
      </c>
      <c r="K6" s="45">
        <v>3908.2869000000001</v>
      </c>
      <c r="L6" s="45">
        <v>3445.7130999999999</v>
      </c>
      <c r="M6" s="45">
        <v>1341.2611999999999</v>
      </c>
      <c r="N6" s="45">
        <v>2309.7388000000001</v>
      </c>
      <c r="O6" s="44">
        <v>0</v>
      </c>
      <c r="P6" s="44">
        <v>0</v>
      </c>
      <c r="Q6" s="44">
        <v>30100</v>
      </c>
      <c r="R6" s="44">
        <v>20064</v>
      </c>
      <c r="S6" s="11">
        <f>(鋼床鈑!O6+鋼床鈑!W6+鋼床鈑!X6)*鋼床鈑!U6+(鋼床鈑!R6+鋼床鈑!W6+鋼床鈑!X6)*鋼床鈑!V6</f>
        <v>125400</v>
      </c>
      <c r="T6" s="11">
        <f>(鋼床鈑!T6)*鋼床鈑!W6+(鋼床鈑!T6)*鋼床鈑!X6</f>
        <v>180750</v>
      </c>
      <c r="U6" s="11">
        <f>4*((鋼床鈑!R6+鋼床鈑!W6/2+鋼床鈑!X6/2)*(鋼床鈑!T6+鋼床鈑!U6/2+鋼床鈑!V6/2))^2/((鋼床鈑!O6+鋼床鈑!W6/2+鋼床鈑!X6/2)/鋼床鈑!U6+(鋼床鈑!R6+鋼床鈑!W6/2+鋼床鈑!X6/2)/鋼床鈑!V6+(鋼床鈑!T6+鋼床鈑!U6/2+鋼床鈑!V6/2)/鋼床鈑!W6+(鋼床鈑!T6+鋼床鈑!U6/2+鋼床鈑!V6/2)/鋼床鈑!X6)</f>
        <v>742878338166.31824</v>
      </c>
      <c r="V6" s="12">
        <f t="shared" si="2"/>
        <v>0.37340853235973714</v>
      </c>
      <c r="W6" s="12">
        <f t="shared" si="3"/>
        <v>0.32921295302136594</v>
      </c>
      <c r="X6" s="12">
        <f t="shared" si="4"/>
        <v>0.70916334747889376</v>
      </c>
      <c r="Y6" s="12">
        <f t="shared" si="5"/>
        <v>0.41180989055366696</v>
      </c>
      <c r="Z6" s="12">
        <f t="shared" si="0"/>
        <v>1.7267889572569481</v>
      </c>
      <c r="AA6" s="12">
        <f t="shared" si="1"/>
        <v>1.484695555522618</v>
      </c>
      <c r="AB6" s="10">
        <f t="shared" si="6"/>
        <v>3.6509999999999998</v>
      </c>
      <c r="AC6" s="10">
        <f t="shared" si="7"/>
        <v>7.3540000000000001</v>
      </c>
      <c r="AD6" s="10">
        <f t="shared" si="8"/>
        <v>0.431504</v>
      </c>
      <c r="AE6" s="12">
        <f t="shared" si="9"/>
        <v>0.74287833816631821</v>
      </c>
      <c r="AF6" s="12">
        <f t="shared" si="10"/>
        <v>0.18074999999999999</v>
      </c>
      <c r="AG6" s="12">
        <f t="shared" si="11"/>
        <v>0.12540000000000001</v>
      </c>
      <c r="AH6" s="10">
        <f t="shared" si="12"/>
        <v>1.28665867160372</v>
      </c>
      <c r="AI6" s="10">
        <f t="shared" si="13"/>
        <v>0.95117328243555799</v>
      </c>
      <c r="AJ6" s="13">
        <f t="shared" si="14"/>
        <v>1.28665867160372</v>
      </c>
      <c r="AK6" s="13">
        <f t="shared" si="15"/>
        <v>0.95117328243555799</v>
      </c>
    </row>
    <row r="7" spans="1:37">
      <c r="A7" s="8">
        <f>鋼床鈑!A7</f>
        <v>5</v>
      </c>
      <c r="B7" s="43" t="s">
        <v>41</v>
      </c>
      <c r="C7" s="43" t="s">
        <v>42</v>
      </c>
      <c r="D7" s="43" t="s">
        <v>84</v>
      </c>
      <c r="E7" s="44">
        <v>446552</v>
      </c>
      <c r="F7" s="45">
        <v>134905.37830000001</v>
      </c>
      <c r="G7" s="45">
        <v>133374.06890000001</v>
      </c>
      <c r="H7" s="45">
        <v>728062796165.828</v>
      </c>
      <c r="I7" s="45">
        <v>1192564866901.5601</v>
      </c>
      <c r="J7" s="45">
        <v>1312241871402.6201</v>
      </c>
      <c r="K7" s="45">
        <v>3899.8521000000001</v>
      </c>
      <c r="L7" s="45">
        <v>3432.1478999999999</v>
      </c>
      <c r="M7" s="45">
        <v>1500.1649</v>
      </c>
      <c r="N7" s="45">
        <v>2535.8350999999998</v>
      </c>
      <c r="O7" s="44">
        <v>0</v>
      </c>
      <c r="P7" s="44">
        <v>0</v>
      </c>
      <c r="Q7" s="44">
        <v>30826</v>
      </c>
      <c r="R7" s="44">
        <v>20834</v>
      </c>
      <c r="S7" s="11">
        <f>(鋼床鈑!O7+鋼床鈑!W7+鋼床鈑!X7)*鋼床鈑!U7+(鋼床鈑!R7+鋼床鈑!W7+鋼床鈑!X7)*鋼床鈑!V7</f>
        <v>125400</v>
      </c>
      <c r="T7" s="11">
        <f>(鋼床鈑!T7)*鋼床鈑!W7+(鋼床鈑!T7)*鋼床鈑!X7</f>
        <v>200000</v>
      </c>
      <c r="U7" s="11">
        <f>4*((鋼床鈑!R7+鋼床鈑!W7/2+鋼床鈑!X7/2)*(鋼床鈑!T7+鋼床鈑!U7/2+鋼床鈑!V7/2))^2/((鋼床鈑!O7+鋼床鈑!W7/2+鋼床鈑!X7/2)/鋼床鈑!U7+(鋼床鈑!R7+鋼床鈑!W7/2+鋼床鈑!X7/2)/鋼床鈑!V7+(鋼床鈑!T7+鋼床鈑!U7/2+鋼床鈑!V7/2)/鋼床鈑!W7+(鋼床鈑!T7+鋼床鈑!U7/2+鋼床鈑!V7/2)/鋼床鈑!X7)</f>
        <v>861783337717.24097</v>
      </c>
      <c r="V7" s="12">
        <f t="shared" si="2"/>
        <v>0.38233838098953138</v>
      </c>
      <c r="W7" s="12">
        <f t="shared" si="3"/>
        <v>0.33648503526649642</v>
      </c>
      <c r="X7" s="12">
        <f t="shared" si="4"/>
        <v>0.79495585245432698</v>
      </c>
      <c r="Y7" s="12">
        <f t="shared" si="5"/>
        <v>0.47028486469863917</v>
      </c>
      <c r="Z7" s="12">
        <f t="shared" si="0"/>
        <v>1.714237242984654</v>
      </c>
      <c r="AA7" s="12">
        <f t="shared" si="1"/>
        <v>1.6341991715989852</v>
      </c>
      <c r="AB7" s="10">
        <f t="shared" si="6"/>
        <v>4.0359999999999996</v>
      </c>
      <c r="AC7" s="10">
        <f t="shared" si="7"/>
        <v>7.3319999999999999</v>
      </c>
      <c r="AD7" s="10">
        <f t="shared" si="8"/>
        <v>0.446552</v>
      </c>
      <c r="AE7" s="12">
        <f t="shared" si="9"/>
        <v>0.86178333771724092</v>
      </c>
      <c r="AF7" s="12">
        <f t="shared" si="10"/>
        <v>0.2</v>
      </c>
      <c r="AG7" s="12">
        <f t="shared" si="11"/>
        <v>0.12540000000000001</v>
      </c>
      <c r="AH7" s="10">
        <f t="shared" si="12"/>
        <v>1.3122418714026201</v>
      </c>
      <c r="AI7" s="10">
        <f t="shared" si="13"/>
        <v>1.1925648669015601</v>
      </c>
      <c r="AJ7" s="13">
        <f t="shared" si="14"/>
        <v>1.3122418714026201</v>
      </c>
      <c r="AK7" s="13">
        <f t="shared" si="15"/>
        <v>1.1925648669015601</v>
      </c>
    </row>
    <row r="8" spans="1:37">
      <c r="A8" s="8">
        <f>鋼床鈑!A8</f>
        <v>6</v>
      </c>
      <c r="B8" s="43" t="s">
        <v>41</v>
      </c>
      <c r="C8" s="43" t="s">
        <v>42</v>
      </c>
      <c r="D8" s="43" t="s">
        <v>85</v>
      </c>
      <c r="E8" s="44">
        <v>442992</v>
      </c>
      <c r="F8" s="45">
        <v>134296.7064</v>
      </c>
      <c r="G8" s="45">
        <v>133725.8248</v>
      </c>
      <c r="H8" s="45">
        <v>728062509514.64905</v>
      </c>
      <c r="I8" s="45">
        <v>1185958823712.46</v>
      </c>
      <c r="J8" s="45">
        <v>1268335024802.8</v>
      </c>
      <c r="K8" s="45">
        <v>3927.9618</v>
      </c>
      <c r="L8" s="45">
        <v>3404.0382</v>
      </c>
      <c r="M8" s="45">
        <v>1511.0544</v>
      </c>
      <c r="N8" s="45">
        <v>2524.9456</v>
      </c>
      <c r="O8" s="44">
        <v>0</v>
      </c>
      <c r="P8" s="44">
        <v>0</v>
      </c>
      <c r="Q8" s="44">
        <v>30300</v>
      </c>
      <c r="R8" s="44">
        <v>20834</v>
      </c>
      <c r="S8" s="11">
        <f>(鋼床鈑!O8+鋼床鈑!W8+鋼床鈑!X8)*鋼床鈑!U8+(鋼床鈑!R8+鋼床鈑!W8+鋼床鈑!X8)*鋼床鈑!V8</f>
        <v>125400</v>
      </c>
      <c r="T8" s="11">
        <f>(鋼床鈑!T8)*鋼床鈑!W8+(鋼床鈑!T8)*鋼床鈑!X8</f>
        <v>200000</v>
      </c>
      <c r="U8" s="11">
        <f>4*((鋼床鈑!R8+鋼床鈑!W8/2+鋼床鈑!X8/2)*(鋼床鈑!T8+鋼床鈑!U8/2+鋼床鈑!V8/2))^2/((鋼床鈑!O8+鋼床鈑!W8/2+鋼床鈑!X8/2)/鋼床鈑!U8+(鋼床鈑!R8+鋼床鈑!W8/2+鋼床鈑!X8/2)/鋼床鈑!V8+(鋼床鈑!T8+鋼床鈑!U8/2+鋼床鈑!V8/2)/鋼床鈑!W8+(鋼床鈑!T8+鋼床鈑!U8/2+鋼床鈑!V8/2)/鋼床鈑!X8)</f>
        <v>861783337717.24097</v>
      </c>
      <c r="V8" s="12">
        <f t="shared" si="2"/>
        <v>0.37259717731804537</v>
      </c>
      <c r="W8" s="12">
        <f t="shared" si="3"/>
        <v>0.32289902228753858</v>
      </c>
      <c r="X8" s="12">
        <f t="shared" si="4"/>
        <v>0.78485514731465655</v>
      </c>
      <c r="Y8" s="12">
        <f t="shared" si="5"/>
        <v>0.46969678226432277</v>
      </c>
      <c r="Z8" s="12">
        <f t="shared" si="0"/>
        <v>1.6920728266712937</v>
      </c>
      <c r="AA8" s="12">
        <f t="shared" si="1"/>
        <v>1.6362017907770112</v>
      </c>
      <c r="AB8" s="10">
        <f t="shared" si="6"/>
        <v>4.0359999999999996</v>
      </c>
      <c r="AC8" s="10">
        <f t="shared" si="7"/>
        <v>7.3319999999999999</v>
      </c>
      <c r="AD8" s="10">
        <f t="shared" si="8"/>
        <v>0.442992</v>
      </c>
      <c r="AE8" s="12">
        <f t="shared" si="9"/>
        <v>0.86178333771724092</v>
      </c>
      <c r="AF8" s="12">
        <f t="shared" si="10"/>
        <v>0.2</v>
      </c>
      <c r="AG8" s="12">
        <f t="shared" si="11"/>
        <v>0.12540000000000001</v>
      </c>
      <c r="AH8" s="10">
        <f t="shared" si="12"/>
        <v>1.2683350248028</v>
      </c>
      <c r="AI8" s="10">
        <f t="shared" si="13"/>
        <v>1.1859588237124599</v>
      </c>
      <c r="AJ8" s="13">
        <f t="shared" si="14"/>
        <v>1.2683350248028</v>
      </c>
      <c r="AK8" s="13">
        <f t="shared" si="15"/>
        <v>1.1859588237124599</v>
      </c>
    </row>
    <row r="9" spans="1:37">
      <c r="A9" s="8">
        <f>鋼床鈑!A9</f>
        <v>7</v>
      </c>
      <c r="B9" s="43" t="s">
        <v>41</v>
      </c>
      <c r="C9" s="43" t="s">
        <v>42</v>
      </c>
      <c r="D9" s="43" t="s">
        <v>86</v>
      </c>
      <c r="E9" s="44">
        <v>442592</v>
      </c>
      <c r="F9" s="45">
        <v>133826.12419999999</v>
      </c>
      <c r="G9" s="45">
        <v>133719.3749</v>
      </c>
      <c r="H9" s="45">
        <v>727824149748.37305</v>
      </c>
      <c r="I9" s="45">
        <v>1185054329447.02</v>
      </c>
      <c r="J9" s="45">
        <v>1261535125506.6299</v>
      </c>
      <c r="K9" s="45">
        <v>3906.7015000000001</v>
      </c>
      <c r="L9" s="45">
        <v>3400.2984999999999</v>
      </c>
      <c r="M9" s="45">
        <v>1512.4128000000001</v>
      </c>
      <c r="N9" s="45">
        <v>2523.5871999999999</v>
      </c>
      <c r="O9" s="44">
        <v>0</v>
      </c>
      <c r="P9" s="44">
        <v>0</v>
      </c>
      <c r="Q9" s="44">
        <v>30250</v>
      </c>
      <c r="R9" s="44">
        <v>20834</v>
      </c>
      <c r="S9" s="11">
        <f>(鋼床鈑!O9+鋼床鈑!W9+鋼床鈑!X9)*鋼床鈑!U9+(鋼床鈑!R9+鋼床鈑!W9+鋼床鈑!X9)*鋼床鈑!V9</f>
        <v>125400</v>
      </c>
      <c r="T9" s="11">
        <f>(鋼床鈑!T9)*鋼床鈑!W9+(鋼床鈑!T9)*鋼床鈑!X9</f>
        <v>200000</v>
      </c>
      <c r="U9" s="11">
        <f>4*((鋼床鈑!R9+鋼床鈑!W9/2+鋼床鈑!X9/2)*(鋼床鈑!T9+鋼床鈑!U9/2+鋼床鈑!V9/2))^2/((鋼床鈑!O9+鋼床鈑!W9/2+鋼床鈑!X9/2)/鋼床鈑!U9+(鋼床鈑!R9+鋼床鈑!W9/2+鋼床鈑!X9/2)/鋼床鈑!V9+(鋼床鈑!T9+鋼床鈑!U9/2+鋼床鈑!V9/2)/鋼床鈑!W9+(鋼床鈑!T9+鋼床鈑!U9/2+鋼床鈑!V9/2)/鋼床鈑!X9)</f>
        <v>861783337717.24097</v>
      </c>
      <c r="V9" s="12">
        <f t="shared" si="2"/>
        <v>0.37100717054888854</v>
      </c>
      <c r="W9" s="12">
        <f t="shared" si="3"/>
        <v>0.32291566824509876</v>
      </c>
      <c r="X9" s="12">
        <f t="shared" si="4"/>
        <v>0.78355216872471578</v>
      </c>
      <c r="Y9" s="12">
        <f t="shared" si="5"/>
        <v>0.46959119520301096</v>
      </c>
      <c r="Z9" s="12">
        <f t="shared" si="0"/>
        <v>1.6882932877440333</v>
      </c>
      <c r="AA9" s="12">
        <f t="shared" si="1"/>
        <v>1.6363166550048971</v>
      </c>
      <c r="AB9" s="10">
        <f t="shared" si="6"/>
        <v>4.0359999999999996</v>
      </c>
      <c r="AC9" s="10">
        <f t="shared" si="7"/>
        <v>7.3070000000000004</v>
      </c>
      <c r="AD9" s="10">
        <f t="shared" si="8"/>
        <v>0.44259199999999999</v>
      </c>
      <c r="AE9" s="12">
        <f t="shared" si="9"/>
        <v>0.86178333771724092</v>
      </c>
      <c r="AF9" s="12">
        <f t="shared" si="10"/>
        <v>0.2</v>
      </c>
      <c r="AG9" s="12">
        <f t="shared" si="11"/>
        <v>0.12540000000000001</v>
      </c>
      <c r="AH9" s="10">
        <f t="shared" si="12"/>
        <v>1.2615351255066298</v>
      </c>
      <c r="AI9" s="10">
        <f t="shared" si="13"/>
        <v>1.1850543294470199</v>
      </c>
      <c r="AJ9" s="13">
        <f t="shared" si="14"/>
        <v>1.2615351255066298</v>
      </c>
      <c r="AK9" s="13">
        <f t="shared" si="15"/>
        <v>1.1850543294470199</v>
      </c>
    </row>
    <row r="10" spans="1:37">
      <c r="A10" s="8">
        <f>鋼床鈑!A10</f>
        <v>8</v>
      </c>
      <c r="B10" s="43" t="s">
        <v>41</v>
      </c>
      <c r="C10" s="43" t="s">
        <v>42</v>
      </c>
      <c r="D10" s="43" t="s">
        <v>87</v>
      </c>
      <c r="E10" s="44">
        <v>442192</v>
      </c>
      <c r="F10" s="45">
        <v>133585.95199999999</v>
      </c>
      <c r="G10" s="45">
        <v>133713.6943</v>
      </c>
      <c r="H10" s="45">
        <v>727947542739.02197</v>
      </c>
      <c r="I10" s="45">
        <v>1184148198814.1399</v>
      </c>
      <c r="J10" s="45">
        <v>1254805482583.8701</v>
      </c>
      <c r="K10" s="45">
        <v>3885.4254000000001</v>
      </c>
      <c r="L10" s="45">
        <v>3396.5745999999999</v>
      </c>
      <c r="M10" s="45">
        <v>1513.7737</v>
      </c>
      <c r="N10" s="45">
        <v>2522.2262999999998</v>
      </c>
      <c r="O10" s="44">
        <v>0</v>
      </c>
      <c r="P10" s="44">
        <v>0</v>
      </c>
      <c r="Q10" s="44">
        <v>30200</v>
      </c>
      <c r="R10" s="44">
        <v>20834</v>
      </c>
      <c r="S10" s="11">
        <f>(鋼床鈑!O10+鋼床鈑!W10+鋼床鈑!X10)*鋼床鈑!U10+(鋼床鈑!R10+鋼床鈑!W10+鋼床鈑!X10)*鋼床鈑!V10</f>
        <v>125400</v>
      </c>
      <c r="T10" s="11">
        <f>(鋼床鈑!T10)*鋼床鈑!W10+(鋼床鈑!T10)*鋼床鈑!X10</f>
        <v>200000</v>
      </c>
      <c r="U10" s="11">
        <f>4*((鋼床鈑!R10+鋼床鈑!W10/2+鋼床鈑!X10/2)*(鋼床鈑!T10+鋼床鈑!U10/2+鋼床鈑!V10/2))^2/((鋼床鈑!O10+鋼床鈑!W10/2+鋼床鈑!X10/2)/鋼床鈑!U10+(鋼床鈑!R10+鋼床鈑!W10/2+鋼床鈑!X10/2)/鋼床鈑!V10+(鋼床鈑!T10+鋼床鈑!U10/2+鋼床鈑!V10/2)/鋼床鈑!W10+(鋼床鈑!T10+鋼床鈑!U10/2+鋼床鈑!V10/2)/鋼床鈑!X10)</f>
        <v>861783337717.24097</v>
      </c>
      <c r="V10" s="12">
        <f t="shared" si="2"/>
        <v>0.36943262856168979</v>
      </c>
      <c r="W10" s="12">
        <f t="shared" si="3"/>
        <v>0.32295189159567189</v>
      </c>
      <c r="X10" s="12">
        <f t="shared" si="4"/>
        <v>0.78224915574510234</v>
      </c>
      <c r="Y10" s="12">
        <f t="shared" si="5"/>
        <v>0.46948531097869367</v>
      </c>
      <c r="Z10" s="12">
        <f t="shared" si="0"/>
        <v>1.6845455671572276</v>
      </c>
      <c r="AA10" s="12">
        <f t="shared" si="1"/>
        <v>1.6364305882706205</v>
      </c>
      <c r="AB10" s="10">
        <f t="shared" si="6"/>
        <v>4.0359999999999996</v>
      </c>
      <c r="AC10" s="10">
        <f t="shared" si="7"/>
        <v>7.282</v>
      </c>
      <c r="AD10" s="10">
        <f t="shared" si="8"/>
        <v>0.44219199999999997</v>
      </c>
      <c r="AE10" s="12">
        <f t="shared" si="9"/>
        <v>0.86178333771724092</v>
      </c>
      <c r="AF10" s="12">
        <f t="shared" si="10"/>
        <v>0.2</v>
      </c>
      <c r="AG10" s="12">
        <f t="shared" si="11"/>
        <v>0.12540000000000001</v>
      </c>
      <c r="AH10" s="10">
        <f t="shared" si="12"/>
        <v>1.2548054825838701</v>
      </c>
      <c r="AI10" s="10">
        <f t="shared" si="13"/>
        <v>1.1841481988141398</v>
      </c>
      <c r="AJ10" s="13">
        <f t="shared" si="14"/>
        <v>1.2548054825838701</v>
      </c>
      <c r="AK10" s="13">
        <f t="shared" si="15"/>
        <v>1.1841481988141398</v>
      </c>
    </row>
    <row r="11" spans="1:37">
      <c r="A11" s="8">
        <f>鋼床鈑!A11</f>
        <v>9</v>
      </c>
      <c r="B11" s="43" t="s">
        <v>41</v>
      </c>
      <c r="C11" s="43" t="s">
        <v>42</v>
      </c>
      <c r="D11" s="43" t="s">
        <v>88</v>
      </c>
      <c r="E11" s="44">
        <v>441792</v>
      </c>
      <c r="F11" s="45">
        <v>133202.9032</v>
      </c>
      <c r="G11" s="45">
        <v>133693.3045</v>
      </c>
      <c r="H11" s="45">
        <v>727841148158.88196</v>
      </c>
      <c r="I11" s="45">
        <v>1183240427369.1201</v>
      </c>
      <c r="J11" s="45">
        <v>1248145786186.5701</v>
      </c>
      <c r="K11" s="45">
        <v>3864.1334000000002</v>
      </c>
      <c r="L11" s="45">
        <v>3392.8665999999998</v>
      </c>
      <c r="M11" s="45">
        <v>1515.1369999999999</v>
      </c>
      <c r="N11" s="45">
        <v>2520.8629999999998</v>
      </c>
      <c r="O11" s="44">
        <v>0</v>
      </c>
      <c r="P11" s="44">
        <v>0</v>
      </c>
      <c r="Q11" s="44">
        <v>30150</v>
      </c>
      <c r="R11" s="44">
        <v>20834</v>
      </c>
      <c r="S11" s="11">
        <f>(鋼床鈑!O11+鋼床鈑!W11+鋼床鈑!X11)*鋼床鈑!U11+(鋼床鈑!R11+鋼床鈑!W11+鋼床鈑!X11)*鋼床鈑!V11</f>
        <v>125400</v>
      </c>
      <c r="T11" s="11">
        <f>(鋼床鈑!T11)*鋼床鈑!W11+(鋼床鈑!T11)*鋼床鈑!X11</f>
        <v>200000</v>
      </c>
      <c r="U11" s="11">
        <f>4*((鋼床鈑!R11+鋼床鈑!W11/2+鋼床鈑!X11/2)*(鋼床鈑!T11+鋼床鈑!U11/2+鋼床鈑!V11/2))^2/((鋼床鈑!O11+鋼床鈑!W11/2+鋼床鈑!X11/2)/鋼床鈑!U11+(鋼床鈑!R11+鋼床鈑!W11/2+鋼床鈑!X11/2)/鋼床鈑!V11+(鋼床鈑!T11+鋼床鈑!U11/2+鋼床鈑!V11/2)/鋼床鈑!W11+(鋼床鈑!T11+鋼床鈑!U11/2+鋼床鈑!V11/2)/鋼床鈑!X11)</f>
        <v>861783337717.24097</v>
      </c>
      <c r="V11" s="12">
        <f t="shared" si="2"/>
        <v>0.36787352210858226</v>
      </c>
      <c r="W11" s="12">
        <f t="shared" si="3"/>
        <v>0.32300794433923274</v>
      </c>
      <c r="X11" s="12">
        <f t="shared" si="4"/>
        <v>0.78094616352786594</v>
      </c>
      <c r="Y11" s="12">
        <f t="shared" si="5"/>
        <v>0.46937910841212721</v>
      </c>
      <c r="Z11" s="12">
        <f t="shared" si="0"/>
        <v>1.6808297788152267</v>
      </c>
      <c r="AA11" s="12">
        <f t="shared" si="1"/>
        <v>1.6365435851882608</v>
      </c>
      <c r="AB11" s="10">
        <f t="shared" si="6"/>
        <v>4.0359999999999996</v>
      </c>
      <c r="AC11" s="10">
        <f t="shared" si="7"/>
        <v>7.2569999999999997</v>
      </c>
      <c r="AD11" s="10">
        <f t="shared" si="8"/>
        <v>0.44179200000000002</v>
      </c>
      <c r="AE11" s="12">
        <f t="shared" si="9"/>
        <v>0.86178333771724092</v>
      </c>
      <c r="AF11" s="12">
        <f t="shared" si="10"/>
        <v>0.2</v>
      </c>
      <c r="AG11" s="12">
        <f t="shared" si="11"/>
        <v>0.12540000000000001</v>
      </c>
      <c r="AH11" s="10">
        <f t="shared" si="12"/>
        <v>1.2481457861865701</v>
      </c>
      <c r="AI11" s="10">
        <f t="shared" si="13"/>
        <v>1.1832404273691202</v>
      </c>
      <c r="AJ11" s="13">
        <f t="shared" si="14"/>
        <v>1.2481457861865701</v>
      </c>
      <c r="AK11" s="13">
        <f t="shared" si="15"/>
        <v>1.1832404273691202</v>
      </c>
    </row>
    <row r="12" spans="1:37">
      <c r="A12" s="8">
        <f>鋼床鈑!A12</f>
        <v>10</v>
      </c>
      <c r="B12" s="43" t="s">
        <v>41</v>
      </c>
      <c r="C12" s="43" t="s">
        <v>42</v>
      </c>
      <c r="D12" s="43" t="s">
        <v>89</v>
      </c>
      <c r="E12" s="44">
        <v>441392</v>
      </c>
      <c r="F12" s="45">
        <v>132929.45800000001</v>
      </c>
      <c r="G12" s="45">
        <v>133649.25289999999</v>
      </c>
      <c r="H12" s="45">
        <v>727478977783.90405</v>
      </c>
      <c r="I12" s="45">
        <v>1182331010651.1299</v>
      </c>
      <c r="J12" s="45">
        <v>1241529792410.4099</v>
      </c>
      <c r="K12" s="45">
        <v>3842.8335999999999</v>
      </c>
      <c r="L12" s="45">
        <v>3389.1664000000001</v>
      </c>
      <c r="M12" s="45">
        <v>1516.5028</v>
      </c>
      <c r="N12" s="45">
        <v>2519.4971999999998</v>
      </c>
      <c r="O12" s="44">
        <v>0</v>
      </c>
      <c r="P12" s="44">
        <v>0</v>
      </c>
      <c r="Q12" s="44">
        <v>30100</v>
      </c>
      <c r="R12" s="44">
        <v>20834</v>
      </c>
      <c r="S12" s="11">
        <f>(鋼床鈑!O12+鋼床鈑!W12+鋼床鈑!X12)*鋼床鈑!U12+(鋼床鈑!R12+鋼床鈑!W12+鋼床鈑!X12)*鋼床鈑!V12</f>
        <v>125400</v>
      </c>
      <c r="T12" s="11">
        <f>(鋼床鈑!T12)*鋼床鈑!W12+(鋼床鈑!T12)*鋼床鈑!X12</f>
        <v>200000</v>
      </c>
      <c r="U12" s="11">
        <f>4*((鋼床鈑!R12+鋼床鈑!W12/2+鋼床鈑!X12/2)*(鋼床鈑!T12+鋼床鈑!U12/2+鋼床鈑!V12/2))^2/((鋼床鈑!O12+鋼床鈑!W12/2+鋼床鈑!X12/2)/鋼床鈑!U12+(鋼床鈑!R12+鋼床鈑!W12/2+鋼床鈑!X12/2)/鋼床鈑!V12+(鋼床鈑!T12+鋼床鈑!U12/2+鋼床鈑!V12/2)/鋼床鈑!W12+(鋼床鈑!T12+鋼床鈑!U12/2+鋼床鈑!V12/2)/鋼床鈑!X12)</f>
        <v>861783337717.24097</v>
      </c>
      <c r="V12" s="12">
        <f t="shared" si="2"/>
        <v>0.36632305584358732</v>
      </c>
      <c r="W12" s="12">
        <f t="shared" si="3"/>
        <v>0.32307664646484036</v>
      </c>
      <c r="X12" s="12">
        <f t="shared" si="4"/>
        <v>0.77964314385118827</v>
      </c>
      <c r="Y12" s="12">
        <f t="shared" si="5"/>
        <v>0.46927260353817013</v>
      </c>
      <c r="Z12" s="12">
        <f t="shared" si="0"/>
        <v>1.6771285189507239</v>
      </c>
      <c r="AA12" s="12">
        <f t="shared" si="1"/>
        <v>1.6366556403403925</v>
      </c>
      <c r="AB12" s="10">
        <f t="shared" si="6"/>
        <v>4.0359999999999996</v>
      </c>
      <c r="AC12" s="10">
        <f t="shared" si="7"/>
        <v>7.2320000000000002</v>
      </c>
      <c r="AD12" s="10">
        <f t="shared" si="8"/>
        <v>0.44139200000000001</v>
      </c>
      <c r="AE12" s="12">
        <f t="shared" si="9"/>
        <v>0.86178333771724092</v>
      </c>
      <c r="AF12" s="12">
        <f t="shared" si="10"/>
        <v>0.2</v>
      </c>
      <c r="AG12" s="12">
        <f t="shared" si="11"/>
        <v>0.12540000000000001</v>
      </c>
      <c r="AH12" s="10">
        <f t="shared" si="12"/>
        <v>1.2415297924104098</v>
      </c>
      <c r="AI12" s="10">
        <f t="shared" si="13"/>
        <v>1.1823310106511298</v>
      </c>
      <c r="AJ12" s="13">
        <f t="shared" si="14"/>
        <v>1.2415297924104098</v>
      </c>
      <c r="AK12" s="13">
        <f t="shared" si="15"/>
        <v>1.1823310106511298</v>
      </c>
    </row>
    <row r="13" spans="1:37">
      <c r="A13" s="8">
        <f>鋼床鈑!A13</f>
        <v>11</v>
      </c>
      <c r="B13" s="43" t="s">
        <v>41</v>
      </c>
      <c r="C13" s="43" t="s">
        <v>42</v>
      </c>
      <c r="D13" s="43" t="s">
        <v>90</v>
      </c>
      <c r="E13" s="44">
        <v>440992</v>
      </c>
      <c r="F13" s="45">
        <v>132634.71119999999</v>
      </c>
      <c r="G13" s="45">
        <v>133723.1746</v>
      </c>
      <c r="H13" s="45">
        <v>727118513031.69104</v>
      </c>
      <c r="I13" s="45">
        <v>1181419944183.1499</v>
      </c>
      <c r="J13" s="45">
        <v>1235034990223.1001</v>
      </c>
      <c r="K13" s="45">
        <v>3821.5016000000001</v>
      </c>
      <c r="L13" s="45">
        <v>3385.4983999999999</v>
      </c>
      <c r="M13" s="45">
        <v>1517.8711000000001</v>
      </c>
      <c r="N13" s="45">
        <v>2518.1289000000002</v>
      </c>
      <c r="O13" s="44">
        <v>0</v>
      </c>
      <c r="P13" s="44">
        <v>0</v>
      </c>
      <c r="Q13" s="44">
        <v>30050</v>
      </c>
      <c r="R13" s="44">
        <v>20834</v>
      </c>
      <c r="S13" s="11">
        <f>(鋼床鈑!O13+鋼床鈑!W13+鋼床鈑!X13)*鋼床鈑!U13+(鋼床鈑!R13+鋼床鈑!W13+鋼床鈑!X13)*鋼床鈑!V13</f>
        <v>125400</v>
      </c>
      <c r="T13" s="11">
        <f>(鋼床鈑!T13)*鋼床鈑!W13+(鋼床鈑!T13)*鋼床鈑!X13</f>
        <v>200000</v>
      </c>
      <c r="U13" s="11">
        <f>4*((鋼床鈑!R13+鋼床鈑!W13/2+鋼床鈑!X13/2)*(鋼床鈑!T13+鋼床鈑!U13/2+鋼床鈑!V13/2))^2/((鋼床鈑!O13+鋼床鈑!W13/2+鋼床鈑!X13/2)/鋼床鈑!U13+(鋼床鈑!R13+鋼床鈑!W13/2+鋼床鈑!X13/2)/鋼床鈑!V13+(鋼床鈑!T13+鋼床鈑!U13/2+鋼床鈑!V13/2)/鋼床鈑!W13+(鋼床鈑!T13+鋼床鈑!U13/2+鋼床鈑!V13/2)/鋼床鈑!X13)</f>
        <v>861783337717.24097</v>
      </c>
      <c r="V13" s="12">
        <f t="shared" si="2"/>
        <v>0.36480152825448098</v>
      </c>
      <c r="W13" s="12">
        <f t="shared" si="3"/>
        <v>0.32318055034259313</v>
      </c>
      <c r="X13" s="12">
        <f t="shared" si="4"/>
        <v>0.77834010027804723</v>
      </c>
      <c r="Y13" s="12">
        <f t="shared" si="5"/>
        <v>0.46916579376979067</v>
      </c>
      <c r="Z13" s="12">
        <f t="shared" si="0"/>
        <v>1.6734944463270613</v>
      </c>
      <c r="AA13" s="12">
        <f t="shared" si="1"/>
        <v>1.6367667482778827</v>
      </c>
      <c r="AB13" s="10">
        <f t="shared" si="6"/>
        <v>4.0359999999999996</v>
      </c>
      <c r="AC13" s="10">
        <f t="shared" si="7"/>
        <v>7.2069999999999999</v>
      </c>
      <c r="AD13" s="10">
        <f t="shared" si="8"/>
        <v>0.440992</v>
      </c>
      <c r="AE13" s="12">
        <f t="shared" si="9"/>
        <v>0.86178333771724092</v>
      </c>
      <c r="AF13" s="12">
        <f t="shared" si="10"/>
        <v>0.2</v>
      </c>
      <c r="AG13" s="12">
        <f t="shared" si="11"/>
        <v>0.12540000000000001</v>
      </c>
      <c r="AH13" s="10">
        <f t="shared" si="12"/>
        <v>1.2350349902231001</v>
      </c>
      <c r="AI13" s="10">
        <f t="shared" si="13"/>
        <v>1.1814199441831499</v>
      </c>
      <c r="AJ13" s="13">
        <f t="shared" si="14"/>
        <v>1.2350349902231001</v>
      </c>
      <c r="AK13" s="13">
        <f t="shared" si="15"/>
        <v>1.1814199441831499</v>
      </c>
    </row>
    <row r="14" spans="1:37">
      <c r="A14" s="8">
        <f>鋼床鈑!A14</f>
        <v>12</v>
      </c>
      <c r="B14" s="43" t="s">
        <v>41</v>
      </c>
      <c r="C14" s="43" t="s">
        <v>42</v>
      </c>
      <c r="D14" s="43" t="s">
        <v>91</v>
      </c>
      <c r="E14" s="44">
        <v>440592</v>
      </c>
      <c r="F14" s="45">
        <v>132391.9639</v>
      </c>
      <c r="G14" s="45">
        <v>133874.5686</v>
      </c>
      <c r="H14" s="45">
        <v>727440809555.36804</v>
      </c>
      <c r="I14" s="45">
        <v>1180507223471.8999</v>
      </c>
      <c r="J14" s="45">
        <v>1228583267598.5701</v>
      </c>
      <c r="K14" s="45">
        <v>3800.1617000000001</v>
      </c>
      <c r="L14" s="45">
        <v>3381.8382999999999</v>
      </c>
      <c r="M14" s="45">
        <v>1519.2419</v>
      </c>
      <c r="N14" s="45">
        <v>2516.7581</v>
      </c>
      <c r="O14" s="44">
        <v>0</v>
      </c>
      <c r="P14" s="44">
        <v>0</v>
      </c>
      <c r="Q14" s="44">
        <v>30000</v>
      </c>
      <c r="R14" s="44">
        <v>20834</v>
      </c>
      <c r="S14" s="11">
        <f>(鋼床鈑!O14+鋼床鈑!W14+鋼床鈑!X14)*鋼床鈑!U14+(鋼床鈑!R14+鋼床鈑!W14+鋼床鈑!X14)*鋼床鈑!V14</f>
        <v>125400</v>
      </c>
      <c r="T14" s="11">
        <f>(鋼床鈑!T14)*鋼床鈑!W14+(鋼床鈑!T14)*鋼床鈑!X14</f>
        <v>200000</v>
      </c>
      <c r="U14" s="11">
        <f>4*((鋼床鈑!R14+鋼床鈑!W14/2+鋼床鈑!X14/2)*(鋼床鈑!T14+鋼床鈑!U14/2+鋼床鈑!V14/2))^2/((鋼床鈑!O14+鋼床鈑!W14/2+鋼床鈑!X14/2)/鋼床鈑!U14+(鋼床鈑!R14+鋼床鈑!W14/2+鋼床鈑!X14/2)/鋼床鈑!V14+(鋼床鈑!T14+鋼床鈑!U14/2+鋼床鈑!V14/2)/鋼床鈑!W14+(鋼床鈑!T14+鋼床鈑!U14/2+鋼床鈑!V14/2)/鋼床鈑!X14)</f>
        <v>861783337717.24097</v>
      </c>
      <c r="V14" s="12">
        <f t="shared" si="2"/>
        <v>0.36328858999514263</v>
      </c>
      <c r="W14" s="12">
        <f t="shared" si="3"/>
        <v>0.32329762904525089</v>
      </c>
      <c r="X14" s="12">
        <f t="shared" si="4"/>
        <v>0.7770370363481286</v>
      </c>
      <c r="Y14" s="12">
        <f t="shared" si="5"/>
        <v>0.46905867650605748</v>
      </c>
      <c r="Z14" s="12">
        <f t="shared" si="0"/>
        <v>1.6698751216978007</v>
      </c>
      <c r="AA14" s="12">
        <f t="shared" si="1"/>
        <v>1.6368769035196766</v>
      </c>
      <c r="AB14" s="10">
        <f t="shared" si="6"/>
        <v>4.0359999999999996</v>
      </c>
      <c r="AC14" s="10">
        <f t="shared" si="7"/>
        <v>7.1820000000000004</v>
      </c>
      <c r="AD14" s="10">
        <f t="shared" si="8"/>
        <v>0.44059199999999998</v>
      </c>
      <c r="AE14" s="12">
        <f t="shared" si="9"/>
        <v>0.86178333771724092</v>
      </c>
      <c r="AF14" s="12">
        <f t="shared" si="10"/>
        <v>0.2</v>
      </c>
      <c r="AG14" s="12">
        <f t="shared" si="11"/>
        <v>0.12540000000000001</v>
      </c>
      <c r="AH14" s="10">
        <f t="shared" si="12"/>
        <v>1.2285832675985702</v>
      </c>
      <c r="AI14" s="10">
        <f t="shared" si="13"/>
        <v>1.1805072234718998</v>
      </c>
      <c r="AJ14" s="13">
        <f t="shared" si="14"/>
        <v>1.2285832675985702</v>
      </c>
      <c r="AK14" s="13">
        <f t="shared" si="15"/>
        <v>1.1805072234718998</v>
      </c>
    </row>
    <row r="15" spans="1:37">
      <c r="A15" s="8">
        <f>鋼床鈑!A15</f>
        <v>13</v>
      </c>
      <c r="B15" s="43" t="s">
        <v>41</v>
      </c>
      <c r="C15" s="43" t="s">
        <v>42</v>
      </c>
      <c r="D15" s="43" t="s">
        <v>92</v>
      </c>
      <c r="E15" s="44">
        <v>440192</v>
      </c>
      <c r="F15" s="45">
        <v>132228.3757</v>
      </c>
      <c r="G15" s="45">
        <v>134016.89319999999</v>
      </c>
      <c r="H15" s="45">
        <v>728163738818.72998</v>
      </c>
      <c r="I15" s="45">
        <v>1179592844007.8</v>
      </c>
      <c r="J15" s="45">
        <v>1222200245376.6101</v>
      </c>
      <c r="K15" s="45">
        <v>3778.8056999999999</v>
      </c>
      <c r="L15" s="45">
        <v>3378.1943000000001</v>
      </c>
      <c r="M15" s="45">
        <v>1520.6151</v>
      </c>
      <c r="N15" s="45">
        <v>2515.3849</v>
      </c>
      <c r="O15" s="44">
        <v>0</v>
      </c>
      <c r="P15" s="44">
        <v>0</v>
      </c>
      <c r="Q15" s="44">
        <v>29950</v>
      </c>
      <c r="R15" s="44">
        <v>20834</v>
      </c>
      <c r="S15" s="11">
        <f>(鋼床鈑!O15+鋼床鈑!W15+鋼床鈑!X15)*鋼床鈑!U15+(鋼床鈑!R15+鋼床鈑!W15+鋼床鈑!X15)*鋼床鈑!V15</f>
        <v>125400</v>
      </c>
      <c r="T15" s="11">
        <f>(鋼床鈑!T15)*鋼床鈑!W15+(鋼床鈑!T15)*鋼床鈑!X15</f>
        <v>200000</v>
      </c>
      <c r="U15" s="11">
        <f>4*((鋼床鈑!R15+鋼床鈑!W15/2+鋼床鈑!X15/2)*(鋼床鈑!T15+鋼床鈑!U15/2+鋼床鈑!V15/2))^2/((鋼床鈑!O15+鋼床鈑!W15/2+鋼床鈑!X15/2)/鋼床鈑!U15+(鋼床鈑!R15+鋼床鈑!W15/2+鋼床鈑!X15/2)/鋼床鈑!V15+(鋼床鈑!T15+鋼床鈑!U15/2+鋼床鈑!V15/2)/鋼床鈑!W15+(鋼床鈑!T15+鋼床鈑!U15/2+鋼床鈑!V15/2)/鋼床鈑!X15)</f>
        <v>861783337717.24097</v>
      </c>
      <c r="V15" s="12">
        <f t="shared" si="2"/>
        <v>0.36179098560926765</v>
      </c>
      <c r="W15" s="12">
        <f t="shared" si="3"/>
        <v>0.32343558849204923</v>
      </c>
      <c r="X15" s="12">
        <f t="shared" si="4"/>
        <v>0.77573400659233238</v>
      </c>
      <c r="Y15" s="12">
        <f t="shared" si="5"/>
        <v>0.46895123048874154</v>
      </c>
      <c r="Z15" s="12">
        <f t="shared" si="0"/>
        <v>1.6662881682559876</v>
      </c>
      <c r="AA15" s="12">
        <f t="shared" si="1"/>
        <v>1.6369861005526052</v>
      </c>
      <c r="AB15" s="10">
        <f t="shared" si="6"/>
        <v>4.0359999999999996</v>
      </c>
      <c r="AC15" s="10">
        <f t="shared" si="7"/>
        <v>7.157</v>
      </c>
      <c r="AD15" s="10">
        <f t="shared" si="8"/>
        <v>0.44019200000000003</v>
      </c>
      <c r="AE15" s="12">
        <f t="shared" si="9"/>
        <v>0.86178333771724092</v>
      </c>
      <c r="AF15" s="12">
        <f t="shared" si="10"/>
        <v>0.2</v>
      </c>
      <c r="AG15" s="12">
        <f t="shared" si="11"/>
        <v>0.12540000000000001</v>
      </c>
      <c r="AH15" s="10">
        <f t="shared" si="12"/>
        <v>1.2222002453766101</v>
      </c>
      <c r="AI15" s="10">
        <f t="shared" si="13"/>
        <v>1.1795928440078001</v>
      </c>
      <c r="AJ15" s="13">
        <f t="shared" si="14"/>
        <v>1.2222002453766101</v>
      </c>
      <c r="AK15" s="13">
        <f t="shared" si="15"/>
        <v>1.1795928440078001</v>
      </c>
    </row>
    <row r="16" spans="1:37">
      <c r="A16" s="8">
        <f>鋼床鈑!A16</f>
        <v>14</v>
      </c>
      <c r="B16" s="43" t="s">
        <v>41</v>
      </c>
      <c r="C16" s="43" t="s">
        <v>42</v>
      </c>
      <c r="D16" s="43" t="s">
        <v>93</v>
      </c>
      <c r="E16" s="44">
        <v>439792</v>
      </c>
      <c r="F16" s="45">
        <v>132080.56289999999</v>
      </c>
      <c r="G16" s="45">
        <v>134105.7458</v>
      </c>
      <c r="H16" s="45">
        <v>728275888216.849</v>
      </c>
      <c r="I16" s="45">
        <v>1178676801264.8101</v>
      </c>
      <c r="J16" s="45">
        <v>1215860284932.47</v>
      </c>
      <c r="K16" s="45">
        <v>3757.4416999999999</v>
      </c>
      <c r="L16" s="45">
        <v>3374.5583000000001</v>
      </c>
      <c r="M16" s="45">
        <v>1521.9909</v>
      </c>
      <c r="N16" s="45">
        <v>2514.0091000000002</v>
      </c>
      <c r="O16" s="44">
        <v>0</v>
      </c>
      <c r="P16" s="44">
        <v>0</v>
      </c>
      <c r="Q16" s="44">
        <v>29900</v>
      </c>
      <c r="R16" s="44">
        <v>20834</v>
      </c>
      <c r="S16" s="11">
        <f>(鋼床鈑!O16+鋼床鈑!W16+鋼床鈑!X16)*鋼床鈑!U16+(鋼床鈑!R16+鋼床鈑!W16+鋼床鈑!X16)*鋼床鈑!V16</f>
        <v>125400</v>
      </c>
      <c r="T16" s="11">
        <f>(鋼床鈑!T16)*鋼床鈑!W16+(鋼床鈑!T16)*鋼床鈑!X16</f>
        <v>200000</v>
      </c>
      <c r="U16" s="11">
        <f>4*((鋼床鈑!R16+鋼床鈑!W16/2+鋼床鈑!X16/2)*(鋼床鈑!T16+鋼床鈑!U16/2+鋼床鈑!V16/2))^2/((鋼床鈑!O16+鋼床鈑!W16/2+鋼床鈑!X16/2)/鋼床鈑!U16+(鋼床鈑!R16+鋼床鈑!W16/2+鋼床鈑!X16/2)/鋼床鈑!V16+(鋼床鈑!T16+鋼床鈑!U16/2+鋼床鈑!V16/2)/鋼床鈑!W16+(鋼床鈑!T16+鋼床鈑!U16/2+鋼床鈑!V16/2)/鋼床鈑!X16)</f>
        <v>861783337717.24097</v>
      </c>
      <c r="V16" s="12">
        <f t="shared" si="2"/>
        <v>0.36030205343688088</v>
      </c>
      <c r="W16" s="12">
        <f t="shared" si="3"/>
        <v>0.32358726548770406</v>
      </c>
      <c r="X16" s="12">
        <f t="shared" si="4"/>
        <v>0.77443091234304362</v>
      </c>
      <c r="Y16" s="12">
        <f t="shared" si="5"/>
        <v>0.46884349036954964</v>
      </c>
      <c r="Z16" s="12">
        <f t="shared" si="0"/>
        <v>1.6627163749057614</v>
      </c>
      <c r="AA16" s="12">
        <f t="shared" si="1"/>
        <v>1.6370943338311086</v>
      </c>
      <c r="AB16" s="10">
        <f t="shared" si="6"/>
        <v>4.0359999999999996</v>
      </c>
      <c r="AC16" s="10">
        <f t="shared" si="7"/>
        <v>7.1319999999999997</v>
      </c>
      <c r="AD16" s="10">
        <f t="shared" si="8"/>
        <v>0.43979200000000002</v>
      </c>
      <c r="AE16" s="12">
        <f t="shared" si="9"/>
        <v>0.86178333771724092</v>
      </c>
      <c r="AF16" s="12">
        <f t="shared" si="10"/>
        <v>0.2</v>
      </c>
      <c r="AG16" s="12">
        <f t="shared" si="11"/>
        <v>0.12540000000000001</v>
      </c>
      <c r="AH16" s="10">
        <f t="shared" si="12"/>
        <v>1.21586028493247</v>
      </c>
      <c r="AI16" s="10">
        <f t="shared" si="13"/>
        <v>1.1786768012648101</v>
      </c>
      <c r="AJ16" s="13">
        <f t="shared" si="14"/>
        <v>1.21586028493247</v>
      </c>
      <c r="AK16" s="13">
        <f t="shared" si="15"/>
        <v>1.1786768012648101</v>
      </c>
    </row>
    <row r="17" spans="1:37">
      <c r="A17" s="8">
        <f>鋼床鈑!A17</f>
        <v>15</v>
      </c>
      <c r="B17" s="43" t="s">
        <v>41</v>
      </c>
      <c r="C17" s="43" t="s">
        <v>42</v>
      </c>
      <c r="D17" s="43" t="s">
        <v>94</v>
      </c>
      <c r="E17" s="44">
        <v>439392</v>
      </c>
      <c r="F17" s="45">
        <v>131852.3952</v>
      </c>
      <c r="G17" s="45">
        <v>134158.07990000001</v>
      </c>
      <c r="H17" s="45">
        <v>728492606189.75098</v>
      </c>
      <c r="I17" s="45">
        <v>1177759090700.45</v>
      </c>
      <c r="J17" s="45">
        <v>1209162132946.6399</v>
      </c>
      <c r="K17" s="45">
        <v>3736.2073999999998</v>
      </c>
      <c r="L17" s="45">
        <v>3370.7926000000002</v>
      </c>
      <c r="M17" s="45">
        <v>1523.3690999999999</v>
      </c>
      <c r="N17" s="45">
        <v>2512.6309000000001</v>
      </c>
      <c r="O17" s="44">
        <v>0</v>
      </c>
      <c r="P17" s="44">
        <v>0</v>
      </c>
      <c r="Q17" s="44">
        <v>29850</v>
      </c>
      <c r="R17" s="44">
        <v>20834</v>
      </c>
      <c r="S17" s="11">
        <f>(鋼床鈑!O17+鋼床鈑!W17+鋼床鈑!X17)*鋼床鈑!U17+(鋼床鈑!R17+鋼床鈑!W17+鋼床鈑!X17)*鋼床鈑!V17</f>
        <v>125400</v>
      </c>
      <c r="T17" s="11">
        <f>(鋼床鈑!T17)*鋼床鈑!W17+(鋼床鈑!T17)*鋼床鈑!X17</f>
        <v>200000</v>
      </c>
      <c r="U17" s="11">
        <f>4*((鋼床鈑!R17+鋼床鈑!W17/2+鋼床鈑!X17/2)*(鋼床鈑!T17+鋼床鈑!U17/2+鋼床鈑!V17/2))^2/((鋼床鈑!O17+鋼床鈑!W17/2+鋼床鈑!X17/2)/鋼床鈑!U17+(鋼床鈑!R17+鋼床鈑!W17/2+鋼床鈑!X17/2)/鋼床鈑!V17+(鋼床鈑!T17+鋼床鈑!U17/2+鋼床鈑!V17/2)/鋼床鈑!W17+(鋼床鈑!T17+鋼床鈑!U17/2+鋼床鈑!V17/2)/鋼床鈑!X17)</f>
        <v>861783337717.24097</v>
      </c>
      <c r="V17" s="12">
        <f t="shared" si="2"/>
        <v>0.35871745207540801</v>
      </c>
      <c r="W17" s="12">
        <f t="shared" si="3"/>
        <v>0.32363356834704626</v>
      </c>
      <c r="X17" s="12">
        <f t="shared" si="4"/>
        <v>0.77312785896763314</v>
      </c>
      <c r="Y17" s="12">
        <f t="shared" si="5"/>
        <v>0.46873541621272352</v>
      </c>
      <c r="Z17" s="12">
        <f t="shared" si="0"/>
        <v>1.6588846795099377</v>
      </c>
      <c r="AA17" s="12">
        <f t="shared" si="1"/>
        <v>1.63720159777708</v>
      </c>
      <c r="AB17" s="10">
        <f t="shared" si="6"/>
        <v>4.0359999999999996</v>
      </c>
      <c r="AC17" s="10">
        <f t="shared" si="7"/>
        <v>7.1070000000000002</v>
      </c>
      <c r="AD17" s="10">
        <f t="shared" si="8"/>
        <v>0.439392</v>
      </c>
      <c r="AE17" s="12">
        <f t="shared" si="9"/>
        <v>0.86178333771724092</v>
      </c>
      <c r="AF17" s="12">
        <f t="shared" si="10"/>
        <v>0.2</v>
      </c>
      <c r="AG17" s="12">
        <f t="shared" si="11"/>
        <v>0.12540000000000001</v>
      </c>
      <c r="AH17" s="10">
        <f t="shared" si="12"/>
        <v>1.20916213294664</v>
      </c>
      <c r="AI17" s="10">
        <f t="shared" si="13"/>
        <v>1.17775909070045</v>
      </c>
      <c r="AJ17" s="13">
        <f t="shared" si="14"/>
        <v>1.20916213294664</v>
      </c>
      <c r="AK17" s="13">
        <f t="shared" si="15"/>
        <v>1.17775909070045</v>
      </c>
    </row>
    <row r="18" spans="1:37">
      <c r="A18" s="8">
        <f>鋼床鈑!A18</f>
        <v>16</v>
      </c>
      <c r="B18" s="43" t="s">
        <v>41</v>
      </c>
      <c r="C18" s="43" t="s">
        <v>42</v>
      </c>
      <c r="D18" s="43" t="s">
        <v>95</v>
      </c>
      <c r="E18" s="44">
        <v>438992</v>
      </c>
      <c r="F18" s="45">
        <v>131607.5184</v>
      </c>
      <c r="G18" s="45">
        <v>134157.3579</v>
      </c>
      <c r="H18" s="45">
        <v>728439967844.37402</v>
      </c>
      <c r="I18" s="45">
        <v>1176839707755.6499</v>
      </c>
      <c r="J18" s="45">
        <v>1202508215091.9199</v>
      </c>
      <c r="K18" s="45">
        <v>3714.9652999999998</v>
      </c>
      <c r="L18" s="45">
        <v>3367.0347000000002</v>
      </c>
      <c r="M18" s="45">
        <v>1524.7499</v>
      </c>
      <c r="N18" s="45">
        <v>2511.2501000000002</v>
      </c>
      <c r="O18" s="44">
        <v>0</v>
      </c>
      <c r="P18" s="44">
        <v>0</v>
      </c>
      <c r="Q18" s="44">
        <v>29800</v>
      </c>
      <c r="R18" s="44">
        <v>20834</v>
      </c>
      <c r="S18" s="11">
        <f>(鋼床鈑!O18+鋼床鈑!W18+鋼床鈑!X18)*鋼床鈑!U18+(鋼床鈑!R18+鋼床鈑!W18+鋼床鈑!X18)*鋼床鈑!V18</f>
        <v>125400</v>
      </c>
      <c r="T18" s="11">
        <f>(鋼床鈑!T18)*鋼床鈑!W18+(鋼床鈑!T18)*鋼床鈑!X18</f>
        <v>200000</v>
      </c>
      <c r="U18" s="11">
        <f>4*((鋼床鈑!R18+鋼床鈑!W18/2+鋼床鈑!X18/2)*(鋼床鈑!T18+鋼床鈑!U18/2+鋼床鈑!V18/2))^2/((鋼床鈑!O18+鋼床鈑!W18/2+鋼床鈑!X18/2)/鋼床鈑!U18+(鋼床鈑!R18+鋼床鈑!W18/2+鋼床鈑!X18/2)/鋼床鈑!V18+(鋼床鈑!T18+鋼床鈑!U18/2+鋼床鈑!V18/2)/鋼床鈑!W18+(鋼床鈑!T18+鋼床鈑!U18/2+鋼床鈑!V18/2)/鋼床鈑!X18)</f>
        <v>861783337717.24097</v>
      </c>
      <c r="V18" s="12">
        <f t="shared" si="2"/>
        <v>0.35714161635813257</v>
      </c>
      <c r="W18" s="12">
        <f t="shared" si="3"/>
        <v>0.32369298714362688</v>
      </c>
      <c r="X18" s="12">
        <f t="shared" si="4"/>
        <v>0.77182474827881598</v>
      </c>
      <c r="Y18" s="12">
        <f t="shared" si="5"/>
        <v>0.46862704266518485</v>
      </c>
      <c r="Z18" s="12">
        <f t="shared" si="0"/>
        <v>1.6550675471427208</v>
      </c>
      <c r="AA18" s="12">
        <f t="shared" si="1"/>
        <v>1.6373078867795934</v>
      </c>
      <c r="AB18" s="10">
        <f t="shared" si="6"/>
        <v>4.0359999999999996</v>
      </c>
      <c r="AC18" s="10">
        <f t="shared" si="7"/>
        <v>7.0819999999999999</v>
      </c>
      <c r="AD18" s="10">
        <f t="shared" si="8"/>
        <v>0.43899199999999999</v>
      </c>
      <c r="AE18" s="12">
        <f t="shared" si="9"/>
        <v>0.86178333771724092</v>
      </c>
      <c r="AF18" s="12">
        <f t="shared" si="10"/>
        <v>0.2</v>
      </c>
      <c r="AG18" s="12">
        <f t="shared" si="11"/>
        <v>0.12540000000000001</v>
      </c>
      <c r="AH18" s="10">
        <f t="shared" si="12"/>
        <v>1.20250821509192</v>
      </c>
      <c r="AI18" s="10">
        <f t="shared" si="13"/>
        <v>1.1768397077556498</v>
      </c>
      <c r="AJ18" s="13">
        <f t="shared" si="14"/>
        <v>1.20250821509192</v>
      </c>
      <c r="AK18" s="13">
        <f t="shared" si="15"/>
        <v>1.1768397077556498</v>
      </c>
    </row>
    <row r="19" spans="1:37">
      <c r="A19" s="8">
        <f>鋼床鈑!A19</f>
        <v>17</v>
      </c>
      <c r="B19" s="43" t="s">
        <v>41</v>
      </c>
      <c r="C19" s="43" t="s">
        <v>42</v>
      </c>
      <c r="D19" s="43" t="s">
        <v>96</v>
      </c>
      <c r="E19" s="44">
        <v>438592</v>
      </c>
      <c r="F19" s="45">
        <v>131361.36970000001</v>
      </c>
      <c r="G19" s="45">
        <v>134345.89139999999</v>
      </c>
      <c r="H19" s="45">
        <v>728899130041.70703</v>
      </c>
      <c r="I19" s="45">
        <v>1175918647854.78</v>
      </c>
      <c r="J19" s="45">
        <v>1195923548345.1101</v>
      </c>
      <c r="K19" s="45">
        <v>3693.7071999999998</v>
      </c>
      <c r="L19" s="45">
        <v>3363.2928000000002</v>
      </c>
      <c r="M19" s="45">
        <v>1526.1332</v>
      </c>
      <c r="N19" s="45">
        <v>2509.8667999999998</v>
      </c>
      <c r="O19" s="44">
        <v>0</v>
      </c>
      <c r="P19" s="44">
        <v>0</v>
      </c>
      <c r="Q19" s="44">
        <v>29750</v>
      </c>
      <c r="R19" s="44">
        <v>20834</v>
      </c>
      <c r="S19" s="11">
        <f>(鋼床鈑!O19+鋼床鈑!W19+鋼床鈑!X19)*鋼床鈑!U19+(鋼床鈑!R19+鋼床鈑!W19+鋼床鈑!X19)*鋼床鈑!V19</f>
        <v>125400</v>
      </c>
      <c r="T19" s="11">
        <f>(鋼床鈑!T19)*鋼床鈑!W19+(鋼床鈑!T19)*鋼床鈑!X19</f>
        <v>200000</v>
      </c>
      <c r="U19" s="11">
        <f>4*((鋼床鈑!R19+鋼床鈑!W19/2+鋼床鈑!X19/2)*(鋼床鈑!T19+鋼床鈑!U19/2+鋼床鈑!V19/2))^2/((鋼床鈑!O19+鋼床鈑!W19/2+鋼床鈑!X19/2)/鋼床鈑!U19+(鋼床鈑!R19+鋼床鈑!W19/2+鋼床鈑!X19/2)/鋼床鈑!V19+(鋼床鈑!T19+鋼床鈑!U19/2+鋼床鈑!V19/2)/鋼床鈑!W19+(鋼床鈑!T19+鋼床鈑!U19/2+鋼床鈑!V19/2)/鋼床鈑!X19)</f>
        <v>861783337717.24097</v>
      </c>
      <c r="V19" s="12">
        <f t="shared" si="2"/>
        <v>0.35558115794887379</v>
      </c>
      <c r="W19" s="12">
        <f t="shared" si="3"/>
        <v>0.32377324015967213</v>
      </c>
      <c r="X19" s="12">
        <f t="shared" si="4"/>
        <v>0.77052163458260392</v>
      </c>
      <c r="Y19" s="12">
        <f t="shared" si="5"/>
        <v>0.46851834840589157</v>
      </c>
      <c r="Z19" s="12">
        <f t="shared" si="0"/>
        <v>1.6512824143613465</v>
      </c>
      <c r="AA19" s="12">
        <f t="shared" si="1"/>
        <v>1.6374131951947528</v>
      </c>
      <c r="AB19" s="10">
        <f t="shared" si="6"/>
        <v>4.0359999999999996</v>
      </c>
      <c r="AC19" s="10">
        <f t="shared" si="7"/>
        <v>7.0570000000000004</v>
      </c>
      <c r="AD19" s="10">
        <f t="shared" si="8"/>
        <v>0.43859199999999998</v>
      </c>
      <c r="AE19" s="12">
        <f t="shared" si="9"/>
        <v>0.86178333771724092</v>
      </c>
      <c r="AF19" s="12">
        <f t="shared" si="10"/>
        <v>0.2</v>
      </c>
      <c r="AG19" s="12">
        <f t="shared" si="11"/>
        <v>0.12540000000000001</v>
      </c>
      <c r="AH19" s="10">
        <f t="shared" si="12"/>
        <v>1.1959235483451101</v>
      </c>
      <c r="AI19" s="10">
        <f t="shared" si="13"/>
        <v>1.1759186478547801</v>
      </c>
      <c r="AJ19" s="13">
        <f t="shared" si="14"/>
        <v>1.1959235483451101</v>
      </c>
      <c r="AK19" s="13">
        <f t="shared" si="15"/>
        <v>1.1759186478547801</v>
      </c>
    </row>
    <row r="20" spans="1:37">
      <c r="A20" s="8">
        <f>鋼床鈑!A20</f>
        <v>18</v>
      </c>
      <c r="B20" s="43" t="s">
        <v>41</v>
      </c>
      <c r="C20" s="43" t="s">
        <v>42</v>
      </c>
      <c r="D20" s="43" t="s">
        <v>97</v>
      </c>
      <c r="E20" s="44">
        <v>438272</v>
      </c>
      <c r="F20" s="45">
        <v>131052.38039999999</v>
      </c>
      <c r="G20" s="45">
        <v>134323.7689</v>
      </c>
      <c r="H20" s="45">
        <v>728991395591.00403</v>
      </c>
      <c r="I20" s="45">
        <v>1176315726783.98</v>
      </c>
      <c r="J20" s="45">
        <v>1189570387103.4299</v>
      </c>
      <c r="K20" s="45">
        <v>3672.4713999999999</v>
      </c>
      <c r="L20" s="45">
        <v>3359.5286000000001</v>
      </c>
      <c r="M20" s="45">
        <v>1528.3559</v>
      </c>
      <c r="N20" s="45">
        <v>2509.6441</v>
      </c>
      <c r="O20" s="44">
        <v>0</v>
      </c>
      <c r="P20" s="44">
        <v>0</v>
      </c>
      <c r="Q20" s="44">
        <v>29704</v>
      </c>
      <c r="R20" s="44">
        <v>20838</v>
      </c>
      <c r="S20" s="11">
        <f>(鋼床鈑!O20+鋼床鈑!W20+鋼床鈑!X20)*鋼床鈑!U20+(鋼床鈑!R20+鋼床鈑!W20+鋼床鈑!X20)*鋼床鈑!V20</f>
        <v>125400</v>
      </c>
      <c r="T20" s="11">
        <f>(鋼床鈑!T20)*鋼床鈑!W20+(鋼床鈑!T20)*鋼床鈑!X20</f>
        <v>200100</v>
      </c>
      <c r="U20" s="11">
        <f>4*((鋼床鈑!R20+鋼床鈑!W20/2+鋼床鈑!X20/2)*(鋼床鈑!T20+鋼床鈑!U20/2+鋼床鈑!V20/2))^2/((鋼床鈑!O20+鋼床鈑!W20/2+鋼床鈑!X20/2)/鋼床鈑!U20+(鋼床鈑!R20+鋼床鈑!W20/2+鋼床鈑!X20/2)/鋼床鈑!V20+(鋼床鈑!T20+鋼床鈑!U20/2+鋼床鈑!V20/2)/鋼床鈑!W20+(鋼床鈑!T20+鋼床鈑!U20/2+鋼床鈑!V20/2)/鋼床鈑!X20)</f>
        <v>862410343034.50427</v>
      </c>
      <c r="V20" s="12">
        <f t="shared" si="2"/>
        <v>0.35408848345670579</v>
      </c>
      <c r="W20" s="12">
        <f t="shared" si="3"/>
        <v>0.32391549382887774</v>
      </c>
      <c r="X20" s="12">
        <f t="shared" si="4"/>
        <v>0.76966086680725343</v>
      </c>
      <c r="Y20" s="12">
        <f t="shared" si="5"/>
        <v>0.46871814484929553</v>
      </c>
      <c r="Z20" s="12">
        <f t="shared" si="0"/>
        <v>1.6474916016376451</v>
      </c>
      <c r="AA20" s="12">
        <f t="shared" si="1"/>
        <v>1.6382873914416634</v>
      </c>
      <c r="AB20" s="10">
        <f t="shared" si="6"/>
        <v>4.0380000000000003</v>
      </c>
      <c r="AC20" s="10">
        <f t="shared" si="7"/>
        <v>7.032</v>
      </c>
      <c r="AD20" s="10">
        <f t="shared" si="8"/>
        <v>0.43827199999999999</v>
      </c>
      <c r="AE20" s="12">
        <f t="shared" si="9"/>
        <v>0.86241034303450426</v>
      </c>
      <c r="AF20" s="12">
        <f t="shared" si="10"/>
        <v>0.2001</v>
      </c>
      <c r="AG20" s="12">
        <f t="shared" si="11"/>
        <v>0.12540000000000001</v>
      </c>
      <c r="AH20" s="10">
        <f t="shared" si="12"/>
        <v>1.18957038710343</v>
      </c>
      <c r="AI20" s="10">
        <f t="shared" si="13"/>
        <v>1.1763157267839799</v>
      </c>
      <c r="AJ20" s="13">
        <f t="shared" si="14"/>
        <v>1.18957038710343</v>
      </c>
      <c r="AK20" s="13">
        <f t="shared" si="15"/>
        <v>1.1763157267839799</v>
      </c>
    </row>
    <row r="21" spans="1:37">
      <c r="A21" s="8">
        <f>鋼床鈑!A21</f>
        <v>19</v>
      </c>
      <c r="B21" s="43" t="s">
        <v>41</v>
      </c>
      <c r="C21" s="43" t="s">
        <v>42</v>
      </c>
      <c r="D21" s="43" t="s">
        <v>98</v>
      </c>
      <c r="E21" s="44">
        <v>434712</v>
      </c>
      <c r="F21" s="45">
        <v>130372.03690000001</v>
      </c>
      <c r="G21" s="45">
        <v>134716.14869999999</v>
      </c>
      <c r="H21" s="45">
        <v>728991111920.79102</v>
      </c>
      <c r="I21" s="45">
        <v>1169431620384.72</v>
      </c>
      <c r="J21" s="45">
        <v>1150709566484.0701</v>
      </c>
      <c r="K21" s="45">
        <v>3699.4182000000001</v>
      </c>
      <c r="L21" s="45">
        <v>3332.5817999999999</v>
      </c>
      <c r="M21" s="45">
        <v>1539.6836000000001</v>
      </c>
      <c r="N21" s="45">
        <v>2498.3164000000002</v>
      </c>
      <c r="O21" s="44">
        <v>0</v>
      </c>
      <c r="P21" s="44">
        <v>0</v>
      </c>
      <c r="Q21" s="44">
        <v>29178</v>
      </c>
      <c r="R21" s="44">
        <v>20838</v>
      </c>
      <c r="S21" s="11">
        <f>(鋼床鈑!O21+鋼床鈑!W21+鋼床鈑!X21)*鋼床鈑!U21+(鋼床鈑!R21+鋼床鈑!W21+鋼床鈑!X21)*鋼床鈑!V21</f>
        <v>136800</v>
      </c>
      <c r="T21" s="11">
        <f>(鋼床鈑!T21)*鋼床鈑!W21+(鋼床鈑!T21)*鋼床鈑!X21</f>
        <v>200100</v>
      </c>
      <c r="U21" s="11">
        <f>4*((鋼床鈑!R21+鋼床鈑!W21/2+鋼床鈑!X21/2)*(鋼床鈑!T21+鋼床鈑!U21/2+鋼床鈑!V21/2))^2/((鋼床鈑!O21+鋼床鈑!W21/2+鋼床鈑!X21/2)/鋼床鈑!U21+(鋼床鈑!R21+鋼床鈑!W21/2+鋼床鈑!X21/2)/鋼床鈑!V21+(鋼床鈑!T21+鋼床鈑!U21/2+鋼床鈑!V21/2)/鋼床鈑!W21+(鋼床鈑!T21+鋼床鈑!U21/2+鋼床鈑!V21/2)/鋼床鈑!X21)</f>
        <v>881582078779.39868</v>
      </c>
      <c r="V21" s="12">
        <f t="shared" si="2"/>
        <v>0.34529071919076981</v>
      </c>
      <c r="W21" s="12">
        <f t="shared" si="3"/>
        <v>0.31105149628232626</v>
      </c>
      <c r="X21" s="12">
        <f t="shared" si="4"/>
        <v>0.75952723038988001</v>
      </c>
      <c r="Y21" s="12">
        <f t="shared" si="5"/>
        <v>0.46808787725394585</v>
      </c>
      <c r="Z21" s="12">
        <f t="shared" si="0"/>
        <v>1.6269793747197934</v>
      </c>
      <c r="AA21" s="12">
        <f t="shared" si="1"/>
        <v>1.6401614566659388</v>
      </c>
      <c r="AB21" s="10">
        <f t="shared" si="6"/>
        <v>4.0380000000000003</v>
      </c>
      <c r="AC21" s="10">
        <f t="shared" si="7"/>
        <v>7.032</v>
      </c>
      <c r="AD21" s="10">
        <f t="shared" si="8"/>
        <v>0.43471199999999999</v>
      </c>
      <c r="AE21" s="12">
        <f t="shared" si="9"/>
        <v>0.88158207877939865</v>
      </c>
      <c r="AF21" s="12">
        <f t="shared" si="10"/>
        <v>0.2001</v>
      </c>
      <c r="AG21" s="12">
        <f t="shared" si="11"/>
        <v>0.1368</v>
      </c>
      <c r="AH21" s="10">
        <f t="shared" si="12"/>
        <v>1.1507095664840701</v>
      </c>
      <c r="AI21" s="10">
        <f t="shared" si="13"/>
        <v>1.1694316203847199</v>
      </c>
      <c r="AJ21" s="13">
        <f t="shared" si="14"/>
        <v>1.1507095664840701</v>
      </c>
      <c r="AK21" s="13">
        <f t="shared" si="15"/>
        <v>1.1694316203847199</v>
      </c>
    </row>
    <row r="22" spans="1:37">
      <c r="A22" s="8">
        <f>鋼床鈑!A22</f>
        <v>20</v>
      </c>
      <c r="B22" s="43" t="s">
        <v>41</v>
      </c>
      <c r="C22" s="43" t="s">
        <v>42</v>
      </c>
      <c r="D22" s="43" t="s">
        <v>99</v>
      </c>
      <c r="E22" s="44">
        <v>434552</v>
      </c>
      <c r="F22" s="45">
        <v>130014.2346</v>
      </c>
      <c r="G22" s="45">
        <v>135071.625</v>
      </c>
      <c r="H22" s="45">
        <v>730914102174.42603</v>
      </c>
      <c r="I22" s="45">
        <v>1172428885162.46</v>
      </c>
      <c r="J22" s="45">
        <v>1145130733519.53</v>
      </c>
      <c r="K22" s="45">
        <v>3678.1176</v>
      </c>
      <c r="L22" s="45">
        <v>3328.8824</v>
      </c>
      <c r="M22" s="45">
        <v>1543.6210000000001</v>
      </c>
      <c r="N22" s="45">
        <v>2500.3789999999999</v>
      </c>
      <c r="O22" s="44">
        <v>0</v>
      </c>
      <c r="P22" s="44">
        <v>0</v>
      </c>
      <c r="Q22" s="44">
        <v>29140</v>
      </c>
      <c r="R22" s="44">
        <v>20850</v>
      </c>
      <c r="S22" s="11">
        <f>(鋼床鈑!O22+鋼床鈑!W22+鋼床鈑!X22)*鋼床鈑!U22+(鋼床鈑!R22+鋼床鈑!W22+鋼床鈑!X22)*鋼床鈑!V22</f>
        <v>136800</v>
      </c>
      <c r="T22" s="11">
        <f>(鋼床鈑!T22)*鋼床鈑!W22+(鋼床鈑!T22)*鋼床鈑!X22</f>
        <v>200400</v>
      </c>
      <c r="U22" s="11">
        <f>4*((鋼床鈑!R22+鋼床鈑!W22/2+鋼床鈑!X22/2)*(鋼床鈑!T22+鋼床鈑!U22/2+鋼床鈑!V22/2))^2/((鋼床鈑!O22+鋼床鈑!W22/2+鋼床鈑!X22/2)/鋼床鈑!U22+(鋼床鈑!R22+鋼床鈑!W22/2+鋼床鈑!X22/2)/鋼床鈑!V22+(鋼床鈑!T22+鋼床鈑!U22/2+鋼床鈑!V22/2)/鋼床鈑!W22+(鋼床鈑!T22+鋼床鈑!U22/2+鋼床鈑!V22/2)/鋼床鈑!X22)</f>
        <v>883489165058.95654</v>
      </c>
      <c r="V22" s="12">
        <f t="shared" si="2"/>
        <v>0.3439985544456392</v>
      </c>
      <c r="W22" s="12">
        <f t="shared" si="3"/>
        <v>0.31133608493636256</v>
      </c>
      <c r="X22" s="12">
        <f t="shared" si="4"/>
        <v>0.75953157229816126</v>
      </c>
      <c r="Y22" s="12">
        <f t="shared" si="5"/>
        <v>0.468900468753921</v>
      </c>
      <c r="Z22" s="12">
        <f t="shared" si="0"/>
        <v>1.6233294170698469</v>
      </c>
      <c r="AA22" s="12">
        <f t="shared" si="1"/>
        <v>1.6425642953433337</v>
      </c>
      <c r="AB22" s="10">
        <f t="shared" si="6"/>
        <v>4.0439999999999996</v>
      </c>
      <c r="AC22" s="10">
        <f t="shared" si="7"/>
        <v>7.0069999999999997</v>
      </c>
      <c r="AD22" s="10">
        <f t="shared" si="8"/>
        <v>0.43455199999999999</v>
      </c>
      <c r="AE22" s="12">
        <f t="shared" si="9"/>
        <v>0.88348916505895658</v>
      </c>
      <c r="AF22" s="12">
        <f t="shared" si="10"/>
        <v>0.20039999999999999</v>
      </c>
      <c r="AG22" s="12">
        <f t="shared" si="11"/>
        <v>0.1368</v>
      </c>
      <c r="AH22" s="10">
        <f t="shared" si="12"/>
        <v>1.14513073351953</v>
      </c>
      <c r="AI22" s="10">
        <f t="shared" si="13"/>
        <v>1.17242888516246</v>
      </c>
      <c r="AJ22" s="13">
        <f t="shared" si="14"/>
        <v>1.14513073351953</v>
      </c>
      <c r="AK22" s="13">
        <f t="shared" si="15"/>
        <v>1.17242888516246</v>
      </c>
    </row>
    <row r="23" spans="1:37">
      <c r="A23" s="8">
        <f>鋼床鈑!A23</f>
        <v>21</v>
      </c>
      <c r="B23" s="43" t="s">
        <v>41</v>
      </c>
      <c r="C23" s="43" t="s">
        <v>42</v>
      </c>
      <c r="D23" s="43" t="s">
        <v>100</v>
      </c>
      <c r="E23" s="44">
        <v>434552</v>
      </c>
      <c r="F23" s="45">
        <v>129562.39019999999</v>
      </c>
      <c r="G23" s="45">
        <v>135432.17910000001</v>
      </c>
      <c r="H23" s="45">
        <v>733231417911.96899</v>
      </c>
      <c r="I23" s="45">
        <v>1178057453609.97</v>
      </c>
      <c r="J23" s="45">
        <v>1139941094620.78</v>
      </c>
      <c r="K23" s="45">
        <v>3656.8611999999998</v>
      </c>
      <c r="L23" s="45">
        <v>3325.1388000000002</v>
      </c>
      <c r="M23" s="45">
        <v>1549.2507000000001</v>
      </c>
      <c r="N23" s="45">
        <v>2504.7492999999999</v>
      </c>
      <c r="O23" s="44">
        <v>0</v>
      </c>
      <c r="P23" s="44">
        <v>0</v>
      </c>
      <c r="Q23" s="44">
        <v>29110</v>
      </c>
      <c r="R23" s="44">
        <v>20870</v>
      </c>
      <c r="S23" s="11">
        <f>(鋼床鈑!O23+鋼床鈑!W23+鋼床鈑!X23)*鋼床鈑!U23+(鋼床鈑!R23+鋼床鈑!W23+鋼床鈑!X23)*鋼床鈑!V23</f>
        <v>136800</v>
      </c>
      <c r="T23" s="11">
        <f>(鋼床鈑!T23)*鋼床鈑!W23+(鋼床鈑!T23)*鋼床鈑!X23</f>
        <v>200900</v>
      </c>
      <c r="U23" s="11">
        <f>4*((鋼床鈑!R23+鋼床鈑!W23/2+鋼床鈑!X23/2)*(鋼床鈑!T23+鋼床鈑!U23/2+鋼床鈑!V23/2))^2/((鋼床鈑!O23+鋼床鈑!W23/2+鋼床鈑!X23/2)/鋼床鈑!U23+(鋼床鈑!R23+鋼床鈑!W23/2+鋼床鈑!X23/2)/鋼床鈑!V23+(鋼床鈑!T23+鋼床鈑!U23/2+鋼床鈑!V23/2)/鋼床鈑!W23+(鋼床鈑!T23+鋼床鈑!U23/2+鋼床鈑!V23/2)/鋼床鈑!X23)</f>
        <v>886669408840.04907</v>
      </c>
      <c r="V23" s="12">
        <f t="shared" si="2"/>
        <v>0.34282511593825193</v>
      </c>
      <c r="W23" s="12">
        <f t="shared" si="3"/>
        <v>0.31172665088321649</v>
      </c>
      <c r="X23" s="12">
        <f t="shared" si="4"/>
        <v>0.76040466117586392</v>
      </c>
      <c r="Y23" s="12">
        <f t="shared" si="5"/>
        <v>0.47032948711073402</v>
      </c>
      <c r="Z23" s="12">
        <f t="shared" si="0"/>
        <v>1.619646841923635</v>
      </c>
      <c r="AA23" s="12">
        <f t="shared" si="1"/>
        <v>1.6465023661729457</v>
      </c>
      <c r="AB23" s="10">
        <f t="shared" si="6"/>
        <v>4.0540000000000003</v>
      </c>
      <c r="AC23" s="10">
        <f t="shared" si="7"/>
        <v>6.9820000000000002</v>
      </c>
      <c r="AD23" s="10">
        <f t="shared" si="8"/>
        <v>0.43455199999999999</v>
      </c>
      <c r="AE23" s="12">
        <f t="shared" si="9"/>
        <v>0.88666940884004908</v>
      </c>
      <c r="AF23" s="12">
        <f t="shared" si="10"/>
        <v>0.2009</v>
      </c>
      <c r="AG23" s="12">
        <f t="shared" si="11"/>
        <v>0.1368</v>
      </c>
      <c r="AH23" s="10">
        <f t="shared" si="12"/>
        <v>1.13994109462078</v>
      </c>
      <c r="AI23" s="10">
        <f t="shared" si="13"/>
        <v>1.1780574536099699</v>
      </c>
      <c r="AJ23" s="13">
        <f t="shared" si="14"/>
        <v>1.13994109462078</v>
      </c>
      <c r="AK23" s="13">
        <f t="shared" si="15"/>
        <v>1.1780574536099699</v>
      </c>
    </row>
    <row r="24" spans="1:37">
      <c r="A24" s="8">
        <f>鋼床鈑!A24</f>
        <v>22</v>
      </c>
      <c r="B24" s="43" t="s">
        <v>41</v>
      </c>
      <c r="C24" s="43" t="s">
        <v>42</v>
      </c>
      <c r="D24" s="43" t="s">
        <v>101</v>
      </c>
      <c r="E24" s="44">
        <v>434712</v>
      </c>
      <c r="F24" s="45">
        <v>129195.85219999999</v>
      </c>
      <c r="G24" s="45">
        <v>135906.72330000001</v>
      </c>
      <c r="H24" s="45">
        <v>736607709930.32104</v>
      </c>
      <c r="I24" s="45">
        <v>1186336476984.25</v>
      </c>
      <c r="J24" s="45">
        <v>1135139738401.8701</v>
      </c>
      <c r="K24" s="45">
        <v>3635.6448999999998</v>
      </c>
      <c r="L24" s="45">
        <v>3321.3551000000002</v>
      </c>
      <c r="M24" s="45">
        <v>1556.5775000000001</v>
      </c>
      <c r="N24" s="45">
        <v>2511.4225000000001</v>
      </c>
      <c r="O24" s="44">
        <v>0</v>
      </c>
      <c r="P24" s="44">
        <v>0</v>
      </c>
      <c r="Q24" s="44">
        <v>29088</v>
      </c>
      <c r="R24" s="44">
        <v>20898</v>
      </c>
      <c r="S24" s="11">
        <f>(鋼床鈑!O24+鋼床鈑!W24+鋼床鈑!X24)*鋼床鈑!U24+(鋼床鈑!R24+鋼床鈑!W24+鋼床鈑!X24)*鋼床鈑!V24</f>
        <v>136800</v>
      </c>
      <c r="T24" s="11">
        <f>(鋼床鈑!T24)*鋼床鈑!W24+(鋼床鈑!T24)*鋼床鈑!X24</f>
        <v>201600</v>
      </c>
      <c r="U24" s="11">
        <f>4*((鋼床鈑!R24+鋼床鈑!W24/2+鋼床鈑!X24/2)*(鋼床鈑!T24+鋼床鈑!U24/2+鋼床鈑!V24/2))^2/((鋼床鈑!O24+鋼床鈑!W24/2+鋼床鈑!X24/2)/鋼床鈑!U24+(鋼床鈑!R24+鋼床鈑!W24/2+鋼床鈑!X24/2)/鋼床鈑!V24+(鋼床鈑!T24+鋼床鈑!U24/2+鋼床鈑!V24/2)/鋼床鈑!W24+(鋼床鈑!T24+鋼床鈑!U24/2+鋼床鈑!V24/2)/鋼床鈑!X24)</f>
        <v>891125444986.73267</v>
      </c>
      <c r="V24" s="12">
        <f t="shared" si="2"/>
        <v>0.34177006198520299</v>
      </c>
      <c r="W24" s="12">
        <f t="shared" si="3"/>
        <v>0.31222514014002584</v>
      </c>
      <c r="X24" s="12">
        <f t="shared" si="4"/>
        <v>0.76214417655674049</v>
      </c>
      <c r="Y24" s="12">
        <f t="shared" si="5"/>
        <v>0.47237630346317672</v>
      </c>
      <c r="Z24" s="12">
        <f t="shared" si="0"/>
        <v>1.6159348577797779</v>
      </c>
      <c r="AA24" s="12">
        <f t="shared" si="1"/>
        <v>1.6519736951413906</v>
      </c>
      <c r="AB24" s="10">
        <f t="shared" si="6"/>
        <v>4.0679999999999996</v>
      </c>
      <c r="AC24" s="10">
        <f t="shared" si="7"/>
        <v>6.9569999999999999</v>
      </c>
      <c r="AD24" s="10">
        <f t="shared" si="8"/>
        <v>0.43471199999999999</v>
      </c>
      <c r="AE24" s="12">
        <f t="shared" si="9"/>
        <v>0.89112544498673263</v>
      </c>
      <c r="AF24" s="12">
        <f t="shared" si="10"/>
        <v>0.2016</v>
      </c>
      <c r="AG24" s="12">
        <f t="shared" si="11"/>
        <v>0.1368</v>
      </c>
      <c r="AH24" s="10">
        <f t="shared" si="12"/>
        <v>1.1351397384018702</v>
      </c>
      <c r="AI24" s="10">
        <f t="shared" si="13"/>
        <v>1.1863364769842499</v>
      </c>
      <c r="AJ24" s="13">
        <f t="shared" si="14"/>
        <v>1.1351397384018702</v>
      </c>
      <c r="AK24" s="13">
        <f t="shared" si="15"/>
        <v>1.1863364769842499</v>
      </c>
    </row>
    <row r="25" spans="1:37">
      <c r="A25" s="8">
        <f>鋼床鈑!A25</f>
        <v>23</v>
      </c>
      <c r="B25" s="43" t="s">
        <v>41</v>
      </c>
      <c r="C25" s="43" t="s">
        <v>42</v>
      </c>
      <c r="D25" s="43" t="s">
        <v>102</v>
      </c>
      <c r="E25" s="44">
        <v>434992</v>
      </c>
      <c r="F25" s="45">
        <v>128832.3882</v>
      </c>
      <c r="G25" s="45">
        <v>136435.17800000001</v>
      </c>
      <c r="H25" s="45">
        <v>739946455314.77197</v>
      </c>
      <c r="I25" s="45">
        <v>1196631280862.73</v>
      </c>
      <c r="J25" s="45">
        <v>1130645128310.1201</v>
      </c>
      <c r="K25" s="45">
        <v>3614.4490999999998</v>
      </c>
      <c r="L25" s="45">
        <v>3317.5509000000002</v>
      </c>
      <c r="M25" s="45">
        <v>1565.1845000000001</v>
      </c>
      <c r="N25" s="45">
        <v>2519.8155000000002</v>
      </c>
      <c r="O25" s="44">
        <v>0</v>
      </c>
      <c r="P25" s="44">
        <v>0</v>
      </c>
      <c r="Q25" s="44">
        <v>29072</v>
      </c>
      <c r="R25" s="44">
        <v>20932</v>
      </c>
      <c r="S25" s="11">
        <f>(鋼床鈑!O25+鋼床鈑!W25+鋼床鈑!X25)*鋼床鈑!U25+(鋼床鈑!R25+鋼床鈑!W25+鋼床鈑!X25)*鋼床鈑!V25</f>
        <v>145350</v>
      </c>
      <c r="T25" s="11">
        <f>(鋼床鈑!T25)*鋼床鈑!W25+(鋼床鈑!T25)*鋼床鈑!X25</f>
        <v>202450</v>
      </c>
      <c r="U25" s="11">
        <f>4*((鋼床鈑!R25+鋼床鈑!W25/2+鋼床鈑!X25/2)*(鋼床鈑!T25+鋼床鈑!U25/2+鋼床鈑!V25/2))^2/((鋼床鈑!O25+鋼床鈑!W25/2+鋼床鈑!X25/2)/鋼床鈑!U25+(鋼床鈑!R25+鋼床鈑!W25/2+鋼床鈑!X25/2)/鋼床鈑!V25+(鋼床鈑!T25+鋼床鈑!U25/2+鋼床鈑!V25/2)/鋼床鈑!W25+(鋼床鈑!T25+鋼床鈑!U25/2+鋼床鈑!V25/2)/鋼床鈑!X25)</f>
        <v>908658371413.56458</v>
      </c>
      <c r="V25" s="12">
        <f t="shared" si="2"/>
        <v>0.3408071684175577</v>
      </c>
      <c r="W25" s="12">
        <f t="shared" si="3"/>
        <v>0.31281257448337568</v>
      </c>
      <c r="X25" s="12">
        <f t="shared" si="4"/>
        <v>0.76453049519895577</v>
      </c>
      <c r="Y25" s="12">
        <f t="shared" si="5"/>
        <v>0.47488845150080627</v>
      </c>
      <c r="Z25" s="12">
        <f t="shared" si="0"/>
        <v>1.6122133869248445</v>
      </c>
      <c r="AA25" s="12">
        <f t="shared" si="1"/>
        <v>1.6585919026370419</v>
      </c>
      <c r="AB25" s="10">
        <f t="shared" si="6"/>
        <v>4.085</v>
      </c>
      <c r="AC25" s="10">
        <f t="shared" si="7"/>
        <v>6.9320000000000004</v>
      </c>
      <c r="AD25" s="10">
        <f t="shared" si="8"/>
        <v>0.43499199999999999</v>
      </c>
      <c r="AE25" s="12">
        <f t="shared" si="9"/>
        <v>0.90865837141356454</v>
      </c>
      <c r="AF25" s="12">
        <f t="shared" si="10"/>
        <v>0.20244999999999999</v>
      </c>
      <c r="AG25" s="12">
        <f t="shared" si="11"/>
        <v>0.14535000000000001</v>
      </c>
      <c r="AH25" s="10">
        <f t="shared" si="12"/>
        <v>1.1306451283101202</v>
      </c>
      <c r="AI25" s="10">
        <f t="shared" si="13"/>
        <v>1.19663128086273</v>
      </c>
      <c r="AJ25" s="13">
        <f t="shared" si="14"/>
        <v>1.1306451283101202</v>
      </c>
      <c r="AK25" s="13">
        <f t="shared" si="15"/>
        <v>1.19663128086273</v>
      </c>
    </row>
    <row r="26" spans="1:37">
      <c r="A26" s="8">
        <f>鋼床鈑!A26</f>
        <v>24</v>
      </c>
      <c r="B26" s="43" t="s">
        <v>41</v>
      </c>
      <c r="C26" s="43" t="s">
        <v>42</v>
      </c>
      <c r="D26" s="43" t="s">
        <v>103</v>
      </c>
      <c r="E26" s="44">
        <v>435472</v>
      </c>
      <c r="F26" s="45">
        <v>128426.715</v>
      </c>
      <c r="G26" s="45">
        <v>137531.4901</v>
      </c>
      <c r="H26" s="45">
        <v>746033339601.82898</v>
      </c>
      <c r="I26" s="45">
        <v>1210305110368.29</v>
      </c>
      <c r="J26" s="45">
        <v>1126617747688.95</v>
      </c>
      <c r="K26" s="45">
        <v>3593.3006</v>
      </c>
      <c r="L26" s="45">
        <v>3313.6994</v>
      </c>
      <c r="M26" s="45">
        <v>1575.9223</v>
      </c>
      <c r="N26" s="45">
        <v>2531.0776999999998</v>
      </c>
      <c r="O26" s="44">
        <v>0</v>
      </c>
      <c r="P26" s="44">
        <v>0</v>
      </c>
      <c r="Q26" s="44">
        <v>29066</v>
      </c>
      <c r="R26" s="44">
        <v>20976</v>
      </c>
      <c r="S26" s="11">
        <f>(鋼床鈑!O26+鋼床鈑!W26+鋼床鈑!X26)*鋼床鈑!U26+(鋼床鈑!R26+鋼床鈑!W26+鋼床鈑!X26)*鋼床鈑!V26</f>
        <v>145350</v>
      </c>
      <c r="T26" s="11">
        <f>(鋼床鈑!T26)*鋼床鈑!W26+(鋼床鈑!T26)*鋼床鈑!X26</f>
        <v>203550</v>
      </c>
      <c r="U26" s="11">
        <f>4*((鋼床鈑!R26+鋼床鈑!W26/2+鋼床鈑!X26/2)*(鋼床鈑!T26+鋼床鈑!U26/2+鋼床鈑!V26/2))^2/((鋼床鈑!O26+鋼床鈑!W26/2+鋼床鈑!X26/2)/鋼床鈑!U26+(鋼床鈑!R26+鋼床鈑!W26/2+鋼床鈑!X26/2)/鋼床鈑!V26+(鋼床鈑!T26+鋼床鈑!U26/2+鋼床鈑!V26/2)/鋼床鈑!W26+(鋼床鈑!T26+鋼床鈑!U26/2+鋼床鈑!V26/2)/鋼床鈑!X26)</f>
        <v>915733989284.28162</v>
      </c>
      <c r="V26" s="12">
        <f t="shared" si="2"/>
        <v>0.33998791431985348</v>
      </c>
      <c r="W26" s="12">
        <f t="shared" si="3"/>
        <v>0.31353284155768929</v>
      </c>
      <c r="X26" s="12">
        <f t="shared" si="4"/>
        <v>0.76799795927013026</v>
      </c>
      <c r="Y26" s="12">
        <f t="shared" si="5"/>
        <v>0.47817777793557664</v>
      </c>
      <c r="Z26" s="12">
        <f t="shared" si="0"/>
        <v>1.6084522636058431</v>
      </c>
      <c r="AA26" s="12">
        <f t="shared" si="1"/>
        <v>1.6671217423594253</v>
      </c>
      <c r="AB26" s="10">
        <f t="shared" si="6"/>
        <v>4.1070000000000002</v>
      </c>
      <c r="AC26" s="10">
        <f t="shared" si="7"/>
        <v>6.907</v>
      </c>
      <c r="AD26" s="10">
        <f t="shared" si="8"/>
        <v>0.43547200000000003</v>
      </c>
      <c r="AE26" s="12">
        <f t="shared" si="9"/>
        <v>0.91573398928428162</v>
      </c>
      <c r="AF26" s="12">
        <f t="shared" si="10"/>
        <v>0.20355000000000001</v>
      </c>
      <c r="AG26" s="12">
        <f t="shared" si="11"/>
        <v>0.14535000000000001</v>
      </c>
      <c r="AH26" s="10">
        <f t="shared" si="12"/>
        <v>1.1266177476889498</v>
      </c>
      <c r="AI26" s="10">
        <f t="shared" si="13"/>
        <v>1.21030511036829</v>
      </c>
      <c r="AJ26" s="13">
        <f t="shared" si="14"/>
        <v>1.1266177476889498</v>
      </c>
      <c r="AK26" s="13">
        <f t="shared" si="15"/>
        <v>1.21030511036829</v>
      </c>
    </row>
    <row r="27" spans="1:37">
      <c r="A27" s="8">
        <f>鋼床鈑!A27</f>
        <v>25</v>
      </c>
      <c r="B27" s="43" t="s">
        <v>41</v>
      </c>
      <c r="C27" s="43" t="s">
        <v>42</v>
      </c>
      <c r="D27" s="43" t="s">
        <v>104</v>
      </c>
      <c r="E27" s="44">
        <v>436112</v>
      </c>
      <c r="F27" s="45">
        <v>128035.5858</v>
      </c>
      <c r="G27" s="45">
        <v>138609.84589999999</v>
      </c>
      <c r="H27" s="45">
        <v>752897527951.04602</v>
      </c>
      <c r="I27" s="45">
        <v>1226746978535.79</v>
      </c>
      <c r="J27" s="45">
        <v>1122976058126.51</v>
      </c>
      <c r="K27" s="45">
        <v>3572.1792999999998</v>
      </c>
      <c r="L27" s="45">
        <v>3309.8207000000002</v>
      </c>
      <c r="M27" s="45">
        <v>1588.3755000000001</v>
      </c>
      <c r="N27" s="45">
        <v>2544.6244999999999</v>
      </c>
      <c r="O27" s="44">
        <v>0</v>
      </c>
      <c r="P27" s="44">
        <v>0</v>
      </c>
      <c r="Q27" s="44">
        <v>29068</v>
      </c>
      <c r="R27" s="44">
        <v>21028</v>
      </c>
      <c r="S27" s="11">
        <f>(鋼床鈑!O27+鋼床鈑!W27+鋼床鈑!X27)*鋼床鈑!U27+(鋼床鈑!R27+鋼床鈑!W27+鋼床鈑!X27)*鋼床鈑!V27</f>
        <v>145350</v>
      </c>
      <c r="T27" s="11">
        <f>(鋼床鈑!T27)*鋼床鈑!W27+(鋼床鈑!T27)*鋼床鈑!X27</f>
        <v>204850</v>
      </c>
      <c r="U27" s="11">
        <f>4*((鋼床鈑!R27+鋼床鈑!W27/2+鋼床鈑!X27/2)*(鋼床鈑!T27+鋼床鈑!U27/2+鋼床鈑!V27/2))^2/((鋼床鈑!O27+鋼床鈑!W27/2+鋼床鈑!X27/2)/鋼床鈑!U27+(鋼床鈑!R27+鋼床鈑!W27/2+鋼床鈑!X27/2)/鋼床鈑!V27+(鋼床鈑!T27+鋼床鈑!U27/2+鋼床鈑!V27/2)/鋼床鈑!W27+(鋼床鈑!T27+鋼床鈑!U27/2+鋼床鈑!V27/2)/鋼床鈑!X27)</f>
        <v>924109248086.7677</v>
      </c>
      <c r="V27" s="12">
        <f t="shared" si="2"/>
        <v>0.33928607012655093</v>
      </c>
      <c r="W27" s="12">
        <f t="shared" si="3"/>
        <v>0.31436721502935477</v>
      </c>
      <c r="X27" s="12">
        <f t="shared" si="4"/>
        <v>0.77232806633934481</v>
      </c>
      <c r="Y27" s="12">
        <f t="shared" si="5"/>
        <v>0.48209351852730731</v>
      </c>
      <c r="Z27" s="12">
        <f t="shared" si="0"/>
        <v>1.6046718356786782</v>
      </c>
      <c r="AA27" s="12">
        <f t="shared" si="1"/>
        <v>1.6771753858118033</v>
      </c>
      <c r="AB27" s="10">
        <f t="shared" si="6"/>
        <v>4.133</v>
      </c>
      <c r="AC27" s="10">
        <f t="shared" si="7"/>
        <v>6.8819999999999997</v>
      </c>
      <c r="AD27" s="10">
        <f t="shared" si="8"/>
        <v>0.436112</v>
      </c>
      <c r="AE27" s="12">
        <f t="shared" si="9"/>
        <v>0.92410924808676775</v>
      </c>
      <c r="AF27" s="12">
        <f t="shared" si="10"/>
        <v>0.20485</v>
      </c>
      <c r="AG27" s="12">
        <f t="shared" si="11"/>
        <v>0.14535000000000001</v>
      </c>
      <c r="AH27" s="10">
        <f t="shared" si="12"/>
        <v>1.12297605812651</v>
      </c>
      <c r="AI27" s="10">
        <f t="shared" si="13"/>
        <v>1.2267469785357901</v>
      </c>
      <c r="AJ27" s="13">
        <f t="shared" si="14"/>
        <v>1.12297605812651</v>
      </c>
      <c r="AK27" s="13">
        <f t="shared" si="15"/>
        <v>1.2267469785357901</v>
      </c>
    </row>
    <row r="28" spans="1:37">
      <c r="A28" s="8">
        <f>鋼床鈑!A28</f>
        <v>26</v>
      </c>
      <c r="B28" s="43" t="s">
        <v>41</v>
      </c>
      <c r="C28" s="43" t="s">
        <v>42</v>
      </c>
      <c r="D28" s="43" t="s">
        <v>105</v>
      </c>
      <c r="E28" s="44">
        <v>436872</v>
      </c>
      <c r="F28" s="45">
        <v>127615.46649999999</v>
      </c>
      <c r="G28" s="45">
        <v>139825.31270000001</v>
      </c>
      <c r="H28" s="45">
        <v>760553463480.58997</v>
      </c>
      <c r="I28" s="45">
        <v>1245338111933.8999</v>
      </c>
      <c r="J28" s="45">
        <v>1119638750031.8701</v>
      </c>
      <c r="K28" s="45">
        <v>3551.0666999999999</v>
      </c>
      <c r="L28" s="45">
        <v>3305.9333000000001</v>
      </c>
      <c r="M28" s="45">
        <v>1602.1273000000001</v>
      </c>
      <c r="N28" s="45">
        <v>2559.8726999999999</v>
      </c>
      <c r="O28" s="44">
        <v>0</v>
      </c>
      <c r="P28" s="44">
        <v>0</v>
      </c>
      <c r="Q28" s="44">
        <v>29076</v>
      </c>
      <c r="R28" s="44">
        <v>21086</v>
      </c>
      <c r="S28" s="11">
        <f>(鋼床鈑!O28+鋼床鈑!W28+鋼床鈑!X28)*鋼床鈑!U28+(鋼床鈑!R28+鋼床鈑!W28+鋼床鈑!X28)*鋼床鈑!V28</f>
        <v>145350</v>
      </c>
      <c r="T28" s="11">
        <f>(鋼床鈑!T28)*鋼床鈑!W28+(鋼床鈑!T28)*鋼床鈑!X28</f>
        <v>206300</v>
      </c>
      <c r="U28" s="11">
        <f>4*((鋼床鈑!R28+鋼床鈑!W28/2+鋼床鈑!X28/2)*(鋼床鈑!T28+鋼床鈑!U28/2+鋼床鈑!V28/2))^2/((鋼床鈑!O28+鋼床鈑!W28/2+鋼床鈑!X28/2)/鋼床鈑!U28+(鋼床鈑!R28+鋼床鈑!W28/2+鋼床鈑!X28/2)/鋼床鈑!V28+(鋼床鈑!T28+鋼床鈑!U28/2+鋼床鈑!V28/2)/鋼床鈑!W28+(鋼床鈑!T28+鋼床鈑!U28/2+鋼床鈑!V28/2)/鋼床鈑!X28)</f>
        <v>933467532460.09399</v>
      </c>
      <c r="V28" s="12">
        <f t="shared" si="2"/>
        <v>0.33867554134618205</v>
      </c>
      <c r="W28" s="12">
        <f t="shared" si="3"/>
        <v>0.31529645726785988</v>
      </c>
      <c r="X28" s="12">
        <f t="shared" si="4"/>
        <v>0.7773028472418515</v>
      </c>
      <c r="Y28" s="12">
        <f t="shared" si="5"/>
        <v>0.4864843911706625</v>
      </c>
      <c r="Z28" s="12">
        <f t="shared" si="0"/>
        <v>1.6008913386985784</v>
      </c>
      <c r="AA28" s="12">
        <f t="shared" si="1"/>
        <v>1.6883657528545364</v>
      </c>
      <c r="AB28" s="10">
        <f t="shared" si="6"/>
        <v>4.1619999999999999</v>
      </c>
      <c r="AC28" s="10">
        <f t="shared" si="7"/>
        <v>6.8570000000000002</v>
      </c>
      <c r="AD28" s="10">
        <f t="shared" si="8"/>
        <v>0.43687199999999998</v>
      </c>
      <c r="AE28" s="12">
        <f t="shared" si="9"/>
        <v>0.93346753246009395</v>
      </c>
      <c r="AF28" s="12">
        <f t="shared" si="10"/>
        <v>0.20630000000000001</v>
      </c>
      <c r="AG28" s="12">
        <f t="shared" si="11"/>
        <v>0.14535000000000001</v>
      </c>
      <c r="AH28" s="10">
        <f t="shared" si="12"/>
        <v>1.1196387500318701</v>
      </c>
      <c r="AI28" s="10">
        <f t="shared" si="13"/>
        <v>1.2453381119339</v>
      </c>
      <c r="AJ28" s="13">
        <f t="shared" si="14"/>
        <v>1.1196387500318701</v>
      </c>
      <c r="AK28" s="13">
        <f t="shared" si="15"/>
        <v>1.2453381119339</v>
      </c>
    </row>
    <row r="29" spans="1:37">
      <c r="A29" s="8">
        <f>鋼床鈑!A29</f>
        <v>27</v>
      </c>
      <c r="B29" s="43" t="s">
        <v>41</v>
      </c>
      <c r="C29" s="43" t="s">
        <v>42</v>
      </c>
      <c r="D29" s="43" t="s">
        <v>106</v>
      </c>
      <c r="E29" s="44">
        <v>437712</v>
      </c>
      <c r="F29" s="45">
        <v>127252.9828</v>
      </c>
      <c r="G29" s="45">
        <v>141114.5981</v>
      </c>
      <c r="H29" s="45">
        <v>768651827575.01099</v>
      </c>
      <c r="I29" s="45">
        <v>1265444521922.05</v>
      </c>
      <c r="J29" s="45">
        <v>1116524733621.21</v>
      </c>
      <c r="K29" s="45">
        <v>3529.9454000000001</v>
      </c>
      <c r="L29" s="45">
        <v>3302.0545999999999</v>
      </c>
      <c r="M29" s="45">
        <v>1616.7581</v>
      </c>
      <c r="N29" s="45">
        <v>2576.2419</v>
      </c>
      <c r="O29" s="44">
        <v>0</v>
      </c>
      <c r="P29" s="44">
        <v>0</v>
      </c>
      <c r="Q29" s="44">
        <v>29088</v>
      </c>
      <c r="R29" s="44">
        <v>21148</v>
      </c>
      <c r="S29" s="11">
        <f>(鋼床鈑!O29+鋼床鈑!W29+鋼床鈑!X29)*鋼床鈑!U29+(鋼床鈑!R29+鋼床鈑!W29+鋼床鈑!X29)*鋼床鈑!V29</f>
        <v>145350</v>
      </c>
      <c r="T29" s="11">
        <f>(鋼床鈑!T29)*鋼床鈑!W29+(鋼床鈑!T29)*鋼床鈑!X29</f>
        <v>207850</v>
      </c>
      <c r="U29" s="11">
        <f>4*((鋼床鈑!R29+鋼床鈑!W29/2+鋼床鈑!X29/2)*(鋼床鈑!T29+鋼床鈑!U29/2+鋼床鈑!V29/2))^2/((鋼床鈑!O29+鋼床鈑!W29/2+鋼床鈑!X29/2)/鋼床鈑!U29+(鋼床鈑!R29+鋼床鈑!W29/2+鋼床鈑!X29/2)/鋼床鈑!V29+(鋼床鈑!T29+鋼床鈑!U29/2+鋼床鈑!V29/2)/鋼床鈑!W29+(鋼床鈑!T29+鋼床鈑!U29/2+鋼床鈑!V29/2)/鋼床鈑!X29)</f>
        <v>943490405848.0741</v>
      </c>
      <c r="V29" s="12">
        <f t="shared" si="2"/>
        <v>0.33813030639202935</v>
      </c>
      <c r="W29" s="12">
        <f t="shared" si="3"/>
        <v>0.3163008508916908</v>
      </c>
      <c r="X29" s="12">
        <f t="shared" si="4"/>
        <v>0.78270492160951599</v>
      </c>
      <c r="Y29" s="12">
        <f t="shared" si="5"/>
        <v>0.49119786535652965</v>
      </c>
      <c r="Z29" s="12">
        <f t="shared" si="0"/>
        <v>1.5971288236293493</v>
      </c>
      <c r="AA29" s="12">
        <f t="shared" si="1"/>
        <v>1.7003069441598571</v>
      </c>
      <c r="AB29" s="10">
        <f t="shared" si="6"/>
        <v>4.1929999999999996</v>
      </c>
      <c r="AC29" s="10">
        <f t="shared" si="7"/>
        <v>6.8319999999999999</v>
      </c>
      <c r="AD29" s="10">
        <f t="shared" si="8"/>
        <v>0.43771199999999999</v>
      </c>
      <c r="AE29" s="12">
        <f t="shared" si="9"/>
        <v>0.94349040584807409</v>
      </c>
      <c r="AF29" s="12">
        <f t="shared" si="10"/>
        <v>0.20785000000000001</v>
      </c>
      <c r="AG29" s="12">
        <f t="shared" si="11"/>
        <v>0.14535000000000001</v>
      </c>
      <c r="AH29" s="10">
        <f t="shared" si="12"/>
        <v>1.1165247336212099</v>
      </c>
      <c r="AI29" s="10">
        <f t="shared" si="13"/>
        <v>1.26544452192205</v>
      </c>
      <c r="AJ29" s="13">
        <f t="shared" si="14"/>
        <v>1.1165247336212099</v>
      </c>
      <c r="AK29" s="13">
        <f t="shared" si="15"/>
        <v>1.26544452192205</v>
      </c>
    </row>
    <row r="30" spans="1:37">
      <c r="A30" s="8">
        <f>鋼床鈑!A30</f>
        <v>28</v>
      </c>
      <c r="B30" s="43" t="s">
        <v>41</v>
      </c>
      <c r="C30" s="43" t="s">
        <v>42</v>
      </c>
      <c r="D30" s="43" t="s">
        <v>107</v>
      </c>
      <c r="E30" s="44">
        <v>434152</v>
      </c>
      <c r="F30" s="45">
        <v>125976.75689999999</v>
      </c>
      <c r="G30" s="45">
        <v>141543.48929999999</v>
      </c>
      <c r="H30" s="45">
        <v>768651541934.771</v>
      </c>
      <c r="I30" s="45">
        <v>1257654515102.98</v>
      </c>
      <c r="J30" s="45">
        <v>1076725526598.55</v>
      </c>
      <c r="K30" s="45">
        <v>3557.2505999999998</v>
      </c>
      <c r="L30" s="45">
        <v>3274.7494000000002</v>
      </c>
      <c r="M30" s="45">
        <v>1628.8253999999999</v>
      </c>
      <c r="N30" s="45">
        <v>2564.1745999999998</v>
      </c>
      <c r="O30" s="44">
        <v>0</v>
      </c>
      <c r="P30" s="44">
        <v>0</v>
      </c>
      <c r="Q30" s="44">
        <v>28562</v>
      </c>
      <c r="R30" s="44">
        <v>21148</v>
      </c>
      <c r="S30" s="11">
        <f>(鋼床鈑!O30+鋼床鈑!W30+鋼床鈑!X30)*鋼床鈑!U30+(鋼床鈑!R30+鋼床鈑!W30+鋼床鈑!X30)*鋼床鈑!V30</f>
        <v>145350</v>
      </c>
      <c r="T30" s="11">
        <f>(鋼床鈑!T30)*鋼床鈑!W30+(鋼床鈑!T30)*鋼床鈑!X30</f>
        <v>207850</v>
      </c>
      <c r="U30" s="11">
        <f>4*((鋼床鈑!R30+鋼床鈑!W30/2+鋼床鈑!X30/2)*(鋼床鈑!T30+鋼床鈑!U30/2+鋼床鈑!V30/2))^2/((鋼床鈑!O30+鋼床鈑!W30/2+鋼床鈑!X30/2)/鋼床鈑!U30+(鋼床鈑!R30+鋼床鈑!W30/2+鋼床鈑!X30/2)/鋼床鈑!V30+(鋼床鈑!T30+鋼床鈑!U30/2+鋼床鈑!V30/2)/鋼床鈑!W30+(鋼床鈑!T30+鋼床鈑!U30/2+鋼床鈑!V30/2)/鋼床鈑!X30)</f>
        <v>943490405848.0741</v>
      </c>
      <c r="V30" s="12">
        <f t="shared" si="2"/>
        <v>0.32879631235249634</v>
      </c>
      <c r="W30" s="12">
        <f t="shared" si="3"/>
        <v>0.30268475507419973</v>
      </c>
      <c r="X30" s="12">
        <f t="shared" si="4"/>
        <v>0.77212358985989527</v>
      </c>
      <c r="Y30" s="12">
        <f t="shared" si="5"/>
        <v>0.49047148158435855</v>
      </c>
      <c r="Z30" s="12">
        <f t="shared" si="0"/>
        <v>1.5748224657436694</v>
      </c>
      <c r="AA30" s="12">
        <f t="shared" si="1"/>
        <v>1.7020008558999526</v>
      </c>
      <c r="AB30" s="10">
        <f t="shared" si="6"/>
        <v>4.1929999999999996</v>
      </c>
      <c r="AC30" s="10">
        <f t="shared" si="7"/>
        <v>6.8319999999999999</v>
      </c>
      <c r="AD30" s="10">
        <f t="shared" si="8"/>
        <v>0.43415199999999998</v>
      </c>
      <c r="AE30" s="12">
        <f t="shared" si="9"/>
        <v>0.94349040584807409</v>
      </c>
      <c r="AF30" s="12">
        <f t="shared" si="10"/>
        <v>0.20785000000000001</v>
      </c>
      <c r="AG30" s="12">
        <f t="shared" si="11"/>
        <v>0.14535000000000001</v>
      </c>
      <c r="AH30" s="10">
        <f t="shared" si="12"/>
        <v>1.07672552659855</v>
      </c>
      <c r="AI30" s="10">
        <f t="shared" si="13"/>
        <v>1.2576545151029799</v>
      </c>
      <c r="AJ30" s="13">
        <f t="shared" si="14"/>
        <v>1.07672552659855</v>
      </c>
      <c r="AK30" s="13">
        <f t="shared" si="15"/>
        <v>1.2576545151029799</v>
      </c>
    </row>
    <row r="31" spans="1:37">
      <c r="A31" s="8">
        <f>鋼床鈑!A31</f>
        <v>29</v>
      </c>
      <c r="B31" s="43" t="s">
        <v>41</v>
      </c>
      <c r="C31" s="43" t="s">
        <v>42</v>
      </c>
      <c r="D31" s="43" t="s">
        <v>108</v>
      </c>
      <c r="E31" s="44">
        <v>435296</v>
      </c>
      <c r="F31" s="45">
        <v>125657.40670000001</v>
      </c>
      <c r="G31" s="45">
        <v>143057.8118</v>
      </c>
      <c r="H31" s="45">
        <v>778856398640.50696</v>
      </c>
      <c r="I31" s="45">
        <v>1283229249799.78</v>
      </c>
      <c r="J31" s="45">
        <v>1074619196764.8</v>
      </c>
      <c r="K31" s="45">
        <v>3535.0848000000001</v>
      </c>
      <c r="L31" s="45">
        <v>3270.9151999999999</v>
      </c>
      <c r="M31" s="45">
        <v>1647.07</v>
      </c>
      <c r="N31" s="45">
        <v>2584.9299999999998</v>
      </c>
      <c r="O31" s="44">
        <v>0</v>
      </c>
      <c r="P31" s="44">
        <v>0</v>
      </c>
      <c r="Q31" s="44">
        <v>28588</v>
      </c>
      <c r="R31" s="44">
        <v>21226</v>
      </c>
      <c r="S31" s="11">
        <f>(鋼床鈑!O31+鋼床鈑!W31+鋼床鈑!X31)*鋼床鈑!U31+(鋼床鈑!R31+鋼床鈑!W31+鋼床鈑!X31)*鋼床鈑!V31</f>
        <v>145350</v>
      </c>
      <c r="T31" s="11">
        <f>(鋼床鈑!T31)*鋼床鈑!W31+(鋼床鈑!T31)*鋼床鈑!X31</f>
        <v>209800</v>
      </c>
      <c r="U31" s="11">
        <f>4*((鋼床鈑!R31+鋼床鈑!W31/2+鋼床鈑!X31/2)*(鋼床鈑!T31+鋼床鈑!U31/2+鋼床鈑!V31/2))^2/((鋼床鈑!O31+鋼床鈑!W31/2+鋼床鈑!X31/2)/鋼床鈑!U31+(鋼床鈑!R31+鋼床鈑!W31/2+鋼床鈑!X31/2)/鋼床鈑!V31+(鋼床鈑!T31+鋼床鈑!U31/2+鋼床鈑!V31/2)/鋼床鈑!W31+(鋼床鈑!T31+鋼床鈑!U31/2+鋼床鈑!V31/2)/鋼床鈑!X31)</f>
        <v>956127618391.54578</v>
      </c>
      <c r="V31" s="12">
        <f t="shared" si="2"/>
        <v>0.32853777339284124</v>
      </c>
      <c r="W31" s="12">
        <f t="shared" si="3"/>
        <v>0.30398682282382589</v>
      </c>
      <c r="X31" s="12">
        <f t="shared" si="4"/>
        <v>0.77909818635503036</v>
      </c>
      <c r="Y31" s="12">
        <f t="shared" si="5"/>
        <v>0.49642707918581158</v>
      </c>
      <c r="Z31" s="12">
        <f t="shared" si="0"/>
        <v>1.5712126211473585</v>
      </c>
      <c r="AA31" s="12">
        <f t="shared" si="1"/>
        <v>1.7169584559626976</v>
      </c>
      <c r="AB31" s="10">
        <f t="shared" si="6"/>
        <v>4.2320000000000002</v>
      </c>
      <c r="AC31" s="10">
        <f t="shared" si="7"/>
        <v>6.806</v>
      </c>
      <c r="AD31" s="10">
        <f t="shared" si="8"/>
        <v>0.43529600000000002</v>
      </c>
      <c r="AE31" s="12">
        <f t="shared" si="9"/>
        <v>0.95612761839154581</v>
      </c>
      <c r="AF31" s="12">
        <f t="shared" si="10"/>
        <v>0.20979999999999999</v>
      </c>
      <c r="AG31" s="12">
        <f t="shared" si="11"/>
        <v>0.14535000000000001</v>
      </c>
      <c r="AH31" s="10">
        <f t="shared" si="12"/>
        <v>1.0746191967648</v>
      </c>
      <c r="AI31" s="10">
        <f t="shared" si="13"/>
        <v>1.2832292497997799</v>
      </c>
      <c r="AJ31" s="13">
        <f t="shared" si="14"/>
        <v>1.0746191967648</v>
      </c>
      <c r="AK31" s="13">
        <f t="shared" si="15"/>
        <v>1.2832292497997799</v>
      </c>
    </row>
    <row r="32" spans="1:37">
      <c r="A32" s="8">
        <f>鋼床鈑!A32</f>
        <v>30</v>
      </c>
      <c r="B32" s="43" t="s">
        <v>41</v>
      </c>
      <c r="C32" s="43" t="s">
        <v>42</v>
      </c>
      <c r="D32" s="43" t="s">
        <v>109</v>
      </c>
      <c r="E32" s="44">
        <v>436520</v>
      </c>
      <c r="F32" s="45">
        <v>125245.4846</v>
      </c>
      <c r="G32" s="45">
        <v>144917.7936</v>
      </c>
      <c r="H32" s="45">
        <v>790294625879.89697</v>
      </c>
      <c r="I32" s="45">
        <v>1310472347763.46</v>
      </c>
      <c r="J32" s="45">
        <v>1072736836430.42</v>
      </c>
      <c r="K32" s="45">
        <v>3512.8955999999998</v>
      </c>
      <c r="L32" s="45">
        <v>3267.1044000000002</v>
      </c>
      <c r="M32" s="45">
        <v>1666.2163</v>
      </c>
      <c r="N32" s="45">
        <v>2606.7837</v>
      </c>
      <c r="O32" s="44">
        <v>0</v>
      </c>
      <c r="P32" s="44">
        <v>0</v>
      </c>
      <c r="Q32" s="44">
        <v>28618</v>
      </c>
      <c r="R32" s="44">
        <v>21308</v>
      </c>
      <c r="S32" s="11">
        <f>(鋼床鈑!O32+鋼床鈑!W32+鋼床鈑!X32)*鋼床鈑!U32+(鋼床鈑!R32+鋼床鈑!W32+鋼床鈑!X32)*鋼床鈑!V32</f>
        <v>145350</v>
      </c>
      <c r="T32" s="11">
        <f>(鋼床鈑!T32)*鋼床鈑!W32+(鋼床鈑!T32)*鋼床鈑!X32</f>
        <v>211850</v>
      </c>
      <c r="U32" s="11">
        <f>4*((鋼床鈑!R32+鋼床鈑!W32/2+鋼床鈑!X32/2)*(鋼床鈑!T32+鋼床鈑!U32/2+鋼床鈑!V32/2))^2/((鋼床鈑!O32+鋼床鈑!W32/2+鋼床鈑!X32/2)/鋼床鈑!U32+(鋼床鈑!R32+鋼床鈑!W32/2+鋼床鈑!X32/2)/鋼床鈑!V32+(鋼床鈑!T32+鋼床鈑!U32/2+鋼床鈑!V32/2)/鋼床鈑!W32+(鋼床鈑!T32+鋼床鈑!U32/2+鋼床鈑!V32/2)/鋼床鈑!X32)</f>
        <v>969445787660.24438</v>
      </c>
      <c r="V32" s="12">
        <f t="shared" si="2"/>
        <v>0.3283448292715776</v>
      </c>
      <c r="W32" s="12">
        <f t="shared" si="3"/>
        <v>0.30537111220453578</v>
      </c>
      <c r="X32" s="12">
        <f t="shared" si="4"/>
        <v>0.78649593558979092</v>
      </c>
      <c r="Y32" s="12">
        <f t="shared" si="5"/>
        <v>0.50271618153951936</v>
      </c>
      <c r="Z32" s="12">
        <f t="shared" si="0"/>
        <v>1.567633456860472</v>
      </c>
      <c r="AA32" s="12">
        <f t="shared" si="1"/>
        <v>1.7326540474151364</v>
      </c>
      <c r="AB32" s="10">
        <f t="shared" si="6"/>
        <v>4.2729999999999997</v>
      </c>
      <c r="AC32" s="10">
        <f t="shared" si="7"/>
        <v>6.78</v>
      </c>
      <c r="AD32" s="10">
        <f t="shared" si="8"/>
        <v>0.43652000000000002</v>
      </c>
      <c r="AE32" s="12">
        <f t="shared" si="9"/>
        <v>0.96944578766024436</v>
      </c>
      <c r="AF32" s="12">
        <f t="shared" si="10"/>
        <v>0.21185000000000001</v>
      </c>
      <c r="AG32" s="12">
        <f t="shared" si="11"/>
        <v>0.14535000000000001</v>
      </c>
      <c r="AH32" s="10">
        <f t="shared" si="12"/>
        <v>1.0727368364304199</v>
      </c>
      <c r="AI32" s="10">
        <f t="shared" si="13"/>
        <v>1.3104723477634599</v>
      </c>
      <c r="AJ32" s="13">
        <f t="shared" si="14"/>
        <v>1.0727368364304199</v>
      </c>
      <c r="AK32" s="13">
        <f t="shared" si="15"/>
        <v>1.3104723477634599</v>
      </c>
    </row>
    <row r="33" spans="1:37">
      <c r="A33" s="8">
        <f>鋼床鈑!A33</f>
        <v>31</v>
      </c>
      <c r="B33" s="43" t="s">
        <v>41</v>
      </c>
      <c r="C33" s="43" t="s">
        <v>42</v>
      </c>
      <c r="D33" s="43" t="s">
        <v>110</v>
      </c>
      <c r="E33" s="44">
        <v>437864</v>
      </c>
      <c r="F33" s="45">
        <v>124725.0122</v>
      </c>
      <c r="G33" s="45">
        <v>146573.8339</v>
      </c>
      <c r="H33" s="45">
        <v>801231244132.66699</v>
      </c>
      <c r="I33" s="45">
        <v>1340138142756.01</v>
      </c>
      <c r="J33" s="45">
        <v>1071158058319.83</v>
      </c>
      <c r="K33" s="45">
        <v>3490.6914999999999</v>
      </c>
      <c r="L33" s="45">
        <v>3263.3085000000001</v>
      </c>
      <c r="M33" s="45">
        <v>1686.6985999999999</v>
      </c>
      <c r="N33" s="45">
        <v>2630.3013999999998</v>
      </c>
      <c r="O33" s="44">
        <v>0</v>
      </c>
      <c r="P33" s="44">
        <v>0</v>
      </c>
      <c r="Q33" s="44">
        <v>28654</v>
      </c>
      <c r="R33" s="44">
        <v>21396</v>
      </c>
      <c r="S33" s="11">
        <f>(鋼床鈑!O33+鋼床鈑!W33+鋼床鈑!X33)*鋼床鈑!U33+(鋼床鈑!R33+鋼床鈑!W33+鋼床鈑!X33)*鋼床鈑!V33</f>
        <v>145350</v>
      </c>
      <c r="T33" s="11">
        <f>(鋼床鈑!T33)*鋼床鈑!W33+(鋼床鈑!T33)*鋼床鈑!X33</f>
        <v>214050</v>
      </c>
      <c r="U33" s="11">
        <f>4*((鋼床鈑!R33+鋼床鈑!W33/2+鋼床鈑!X33/2)*(鋼床鈑!T33+鋼床鈑!U33/2+鋼床鈑!V33/2))^2/((鋼床鈑!O33+鋼床鈑!W33/2+鋼床鈑!X33/2)/鋼床鈑!U33+(鋼床鈑!R33+鋼床鈑!W33/2+鋼床鈑!X33/2)/鋼床鈑!V33+(鋼床鈑!T33+鋼床鈑!U33/2+鋼床鈑!V33/2)/鋼床鈑!W33+(鋼床鈑!T33+鋼床鈑!U33/2+鋼床鈑!V33/2)/鋼床鈑!X33)</f>
        <v>983775346644.5127</v>
      </c>
      <c r="V33" s="12">
        <f t="shared" si="2"/>
        <v>0.32824296517470841</v>
      </c>
      <c r="W33" s="12">
        <f t="shared" si="3"/>
        <v>0.30686127901014165</v>
      </c>
      <c r="X33" s="12">
        <f t="shared" si="4"/>
        <v>0.79453326323743323</v>
      </c>
      <c r="Y33" s="12">
        <f t="shared" si="5"/>
        <v>0.50949984011566507</v>
      </c>
      <c r="Z33" s="12">
        <f t="shared" si="0"/>
        <v>1.5640735062596545</v>
      </c>
      <c r="AA33" s="12">
        <f t="shared" si="1"/>
        <v>1.7494646199669777</v>
      </c>
      <c r="AB33" s="10">
        <f t="shared" si="6"/>
        <v>4.3170000000000002</v>
      </c>
      <c r="AC33" s="10">
        <f t="shared" si="7"/>
        <v>6.7539999999999996</v>
      </c>
      <c r="AD33" s="10">
        <f t="shared" si="8"/>
        <v>0.43786399999999998</v>
      </c>
      <c r="AE33" s="12">
        <f t="shared" si="9"/>
        <v>0.98377534664451272</v>
      </c>
      <c r="AF33" s="12">
        <f t="shared" si="10"/>
        <v>0.21404999999999999</v>
      </c>
      <c r="AG33" s="12">
        <f t="shared" si="11"/>
        <v>0.14535000000000001</v>
      </c>
      <c r="AH33" s="10">
        <f t="shared" si="12"/>
        <v>1.0711580583198299</v>
      </c>
      <c r="AI33" s="10">
        <f t="shared" si="13"/>
        <v>1.34013814275601</v>
      </c>
      <c r="AJ33" s="13">
        <f t="shared" si="14"/>
        <v>1.0711580583198299</v>
      </c>
      <c r="AK33" s="13">
        <f t="shared" si="15"/>
        <v>1.34013814275601</v>
      </c>
    </row>
    <row r="34" spans="1:37">
      <c r="A34" s="8">
        <f>鋼床鈑!A34</f>
        <v>32</v>
      </c>
      <c r="B34" s="43" t="s">
        <v>41</v>
      </c>
      <c r="C34" s="43" t="s">
        <v>42</v>
      </c>
      <c r="D34" s="43" t="s">
        <v>111</v>
      </c>
      <c r="E34" s="44">
        <v>439208</v>
      </c>
      <c r="F34" s="45">
        <v>124118.16379999999</v>
      </c>
      <c r="G34" s="45">
        <v>148304.33290000001</v>
      </c>
      <c r="H34" s="45">
        <v>812537942949.396</v>
      </c>
      <c r="I34" s="45">
        <v>1370164386031.8501</v>
      </c>
      <c r="J34" s="45">
        <v>1069642331593.05</v>
      </c>
      <c r="K34" s="45">
        <v>3468.4394000000002</v>
      </c>
      <c r="L34" s="45">
        <v>3259.5605999999998</v>
      </c>
      <c r="M34" s="45">
        <v>1707.2319</v>
      </c>
      <c r="N34" s="45">
        <v>2653.7680999999998</v>
      </c>
      <c r="O34" s="44">
        <v>0</v>
      </c>
      <c r="P34" s="44">
        <v>0</v>
      </c>
      <c r="Q34" s="44">
        <v>28690</v>
      </c>
      <c r="R34" s="44">
        <v>21484</v>
      </c>
      <c r="S34" s="11">
        <f>(鋼床鈑!O34+鋼床鈑!W34+鋼床鈑!X34)*鋼床鈑!U34+(鋼床鈑!R34+鋼床鈑!W34+鋼床鈑!X34)*鋼床鈑!V34</f>
        <v>153900</v>
      </c>
      <c r="T34" s="11">
        <f>(鋼床鈑!T34)*鋼床鈑!W34+(鋼床鈑!T34)*鋼床鈑!X34</f>
        <v>216250</v>
      </c>
      <c r="U34" s="11">
        <f>4*((鋼床鈑!R34+鋼床鈑!W34/2+鋼床鈑!X34/2)*(鋼床鈑!T34+鋼床鈑!U34/2+鋼床鈑!V34/2))^2/((鋼床鈑!O34+鋼床鈑!W34/2+鋼床鈑!X34/2)/鋼床鈑!U34+(鋼床鈑!R34+鋼床鈑!W34/2+鋼床鈑!X34/2)/鋼床鈑!V34+(鋼床鈑!T34+鋼床鈑!U34/2+鋼床鈑!V34/2)/鋼床鈑!W34+(鋼床鈑!T34+鋼床鈑!U34/2+鋼床鈑!V34/2)/鋼床鈑!X34)</f>
        <v>1009255229115.7421</v>
      </c>
      <c r="V34" s="12">
        <f t="shared" si="2"/>
        <v>0.32815537517328258</v>
      </c>
      <c r="W34" s="12">
        <f t="shared" si="3"/>
        <v>0.30839297108464692</v>
      </c>
      <c r="X34" s="12">
        <f t="shared" si="4"/>
        <v>0.80256489234523454</v>
      </c>
      <c r="Y34" s="12">
        <f t="shared" si="5"/>
        <v>0.51630901209184421</v>
      </c>
      <c r="Z34" s="12">
        <f t="shared" si="0"/>
        <v>1.5605732918622588</v>
      </c>
      <c r="AA34" s="12">
        <f t="shared" si="1"/>
        <v>1.7662461022697302</v>
      </c>
      <c r="AB34" s="10">
        <f t="shared" si="6"/>
        <v>4.3609999999999998</v>
      </c>
      <c r="AC34" s="10">
        <f t="shared" si="7"/>
        <v>6.7279999999999998</v>
      </c>
      <c r="AD34" s="10">
        <f t="shared" si="8"/>
        <v>0.43920799999999999</v>
      </c>
      <c r="AE34" s="12">
        <f t="shared" si="9"/>
        <v>1.0092552291157422</v>
      </c>
      <c r="AF34" s="12">
        <f t="shared" si="10"/>
        <v>0.21625</v>
      </c>
      <c r="AG34" s="12">
        <f t="shared" si="11"/>
        <v>0.15390000000000001</v>
      </c>
      <c r="AH34" s="10">
        <f t="shared" si="12"/>
        <v>1.0696423315930501</v>
      </c>
      <c r="AI34" s="10">
        <f t="shared" si="13"/>
        <v>1.3701643860318502</v>
      </c>
      <c r="AJ34" s="13">
        <f t="shared" si="14"/>
        <v>1.0696423315930501</v>
      </c>
      <c r="AK34" s="13">
        <f t="shared" si="15"/>
        <v>1.3701643860318502</v>
      </c>
    </row>
    <row r="35" spans="1:37">
      <c r="A35" s="8">
        <f>鋼床鈑!A35</f>
        <v>33</v>
      </c>
      <c r="B35" s="43" t="s">
        <v>41</v>
      </c>
      <c r="C35" s="43" t="s">
        <v>42</v>
      </c>
      <c r="D35" s="43" t="s">
        <v>112</v>
      </c>
      <c r="E35" s="44">
        <v>441088</v>
      </c>
      <c r="F35" s="45">
        <v>123520.55439999999</v>
      </c>
      <c r="G35" s="45">
        <v>150471.1519</v>
      </c>
      <c r="H35" s="45">
        <v>827022448654.31201</v>
      </c>
      <c r="I35" s="45">
        <v>1410012692995.72</v>
      </c>
      <c r="J35" s="45">
        <v>1069260153307.23</v>
      </c>
      <c r="K35" s="45">
        <v>3447.1963000000001</v>
      </c>
      <c r="L35" s="45">
        <v>3255.8036999999999</v>
      </c>
      <c r="M35" s="45">
        <v>1733.3634</v>
      </c>
      <c r="N35" s="45">
        <v>2684.6365999999998</v>
      </c>
      <c r="O35" s="44">
        <v>0</v>
      </c>
      <c r="P35" s="44">
        <v>0</v>
      </c>
      <c r="Q35" s="44">
        <v>28754</v>
      </c>
      <c r="R35" s="44">
        <v>21598</v>
      </c>
      <c r="S35" s="11">
        <f>(鋼床鈑!O35+鋼床鈑!W35+鋼床鈑!X35)*鋼床鈑!U35+(鋼床鈑!R35+鋼床鈑!W35+鋼床鈑!X35)*鋼床鈑!V35</f>
        <v>153900</v>
      </c>
      <c r="T35" s="11">
        <f>(鋼床鈑!T35)*鋼床鈑!W35+(鋼床鈑!T35)*鋼床鈑!X35</f>
        <v>219100</v>
      </c>
      <c r="U35" s="11">
        <f>4*((鋼床鈑!R35+鋼床鈑!W35/2+鋼床鈑!X35/2)*(鋼床鈑!T35+鋼床鈑!U35/2+鋼床鈑!V35/2))^2/((鋼床鈑!O35+鋼床鈑!W35/2+鋼床鈑!X35/2)/鋼床鈑!U35+(鋼床鈑!R35+鋼床鈑!W35/2+鋼床鈑!X35/2)/鋼床鈑!V35+(鋼床鈑!T35+鋼床鈑!U35/2+鋼床鈑!V35/2)/鋼床鈑!W35+(鋼床鈑!T35+鋼床鈑!U35/2+鋼床鈑!V35/2)/鋼床鈑!X35)</f>
        <v>1028040345459.3489</v>
      </c>
      <c r="V35" s="12">
        <f t="shared" si="2"/>
        <v>0.328416652793665</v>
      </c>
      <c r="W35" s="12">
        <f t="shared" si="3"/>
        <v>0.31018255424190083</v>
      </c>
      <c r="X35" s="12">
        <f t="shared" si="4"/>
        <v>0.81345475103242626</v>
      </c>
      <c r="Y35" s="12">
        <f t="shared" si="5"/>
        <v>0.52521547720675499</v>
      </c>
      <c r="Z35" s="12">
        <f t="shared" si="0"/>
        <v>1.5569657892407733</v>
      </c>
      <c r="AA35" s="12">
        <f t="shared" si="1"/>
        <v>1.7879233232000729</v>
      </c>
      <c r="AB35" s="10">
        <f t="shared" si="6"/>
        <v>4.4180000000000001</v>
      </c>
      <c r="AC35" s="10">
        <f t="shared" si="7"/>
        <v>6.7030000000000003</v>
      </c>
      <c r="AD35" s="10">
        <f t="shared" si="8"/>
        <v>0.44108799999999998</v>
      </c>
      <c r="AE35" s="12">
        <f t="shared" si="9"/>
        <v>1.028040345459349</v>
      </c>
      <c r="AF35" s="12">
        <f t="shared" si="10"/>
        <v>0.21909999999999999</v>
      </c>
      <c r="AG35" s="12">
        <f t="shared" si="11"/>
        <v>0.15390000000000001</v>
      </c>
      <c r="AH35" s="10">
        <f t="shared" si="12"/>
        <v>1.0692601533072299</v>
      </c>
      <c r="AI35" s="10">
        <f t="shared" si="13"/>
        <v>1.41001269299572</v>
      </c>
      <c r="AJ35" s="13">
        <f t="shared" si="14"/>
        <v>1.0692601533072299</v>
      </c>
      <c r="AK35" s="13">
        <f t="shared" si="15"/>
        <v>1.41001269299572</v>
      </c>
    </row>
    <row r="36" spans="1:37">
      <c r="A36" s="8">
        <f>鋼床鈑!A36</f>
        <v>34</v>
      </c>
      <c r="B36" s="43" t="s">
        <v>41</v>
      </c>
      <c r="C36" s="43" t="s">
        <v>42</v>
      </c>
      <c r="D36" s="43" t="s">
        <v>113</v>
      </c>
      <c r="E36" s="44">
        <v>442912</v>
      </c>
      <c r="F36" s="45">
        <v>122955.664</v>
      </c>
      <c r="G36" s="45">
        <v>152600.01439999999</v>
      </c>
      <c r="H36" s="45">
        <v>841116841504.41296</v>
      </c>
      <c r="I36" s="45">
        <v>1449707817618.8301</v>
      </c>
      <c r="J36" s="45">
        <v>1068644648469.0601</v>
      </c>
      <c r="K36" s="45">
        <v>3425.0212000000001</v>
      </c>
      <c r="L36" s="45">
        <v>3251.9787999999999</v>
      </c>
      <c r="M36" s="45">
        <v>1759.1971000000001</v>
      </c>
      <c r="N36" s="45">
        <v>2714.8029000000001</v>
      </c>
      <c r="O36" s="44">
        <v>0</v>
      </c>
      <c r="P36" s="44">
        <v>0</v>
      </c>
      <c r="Q36" s="44">
        <v>28814</v>
      </c>
      <c r="R36" s="44">
        <v>21710</v>
      </c>
      <c r="S36" s="11">
        <f>(鋼床鈑!O36+鋼床鈑!W36+鋼床鈑!X36)*鋼床鈑!U36+(鋼床鈑!R36+鋼床鈑!W36+鋼床鈑!X36)*鋼床鈑!V36</f>
        <v>153900</v>
      </c>
      <c r="T36" s="11">
        <f>(鋼床鈑!T36)*鋼床鈑!W36+(鋼床鈑!T36)*鋼床鈑!X36</f>
        <v>221900</v>
      </c>
      <c r="U36" s="11">
        <f>4*((鋼床鈑!R36+鋼床鈑!W36/2+鋼床鈑!X36/2)*(鋼床鈑!T36+鋼床鈑!U36/2+鋼床鈑!V36/2))^2/((鋼床鈑!O36+鋼床鈑!W36/2+鋼床鈑!X36/2)/鋼床鈑!U36+(鋼床鈑!R36+鋼床鈑!W36/2+鋼床鈑!X36/2)/鋼床鈑!V36+(鋼床鈑!T36+鋼床鈑!U36/2+鋼床鈑!V36/2)/鋼床鈑!W36+(鋼床鈑!T36+鋼床鈑!U36/2+鋼床鈑!V36/2)/鋼床鈑!X36)</f>
        <v>1046553729497.0676</v>
      </c>
      <c r="V36" s="12">
        <f t="shared" si="2"/>
        <v>0.32861365777324875</v>
      </c>
      <c r="W36" s="12">
        <f t="shared" si="3"/>
        <v>0.31201110476894567</v>
      </c>
      <c r="X36" s="12">
        <f t="shared" si="4"/>
        <v>0.82407356038662749</v>
      </c>
      <c r="Y36" s="12">
        <f t="shared" si="5"/>
        <v>0.53400113047574471</v>
      </c>
      <c r="Z36" s="12">
        <f t="shared" si="0"/>
        <v>1.5533092702172546</v>
      </c>
      <c r="AA36" s="12">
        <f t="shared" si="1"/>
        <v>1.8091789121436821</v>
      </c>
      <c r="AB36" s="10">
        <f t="shared" si="6"/>
        <v>4.4740000000000002</v>
      </c>
      <c r="AC36" s="10">
        <f t="shared" si="7"/>
        <v>6.6769999999999996</v>
      </c>
      <c r="AD36" s="10">
        <f t="shared" si="8"/>
        <v>0.44291199999999997</v>
      </c>
      <c r="AE36" s="12">
        <f t="shared" si="9"/>
        <v>1.0465537294970677</v>
      </c>
      <c r="AF36" s="12">
        <f t="shared" si="10"/>
        <v>0.22189999999999999</v>
      </c>
      <c r="AG36" s="12">
        <f t="shared" si="11"/>
        <v>0.15390000000000001</v>
      </c>
      <c r="AH36" s="10">
        <f t="shared" si="12"/>
        <v>1.0686446484690602</v>
      </c>
      <c r="AI36" s="10">
        <f t="shared" si="13"/>
        <v>1.4497078176188301</v>
      </c>
      <c r="AJ36" s="13">
        <f t="shared" si="14"/>
        <v>1.0686446484690602</v>
      </c>
      <c r="AK36" s="13">
        <f t="shared" si="15"/>
        <v>1.4497078176188301</v>
      </c>
    </row>
    <row r="37" spans="1:37">
      <c r="A37" s="8">
        <f>鋼床鈑!A37</f>
        <v>35</v>
      </c>
      <c r="B37" s="43" t="s">
        <v>41</v>
      </c>
      <c r="C37" s="43" t="s">
        <v>42</v>
      </c>
      <c r="D37" s="43" t="s">
        <v>114</v>
      </c>
      <c r="E37" s="44">
        <v>444936</v>
      </c>
      <c r="F37" s="45">
        <v>122410.0735</v>
      </c>
      <c r="G37" s="45">
        <v>155048.60089999999</v>
      </c>
      <c r="H37" s="45">
        <v>857003891953.73999</v>
      </c>
      <c r="I37" s="45">
        <v>1493757653720.3401</v>
      </c>
      <c r="J37" s="45">
        <v>1068513109465.9301</v>
      </c>
      <c r="K37" s="45">
        <v>3402.8265999999999</v>
      </c>
      <c r="L37" s="45">
        <v>3248.1734000000001</v>
      </c>
      <c r="M37" s="45">
        <v>1787.2686000000001</v>
      </c>
      <c r="N37" s="45">
        <v>2747.7314000000001</v>
      </c>
      <c r="O37" s="44">
        <v>0</v>
      </c>
      <c r="P37" s="44">
        <v>0</v>
      </c>
      <c r="Q37" s="44">
        <v>28884</v>
      </c>
      <c r="R37" s="44">
        <v>21832</v>
      </c>
      <c r="S37" s="11">
        <f>(鋼床鈑!O37+鋼床鈑!W37+鋼床鈑!X37)*鋼床鈑!U37+(鋼床鈑!R37+鋼床鈑!W37+鋼床鈑!X37)*鋼床鈑!V37</f>
        <v>153900</v>
      </c>
      <c r="T37" s="11">
        <f>(鋼床鈑!T37)*鋼床鈑!W37+(鋼床鈑!T37)*鋼床鈑!X37</f>
        <v>224950</v>
      </c>
      <c r="U37" s="11">
        <f>4*((鋼床鈑!R37+鋼床鈑!W37/2+鋼床鈑!X37/2)*(鋼床鈑!T37+鋼床鈑!U37/2+鋼床鈑!V37/2))^2/((鋼床鈑!O37+鋼床鈑!W37/2+鋼床鈑!X37/2)/鋼床鈑!U37+(鋼床鈑!R37+鋼床鈑!W37/2+鋼床鈑!X37/2)/鋼床鈑!V37+(鋼床鈑!T37+鋼床鈑!U37/2+鋼床鈑!V37/2)/鋼床鈑!W37+(鋼床鈑!T37+鋼床鈑!U37/2+鋼床鈑!V37/2)/鋼床鈑!X37)</f>
        <v>1066783837628.7892</v>
      </c>
      <c r="V37" s="12">
        <f t="shared" si="2"/>
        <v>0.32895814905261217</v>
      </c>
      <c r="W37" s="12">
        <f t="shared" si="3"/>
        <v>0.31400751054018744</v>
      </c>
      <c r="X37" s="12">
        <f t="shared" si="4"/>
        <v>0.8357768125732975</v>
      </c>
      <c r="Y37" s="12">
        <f t="shared" si="5"/>
        <v>0.54363306898204822</v>
      </c>
      <c r="Z37" s="12">
        <f t="shared" si="0"/>
        <v>1.5496768821353635</v>
      </c>
      <c r="AA37" s="12">
        <f t="shared" si="1"/>
        <v>1.8322777113877369</v>
      </c>
      <c r="AB37" s="10">
        <f t="shared" si="6"/>
        <v>4.5350000000000001</v>
      </c>
      <c r="AC37" s="10">
        <f t="shared" si="7"/>
        <v>6.6509999999999998</v>
      </c>
      <c r="AD37" s="10">
        <f t="shared" si="8"/>
        <v>0.444936</v>
      </c>
      <c r="AE37" s="12">
        <f t="shared" si="9"/>
        <v>1.0667838376287893</v>
      </c>
      <c r="AF37" s="12">
        <f t="shared" si="10"/>
        <v>0.22495000000000001</v>
      </c>
      <c r="AG37" s="12">
        <f t="shared" si="11"/>
        <v>0.15390000000000001</v>
      </c>
      <c r="AH37" s="10">
        <f t="shared" si="12"/>
        <v>1.0685131094659301</v>
      </c>
      <c r="AI37" s="10">
        <f t="shared" si="13"/>
        <v>1.4937576537203401</v>
      </c>
      <c r="AJ37" s="13">
        <f t="shared" si="14"/>
        <v>1.0685131094659301</v>
      </c>
      <c r="AK37" s="13">
        <f t="shared" si="15"/>
        <v>1.4937576537203401</v>
      </c>
    </row>
    <row r="38" spans="1:37">
      <c r="A38" s="8">
        <f>鋼床鈑!A38</f>
        <v>36</v>
      </c>
      <c r="B38" s="43" t="s">
        <v>41</v>
      </c>
      <c r="C38" s="43" t="s">
        <v>42</v>
      </c>
      <c r="D38" s="43" t="s">
        <v>115</v>
      </c>
      <c r="E38" s="44">
        <v>446760</v>
      </c>
      <c r="F38" s="45">
        <v>121874.2092</v>
      </c>
      <c r="G38" s="45">
        <v>157388.09529999999</v>
      </c>
      <c r="H38" s="45">
        <v>872272522314.698</v>
      </c>
      <c r="I38" s="45">
        <v>1534730498726.55</v>
      </c>
      <c r="J38" s="45">
        <v>1068020817049.65</v>
      </c>
      <c r="K38" s="45">
        <v>3380.5390000000002</v>
      </c>
      <c r="L38" s="45">
        <v>3244.4609999999998</v>
      </c>
      <c r="M38" s="45">
        <v>1813.2464</v>
      </c>
      <c r="N38" s="45">
        <v>2777.7536</v>
      </c>
      <c r="O38" s="44">
        <v>0</v>
      </c>
      <c r="P38" s="44">
        <v>0</v>
      </c>
      <c r="Q38" s="44">
        <v>28944</v>
      </c>
      <c r="R38" s="44">
        <v>21944</v>
      </c>
      <c r="S38" s="11">
        <f>(鋼床鈑!O38+鋼床鈑!W38+鋼床鈑!X38)*鋼床鈑!U38+(鋼床鈑!R38+鋼床鈑!W38+鋼床鈑!X38)*鋼床鈑!V38</f>
        <v>153900</v>
      </c>
      <c r="T38" s="11">
        <f>(鋼床鈑!T38)*鋼床鈑!W38+(鋼床鈑!T38)*鋼床鈑!X38</f>
        <v>227750</v>
      </c>
      <c r="U38" s="11">
        <f>4*((鋼床鈑!R38+鋼床鈑!W38/2+鋼床鈑!X38/2)*(鋼床鈑!T38+鋼床鈑!U38/2+鋼床鈑!V38/2))^2/((鋼床鈑!O38+鋼床鈑!W38/2+鋼床鈑!X38/2)/鋼床鈑!U38+(鋼床鈑!R38+鋼床鈑!W38/2+鋼床鈑!X38/2)/鋼床鈑!V38+(鋼床鈑!T38+鋼床鈑!U38/2+鋼床鈑!V38/2)/鋼床鈑!W38+(鋼床鈑!T38+鋼床鈑!U38/2+鋼床鈑!V38/2)/鋼床鈑!X38)</f>
        <v>1085412947037.4501</v>
      </c>
      <c r="V38" s="12">
        <f t="shared" si="2"/>
        <v>0.32918281867146815</v>
      </c>
      <c r="W38" s="12">
        <f t="shared" si="3"/>
        <v>0.31593210936174676</v>
      </c>
      <c r="X38" s="12">
        <f t="shared" si="4"/>
        <v>0.84639930829398036</v>
      </c>
      <c r="Y38" s="12">
        <f t="shared" si="5"/>
        <v>0.55250778856934968</v>
      </c>
      <c r="Z38" s="12">
        <f t="shared" si="0"/>
        <v>1.5461538910464943</v>
      </c>
      <c r="AA38" s="12">
        <f t="shared" si="1"/>
        <v>1.853441660944338</v>
      </c>
      <c r="AB38" s="10">
        <f t="shared" si="6"/>
        <v>4.5910000000000002</v>
      </c>
      <c r="AC38" s="10">
        <f t="shared" si="7"/>
        <v>6.625</v>
      </c>
      <c r="AD38" s="10">
        <f t="shared" si="8"/>
        <v>0.44675999999999999</v>
      </c>
      <c r="AE38" s="12">
        <f t="shared" si="9"/>
        <v>1.0854129470374501</v>
      </c>
      <c r="AF38" s="12">
        <f t="shared" si="10"/>
        <v>0.22775000000000001</v>
      </c>
      <c r="AG38" s="12">
        <f t="shared" si="11"/>
        <v>0.15390000000000001</v>
      </c>
      <c r="AH38" s="10">
        <f t="shared" si="12"/>
        <v>1.0680208170496501</v>
      </c>
      <c r="AI38" s="10">
        <f t="shared" si="13"/>
        <v>1.53473049872655</v>
      </c>
      <c r="AJ38" s="13">
        <f t="shared" si="14"/>
        <v>1.0680208170496501</v>
      </c>
      <c r="AK38" s="13">
        <f t="shared" si="15"/>
        <v>1.53473049872655</v>
      </c>
    </row>
    <row r="39" spans="1:37">
      <c r="A39" s="8">
        <f>鋼床鈑!A39</f>
        <v>37</v>
      </c>
      <c r="B39" s="43" t="s">
        <v>41</v>
      </c>
      <c r="C39" s="43" t="s">
        <v>42</v>
      </c>
      <c r="D39" s="43" t="s">
        <v>116</v>
      </c>
      <c r="E39" s="44">
        <v>449344</v>
      </c>
      <c r="F39" s="45">
        <v>121306.3612</v>
      </c>
      <c r="G39" s="45">
        <v>160491.19709999999</v>
      </c>
      <c r="H39" s="45">
        <v>892946486851.80103</v>
      </c>
      <c r="I39" s="45">
        <v>1591043021888.79</v>
      </c>
      <c r="J39" s="45">
        <v>1068994398460.13</v>
      </c>
      <c r="K39" s="45">
        <v>3358.3903</v>
      </c>
      <c r="L39" s="45">
        <v>3240.6097</v>
      </c>
      <c r="M39" s="45">
        <v>1847.5669</v>
      </c>
      <c r="N39" s="45">
        <v>2818.4331000000002</v>
      </c>
      <c r="O39" s="44">
        <v>0</v>
      </c>
      <c r="P39" s="44">
        <v>0</v>
      </c>
      <c r="Q39" s="44">
        <v>29042</v>
      </c>
      <c r="R39" s="44">
        <v>22094</v>
      </c>
      <c r="S39" s="11">
        <f>(鋼床鈑!O39+鋼床鈑!W39+鋼床鈑!X39)*鋼床鈑!U39+(鋼床鈑!R39+鋼床鈑!W39+鋼床鈑!X39)*鋼床鈑!V39</f>
        <v>153900</v>
      </c>
      <c r="T39" s="11">
        <f>(鋼床鈑!T39)*鋼床鈑!W39+(鋼床鈑!T39)*鋼床鈑!X39</f>
        <v>231500</v>
      </c>
      <c r="U39" s="11">
        <f>4*((鋼床鈑!R39+鋼床鈑!W39/2+鋼床鈑!X39/2)*(鋼床鈑!T39+鋼床鈑!U39/2+鋼床鈑!V39/2))^2/((鋼床鈑!O39+鋼床鈑!W39/2+鋼床鈑!X39/2)/鋼床鈑!U39+(鋼床鈑!R39+鋼床鈑!W39/2+鋼床鈑!X39/2)/鋼床鈑!V39+(鋼床鈑!T39+鋼床鈑!U39/2+鋼床鈑!V39/2)/鋼床鈑!W39+(鋼床鈑!T39+鋼床鈑!U39/2+鋼床鈑!V39/2)/鋼床鈑!X39)</f>
        <v>1110446317815.0703</v>
      </c>
      <c r="V39" s="12">
        <f t="shared" si="2"/>
        <v>0.32987446728315667</v>
      </c>
      <c r="W39" s="12">
        <f t="shared" si="3"/>
        <v>0.31830558778714019</v>
      </c>
      <c r="X39" s="12">
        <f t="shared" si="4"/>
        <v>0.86115583792326544</v>
      </c>
      <c r="Y39" s="12">
        <f t="shared" si="5"/>
        <v>0.5645133183713994</v>
      </c>
      <c r="Z39" s="12">
        <f t="shared" si="0"/>
        <v>1.542404349487045</v>
      </c>
      <c r="AA39" s="12">
        <f t="shared" si="1"/>
        <v>1.8817047797361317</v>
      </c>
      <c r="AB39" s="10">
        <f t="shared" si="6"/>
        <v>4.6660000000000004</v>
      </c>
      <c r="AC39" s="10">
        <f t="shared" si="7"/>
        <v>6.5990000000000002</v>
      </c>
      <c r="AD39" s="10">
        <f t="shared" si="8"/>
        <v>0.44934400000000002</v>
      </c>
      <c r="AE39" s="12">
        <f t="shared" si="9"/>
        <v>1.1104463178150703</v>
      </c>
      <c r="AF39" s="12">
        <f t="shared" si="10"/>
        <v>0.23150000000000001</v>
      </c>
      <c r="AG39" s="12">
        <f t="shared" si="11"/>
        <v>0.15390000000000001</v>
      </c>
      <c r="AH39" s="10">
        <f t="shared" si="12"/>
        <v>1.06899439846013</v>
      </c>
      <c r="AI39" s="10">
        <f t="shared" si="13"/>
        <v>1.5910430218887901</v>
      </c>
      <c r="AJ39" s="13">
        <f t="shared" si="14"/>
        <v>1.06899439846013</v>
      </c>
      <c r="AK39" s="13">
        <f t="shared" si="15"/>
        <v>1.5910430218887901</v>
      </c>
    </row>
    <row r="40" spans="1:37">
      <c r="A40" s="8">
        <f>鋼床鈑!A40</f>
        <v>38</v>
      </c>
      <c r="B40" s="43" t="s">
        <v>41</v>
      </c>
      <c r="C40" s="43" t="s">
        <v>42</v>
      </c>
      <c r="D40" s="43" t="s">
        <v>117</v>
      </c>
      <c r="E40" s="44">
        <v>451808</v>
      </c>
      <c r="F40" s="45">
        <v>120777.9719</v>
      </c>
      <c r="G40" s="45">
        <v>163385.32139999999</v>
      </c>
      <c r="H40" s="45">
        <v>912559386847.46704</v>
      </c>
      <c r="I40" s="45">
        <v>1646117323629.6399</v>
      </c>
      <c r="J40" s="45">
        <v>1069811738115.83</v>
      </c>
      <c r="K40" s="45">
        <v>3336.1426999999999</v>
      </c>
      <c r="L40" s="45">
        <v>3236.8573000000001</v>
      </c>
      <c r="M40" s="45">
        <v>1880.6828</v>
      </c>
      <c r="N40" s="45">
        <v>2857.3172</v>
      </c>
      <c r="O40" s="44">
        <v>0</v>
      </c>
      <c r="P40" s="44">
        <v>0</v>
      </c>
      <c r="Q40" s="44">
        <v>29134</v>
      </c>
      <c r="R40" s="44">
        <v>22238</v>
      </c>
      <c r="S40" s="11">
        <f>(鋼床鈑!O40+鋼床鈑!W40+鋼床鈑!X40)*鋼床鈑!U40+(鋼床鈑!R40+鋼床鈑!W40+鋼床鈑!X40)*鋼床鈑!V40</f>
        <v>153900</v>
      </c>
      <c r="T40" s="11">
        <f>(鋼床鈑!T40)*鋼床鈑!W40+(鋼床鈑!T40)*鋼床鈑!X40</f>
        <v>235100</v>
      </c>
      <c r="U40" s="11">
        <f>4*((鋼床鈑!R40+鋼床鈑!W40/2+鋼床鈑!X40/2)*(鋼床鈑!T40+鋼床鈑!U40/2+鋼床鈑!V40/2))^2/((鋼床鈑!O40+鋼床鈑!W40/2+鋼床鈑!X40/2)/鋼床鈑!U40+(鋼床鈑!R40+鋼床鈑!W40/2+鋼床鈑!X40/2)/鋼床鈑!V40+(鋼床鈑!T40+鋼床鈑!U40/2+鋼床鈑!V40/2)/鋼床鈑!W40+(鋼床鈑!T40+鋼床鈑!U40/2+鋼床鈑!V40/2)/鋼床鈑!X40)</f>
        <v>1134566161830.1306</v>
      </c>
      <c r="V40" s="12">
        <f t="shared" si="2"/>
        <v>0.33050939196974483</v>
      </c>
      <c r="W40" s="12">
        <f t="shared" si="3"/>
        <v>0.32067325480886349</v>
      </c>
      <c r="X40" s="12">
        <f t="shared" si="4"/>
        <v>0.8752764281300599</v>
      </c>
      <c r="Y40" s="12">
        <f t="shared" si="5"/>
        <v>0.57610590928778926</v>
      </c>
      <c r="Z40" s="12">
        <f t="shared" si="0"/>
        <v>1.5387806663846868</v>
      </c>
      <c r="AA40" s="12">
        <f t="shared" si="1"/>
        <v>1.9087692696859382</v>
      </c>
      <c r="AB40" s="10">
        <f t="shared" si="6"/>
        <v>4.7380000000000004</v>
      </c>
      <c r="AC40" s="10">
        <f t="shared" si="7"/>
        <v>6.5730000000000004</v>
      </c>
      <c r="AD40" s="10">
        <f t="shared" si="8"/>
        <v>0.45180799999999999</v>
      </c>
      <c r="AE40" s="12">
        <f t="shared" si="9"/>
        <v>1.1345661618301306</v>
      </c>
      <c r="AF40" s="12">
        <f t="shared" si="10"/>
        <v>0.2351</v>
      </c>
      <c r="AG40" s="12">
        <f t="shared" si="11"/>
        <v>0.15390000000000001</v>
      </c>
      <c r="AH40" s="10">
        <f t="shared" si="12"/>
        <v>1.0698117381158299</v>
      </c>
      <c r="AI40" s="10">
        <f t="shared" si="13"/>
        <v>1.6461173236296398</v>
      </c>
      <c r="AJ40" s="13">
        <f t="shared" si="14"/>
        <v>1.0698117381158299</v>
      </c>
      <c r="AK40" s="13">
        <f t="shared" si="15"/>
        <v>1.6461173236296398</v>
      </c>
    </row>
    <row r="41" spans="1:37">
      <c r="A41" s="8">
        <f>鋼床鈑!A41</f>
        <v>39</v>
      </c>
      <c r="B41" s="43" t="s">
        <v>41</v>
      </c>
      <c r="C41" s="43" t="s">
        <v>42</v>
      </c>
      <c r="D41" s="43" t="s">
        <v>118</v>
      </c>
      <c r="E41" s="44">
        <v>454432</v>
      </c>
      <c r="F41" s="45">
        <v>120243.08130000001</v>
      </c>
      <c r="G41" s="45">
        <v>166613.64000000001</v>
      </c>
      <c r="H41" s="45">
        <v>933869459459.20996</v>
      </c>
      <c r="I41" s="45">
        <v>1705476413861.71</v>
      </c>
      <c r="J41" s="45">
        <v>1070986549486.29</v>
      </c>
      <c r="K41" s="45">
        <v>3313.8676999999998</v>
      </c>
      <c r="L41" s="45">
        <v>3233.1323000000002</v>
      </c>
      <c r="M41" s="45">
        <v>1915.6469</v>
      </c>
      <c r="N41" s="45">
        <v>2898.3530999999998</v>
      </c>
      <c r="O41" s="44">
        <v>0</v>
      </c>
      <c r="P41" s="44">
        <v>0</v>
      </c>
      <c r="Q41" s="44">
        <v>29234</v>
      </c>
      <c r="R41" s="44">
        <v>22390</v>
      </c>
      <c r="S41" s="11">
        <f>(鋼床鈑!O41+鋼床鈑!W41+鋼床鈑!X41)*鋼床鈑!U41+(鋼床鈑!R41+鋼床鈑!W41+鋼床鈑!X41)*鋼床鈑!V41</f>
        <v>153900</v>
      </c>
      <c r="T41" s="11">
        <f>(鋼床鈑!T41)*鋼床鈑!W41+(鋼床鈑!T41)*鋼床鈑!X41</f>
        <v>238900</v>
      </c>
      <c r="U41" s="11">
        <f>4*((鋼床鈑!R41+鋼床鈑!W41/2+鋼床鈑!X41/2)*(鋼床鈑!T41+鋼床鈑!U41/2+鋼床鈑!V41/2))^2/((鋼床鈑!O41+鋼床鈑!W41/2+鋼床鈑!X41/2)/鋼床鈑!U41+(鋼床鈑!R41+鋼床鈑!W41/2+鋼床鈑!X41/2)/鋼床鈑!V41+(鋼床鈑!T41+鋼床鈑!U41/2+鋼床鈑!V41/2)/鋼床鈑!W41+(鋼床鈑!T41+鋼床鈑!U41/2+鋼床鈑!V41/2)/鋼床鈑!X41)</f>
        <v>1160116693561.8328</v>
      </c>
      <c r="V41" s="12">
        <f t="shared" si="2"/>
        <v>0.33125354922416567</v>
      </c>
      <c r="W41" s="12">
        <f t="shared" si="3"/>
        <v>0.32318325486750421</v>
      </c>
      <c r="X41" s="12">
        <f t="shared" si="4"/>
        <v>0.8902874605240193</v>
      </c>
      <c r="Y41" s="12">
        <f t="shared" si="5"/>
        <v>0.58842948219860103</v>
      </c>
      <c r="Z41" s="12">
        <f t="shared" si="0"/>
        <v>1.5351738194192648</v>
      </c>
      <c r="AA41" s="12">
        <f t="shared" si="1"/>
        <v>1.937262206185755</v>
      </c>
      <c r="AB41" s="10">
        <f t="shared" si="6"/>
        <v>4.8140000000000001</v>
      </c>
      <c r="AC41" s="10">
        <f t="shared" si="7"/>
        <v>6.5469999999999997</v>
      </c>
      <c r="AD41" s="10">
        <f t="shared" si="8"/>
        <v>0.454432</v>
      </c>
      <c r="AE41" s="12">
        <f t="shared" si="9"/>
        <v>1.1601166935618328</v>
      </c>
      <c r="AF41" s="12">
        <f t="shared" si="10"/>
        <v>0.2389</v>
      </c>
      <c r="AG41" s="12">
        <f t="shared" si="11"/>
        <v>0.15390000000000001</v>
      </c>
      <c r="AH41" s="10">
        <f t="shared" si="12"/>
        <v>1.07098654948629</v>
      </c>
      <c r="AI41" s="10">
        <f t="shared" si="13"/>
        <v>1.70547641386171</v>
      </c>
      <c r="AJ41" s="13">
        <f t="shared" si="14"/>
        <v>1.07098654948629</v>
      </c>
      <c r="AK41" s="13">
        <f t="shared" si="15"/>
        <v>1.70547641386171</v>
      </c>
    </row>
    <row r="42" spans="1:37">
      <c r="A42" s="8">
        <f>鋼床鈑!A42</f>
        <v>40</v>
      </c>
      <c r="B42" s="43" t="s">
        <v>41</v>
      </c>
      <c r="C42" s="43" t="s">
        <v>42</v>
      </c>
      <c r="D42" s="43" t="s">
        <v>119</v>
      </c>
      <c r="E42" s="44">
        <v>456696</v>
      </c>
      <c r="F42" s="45">
        <v>119569.69190000001</v>
      </c>
      <c r="G42" s="45">
        <v>169338.58439999999</v>
      </c>
      <c r="H42" s="45">
        <v>951982839523.28796</v>
      </c>
      <c r="I42" s="45">
        <v>1758602516329.1299</v>
      </c>
      <c r="J42" s="45">
        <v>1071526215879.78</v>
      </c>
      <c r="K42" s="45">
        <v>3291.4558000000002</v>
      </c>
      <c r="L42" s="45">
        <v>3229.5441999999998</v>
      </c>
      <c r="M42" s="45">
        <v>1946.7660000000001</v>
      </c>
      <c r="N42" s="45">
        <v>2934.2339999999999</v>
      </c>
      <c r="O42" s="44">
        <v>0</v>
      </c>
      <c r="P42" s="44">
        <v>0</v>
      </c>
      <c r="Q42" s="44">
        <v>29316</v>
      </c>
      <c r="R42" s="44">
        <v>22524</v>
      </c>
      <c r="S42" s="11">
        <f>(鋼床鈑!O42+鋼床鈑!W42+鋼床鈑!X42)*鋼床鈑!U42+(鋼床鈑!R42+鋼床鈑!W42+鋼床鈑!X42)*鋼床鈑!V42</f>
        <v>153900</v>
      </c>
      <c r="T42" s="11">
        <f>(鋼床鈑!T42)*鋼床鈑!W42+(鋼床鈑!T42)*鋼床鈑!X42</f>
        <v>242250</v>
      </c>
      <c r="U42" s="11">
        <f>4*((鋼床鈑!R42+鋼床鈑!W42/2+鋼床鈑!X42/2)*(鋼床鈑!T42+鋼床鈑!U42/2+鋼床鈑!V42/2))^2/((鋼床鈑!O42+鋼床鈑!W42/2+鋼床鈑!X42/2)/鋼床鈑!U42+(鋼床鈑!R42+鋼床鈑!W42/2+鋼床鈑!X42/2)/鋼床鈑!V42+(鋼床鈑!T42+鋼床鈑!U42/2+鋼床鈑!V42/2)/鋼床鈑!W42+(鋼床鈑!T42+鋼床鈑!U42/2+鋼床鈑!V42/2)/鋼床鈑!X42)</f>
        <v>1182716685165.9595</v>
      </c>
      <c r="V42" s="12">
        <f t="shared" si="2"/>
        <v>0.33178868271249551</v>
      </c>
      <c r="W42" s="12">
        <f t="shared" si="3"/>
        <v>0.32554780649941584</v>
      </c>
      <c r="X42" s="12">
        <f t="shared" si="4"/>
        <v>0.90334560821851717</v>
      </c>
      <c r="Y42" s="12">
        <f t="shared" si="5"/>
        <v>0.59933956062438443</v>
      </c>
      <c r="Z42" s="12">
        <f t="shared" si="0"/>
        <v>1.5317496739077852</v>
      </c>
      <c r="AA42" s="12">
        <f t="shared" si="1"/>
        <v>1.96232185704372</v>
      </c>
      <c r="AB42" s="10">
        <f t="shared" si="6"/>
        <v>4.8810000000000002</v>
      </c>
      <c r="AC42" s="10">
        <f t="shared" si="7"/>
        <v>6.5209999999999999</v>
      </c>
      <c r="AD42" s="10">
        <f t="shared" si="8"/>
        <v>0.45669599999999999</v>
      </c>
      <c r="AE42" s="12">
        <f t="shared" si="9"/>
        <v>1.1827166851659594</v>
      </c>
      <c r="AF42" s="12">
        <f t="shared" si="10"/>
        <v>0.24224999999999999</v>
      </c>
      <c r="AG42" s="12">
        <f t="shared" si="11"/>
        <v>0.15390000000000001</v>
      </c>
      <c r="AH42" s="10">
        <f t="shared" si="12"/>
        <v>1.07152621587978</v>
      </c>
      <c r="AI42" s="10">
        <f t="shared" si="13"/>
        <v>1.7586025163291299</v>
      </c>
      <c r="AJ42" s="13">
        <f t="shared" si="14"/>
        <v>1.07152621587978</v>
      </c>
      <c r="AK42" s="13">
        <f t="shared" si="15"/>
        <v>1.7586025163291299</v>
      </c>
    </row>
    <row r="43" spans="1:37">
      <c r="A43" s="8">
        <f>鋼床鈑!A43</f>
        <v>41</v>
      </c>
      <c r="B43" s="43" t="s">
        <v>41</v>
      </c>
      <c r="C43" s="43" t="s">
        <v>42</v>
      </c>
      <c r="D43" s="43" t="s">
        <v>120</v>
      </c>
      <c r="E43" s="44">
        <v>453136</v>
      </c>
      <c r="F43" s="45">
        <v>118074.33010000001</v>
      </c>
      <c r="G43" s="45">
        <v>169720.9265</v>
      </c>
      <c r="H43" s="45">
        <v>951646119720.48901</v>
      </c>
      <c r="I43" s="45">
        <v>1746939409248.0801</v>
      </c>
      <c r="J43" s="45">
        <v>1036139685071.4301</v>
      </c>
      <c r="K43" s="45">
        <v>3316.1282999999999</v>
      </c>
      <c r="L43" s="45">
        <v>3204.8717000000001</v>
      </c>
      <c r="M43" s="45">
        <v>1960.9203</v>
      </c>
      <c r="N43" s="45">
        <v>2920.0796999999998</v>
      </c>
      <c r="O43" s="44">
        <v>0</v>
      </c>
      <c r="P43" s="44">
        <v>0</v>
      </c>
      <c r="Q43" s="44">
        <v>28790</v>
      </c>
      <c r="R43" s="44">
        <v>22524</v>
      </c>
      <c r="S43" s="11">
        <f>(鋼床鈑!O43+鋼床鈑!W43+鋼床鈑!X43)*鋼床鈑!U43+(鋼床鈑!R43+鋼床鈑!W43+鋼床鈑!X43)*鋼床鈑!V43</f>
        <v>153900</v>
      </c>
      <c r="T43" s="11">
        <f>(鋼床鈑!T43)*鋼床鈑!W43+(鋼床鈑!T43)*鋼床鈑!X43</f>
        <v>242250</v>
      </c>
      <c r="U43" s="11">
        <f>4*((鋼床鈑!R43+鋼床鈑!W43/2+鋼床鈑!X43/2)*(鋼床鈑!T43+鋼床鈑!U43/2+鋼床鈑!V43/2))^2/((鋼床鈑!O43+鋼床鈑!W43/2+鋼床鈑!X43/2)/鋼床鈑!U43+(鋼床鈑!R43+鋼床鈑!W43/2+鋼床鈑!X43/2)/鋼床鈑!V43+(鋼床鈑!T43+鋼床鈑!U43/2+鋼床鈑!V43/2)/鋼床鈑!W43+(鋼床鈑!T43+鋼床鈑!U43/2+鋼床鈑!V43/2)/鋼床鈑!X43)</f>
        <v>1182716685165.9595</v>
      </c>
      <c r="V43" s="12">
        <f t="shared" si="2"/>
        <v>0.32330145542844352</v>
      </c>
      <c r="W43" s="12">
        <f t="shared" si="3"/>
        <v>0.31245464328730282</v>
      </c>
      <c r="X43" s="12">
        <f t="shared" si="4"/>
        <v>0.8908773137021837</v>
      </c>
      <c r="Y43" s="12">
        <f t="shared" si="5"/>
        <v>0.59825059201229347</v>
      </c>
      <c r="Z43" s="12">
        <f t="shared" si="0"/>
        <v>1.5121499889101597</v>
      </c>
      <c r="AA43" s="12">
        <f t="shared" si="1"/>
        <v>1.963471662522301</v>
      </c>
      <c r="AB43" s="10">
        <f t="shared" si="6"/>
        <v>4.8810000000000002</v>
      </c>
      <c r="AC43" s="10">
        <f t="shared" si="7"/>
        <v>6.5209999999999999</v>
      </c>
      <c r="AD43" s="10">
        <f t="shared" si="8"/>
        <v>0.45313599999999998</v>
      </c>
      <c r="AE43" s="12">
        <f t="shared" si="9"/>
        <v>1.1827166851659594</v>
      </c>
      <c r="AF43" s="12">
        <f t="shared" si="10"/>
        <v>0.24224999999999999</v>
      </c>
      <c r="AG43" s="12">
        <f t="shared" si="11"/>
        <v>0.15390000000000001</v>
      </c>
      <c r="AH43" s="10">
        <f t="shared" si="12"/>
        <v>1.03613968507143</v>
      </c>
      <c r="AI43" s="10">
        <f t="shared" si="13"/>
        <v>1.7469394092480801</v>
      </c>
      <c r="AJ43" s="13">
        <f t="shared" si="14"/>
        <v>1.03613968507143</v>
      </c>
      <c r="AK43" s="13">
        <f t="shared" si="15"/>
        <v>1.7469394092480801</v>
      </c>
    </row>
    <row r="44" spans="1:37">
      <c r="A44" s="8">
        <f>鋼床鈑!A44</f>
        <v>42</v>
      </c>
      <c r="B44" s="43" t="s">
        <v>41</v>
      </c>
      <c r="C44" s="43" t="s">
        <v>42</v>
      </c>
      <c r="D44" s="43" t="s">
        <v>121</v>
      </c>
      <c r="E44" s="44">
        <v>456520</v>
      </c>
      <c r="F44" s="45">
        <v>117355.07520000001</v>
      </c>
      <c r="G44" s="45">
        <v>173716.5423</v>
      </c>
      <c r="H44" s="45">
        <v>978249886368.34497</v>
      </c>
      <c r="I44" s="45">
        <v>1823946333116.27</v>
      </c>
      <c r="J44" s="45">
        <v>1039161690070.12</v>
      </c>
      <c r="K44" s="45">
        <v>3293.5949999999998</v>
      </c>
      <c r="L44" s="45">
        <v>3201.4050000000002</v>
      </c>
      <c r="M44" s="45">
        <v>2004.6735000000001</v>
      </c>
      <c r="N44" s="45">
        <v>2971.3265000000001</v>
      </c>
      <c r="O44" s="44">
        <v>0</v>
      </c>
      <c r="P44" s="44">
        <v>0</v>
      </c>
      <c r="Q44" s="44">
        <v>28928</v>
      </c>
      <c r="R44" s="44">
        <v>22714</v>
      </c>
      <c r="S44" s="11">
        <f>(鋼床鈑!O44+鋼床鈑!W44+鋼床鈑!X44)*鋼床鈑!U44+(鋼床鈑!R44+鋼床鈑!W44+鋼床鈑!X44)*鋼床鈑!V44</f>
        <v>153900</v>
      </c>
      <c r="T44" s="11">
        <f>(鋼床鈑!T44)*鋼床鈑!W44+(鋼床鈑!T44)*鋼床鈑!X44</f>
        <v>247000</v>
      </c>
      <c r="U44" s="11">
        <f>4*((鋼床鈑!R44+鋼床鈑!W44/2+鋼床鈑!X44/2)*(鋼床鈑!T44+鋼床鈑!U44/2+鋼床鈑!V44/2))^2/((鋼床鈑!O44+鋼床鈑!W44/2+鋼床鈑!X44/2)/鋼床鈑!U44+(鋼床鈑!R44+鋼床鈑!W44/2+鋼床鈑!X44/2)/鋼床鈑!V44+(鋼床鈑!T44+鋼床鈑!U44/2+鋼床鈑!V44/2)/鋼床鈑!W44+(鋼床鈑!T44+鋼床鈑!U44/2+鋼床鈑!V44/2)/鋼床鈑!X44)</f>
        <v>1214878665607.2256</v>
      </c>
      <c r="V44" s="12">
        <f t="shared" si="2"/>
        <v>0.32459551043061402</v>
      </c>
      <c r="W44" s="12">
        <f t="shared" si="3"/>
        <v>0.31550985779068769</v>
      </c>
      <c r="X44" s="12">
        <f t="shared" si="4"/>
        <v>0.90984708139069526</v>
      </c>
      <c r="Y44" s="12">
        <f t="shared" si="5"/>
        <v>0.61384917918521242</v>
      </c>
      <c r="Z44" s="12">
        <f t="shared" si="0"/>
        <v>1.50873046355181</v>
      </c>
      <c r="AA44" s="12">
        <f t="shared" si="1"/>
        <v>1.998831217408805</v>
      </c>
      <c r="AB44" s="10">
        <f t="shared" si="6"/>
        <v>4.976</v>
      </c>
      <c r="AC44" s="10">
        <f t="shared" si="7"/>
        <v>6.4950000000000001</v>
      </c>
      <c r="AD44" s="10">
        <f t="shared" si="8"/>
        <v>0.45651999999999998</v>
      </c>
      <c r="AE44" s="12">
        <f t="shared" si="9"/>
        <v>1.2148786656072257</v>
      </c>
      <c r="AF44" s="12">
        <f t="shared" si="10"/>
        <v>0.247</v>
      </c>
      <c r="AG44" s="12">
        <f t="shared" si="11"/>
        <v>0.15390000000000001</v>
      </c>
      <c r="AH44" s="10">
        <f t="shared" si="12"/>
        <v>1.0391616900701199</v>
      </c>
      <c r="AI44" s="10">
        <f t="shared" si="13"/>
        <v>1.82394633311627</v>
      </c>
      <c r="AJ44" s="13">
        <f t="shared" si="14"/>
        <v>1.0391616900701199</v>
      </c>
      <c r="AK44" s="13">
        <f t="shared" si="15"/>
        <v>1.82394633311627</v>
      </c>
    </row>
    <row r="45" spans="1:37">
      <c r="A45" s="8">
        <f>鋼床鈑!A45</f>
        <v>43</v>
      </c>
      <c r="B45" s="43" t="s">
        <v>41</v>
      </c>
      <c r="C45" s="43" t="s">
        <v>42</v>
      </c>
      <c r="D45" s="43" t="s">
        <v>122</v>
      </c>
      <c r="E45" s="44">
        <v>459584</v>
      </c>
      <c r="F45" s="45">
        <v>116492.4313</v>
      </c>
      <c r="G45" s="45">
        <v>177065.0539</v>
      </c>
      <c r="H45" s="45">
        <v>1001089745764.42</v>
      </c>
      <c r="I45" s="45">
        <v>1895980667265.1699</v>
      </c>
      <c r="J45" s="45">
        <v>1041607263508.46</v>
      </c>
      <c r="K45" s="45">
        <v>3270.9537</v>
      </c>
      <c r="L45" s="45">
        <v>3198.0463</v>
      </c>
      <c r="M45" s="45">
        <v>2045.0213000000001</v>
      </c>
      <c r="N45" s="45">
        <v>3017.9787000000001</v>
      </c>
      <c r="O45" s="44">
        <v>0</v>
      </c>
      <c r="P45" s="44">
        <v>0</v>
      </c>
      <c r="Q45" s="44">
        <v>29050</v>
      </c>
      <c r="R45" s="44">
        <v>22888</v>
      </c>
      <c r="S45" s="11">
        <f>(鋼床鈑!O45+鋼床鈑!W45+鋼床鈑!X45)*鋼床鈑!U45+(鋼床鈑!R45+鋼床鈑!W45+鋼床鈑!X45)*鋼床鈑!V45</f>
        <v>153900</v>
      </c>
      <c r="T45" s="11">
        <f>(鋼床鈑!T45)*鋼床鈑!W45+(鋼床鈑!T45)*鋼床鈑!X45</f>
        <v>251350</v>
      </c>
      <c r="U45" s="11">
        <f>4*((鋼床鈑!R45+鋼床鈑!W45/2+鋼床鈑!X45/2)*(鋼床鈑!T45+鋼床鈑!U45/2+鋼床鈑!V45/2))^2/((鋼床鈑!O45+鋼床鈑!W45/2+鋼床鈑!X45/2)/鋼床鈑!U45+(鋼床鈑!R45+鋼床鈑!W45/2+鋼床鈑!X45/2)/鋼床鈑!V45+(鋼床鈑!T45+鋼床鈑!U45/2+鋼床鈑!V45/2)/鋼床鈑!W45+(鋼床鈑!T45+鋼床鈑!U45/2+鋼床鈑!V45/2)/鋼床鈑!X45)</f>
        <v>1244449200259.3728</v>
      </c>
      <c r="V45" s="12">
        <f t="shared" si="2"/>
        <v>0.3257011205586548</v>
      </c>
      <c r="W45" s="12">
        <f t="shared" si="3"/>
        <v>0.31844145745886276</v>
      </c>
      <c r="X45" s="12">
        <f t="shared" si="4"/>
        <v>0.92712025408496712</v>
      </c>
      <c r="Y45" s="12">
        <f t="shared" si="5"/>
        <v>0.62822864431255598</v>
      </c>
      <c r="Z45" s="12">
        <f t="shared" si="0"/>
        <v>1.505461139389306</v>
      </c>
      <c r="AA45" s="12">
        <f t="shared" si="1"/>
        <v>2.0311149461627211</v>
      </c>
      <c r="AB45" s="10">
        <f t="shared" si="6"/>
        <v>5.0629999999999997</v>
      </c>
      <c r="AC45" s="10">
        <f t="shared" si="7"/>
        <v>6.4690000000000003</v>
      </c>
      <c r="AD45" s="10">
        <f t="shared" si="8"/>
        <v>0.45958399999999999</v>
      </c>
      <c r="AE45" s="12">
        <f t="shared" si="9"/>
        <v>1.2444492002593728</v>
      </c>
      <c r="AF45" s="12">
        <f t="shared" si="10"/>
        <v>0.25135000000000002</v>
      </c>
      <c r="AG45" s="12">
        <f t="shared" si="11"/>
        <v>0.15390000000000001</v>
      </c>
      <c r="AH45" s="10">
        <f t="shared" si="12"/>
        <v>1.0416072635084599</v>
      </c>
      <c r="AI45" s="10">
        <f t="shared" si="13"/>
        <v>1.89598066726517</v>
      </c>
      <c r="AJ45" s="13">
        <f t="shared" si="14"/>
        <v>1.0416072635084599</v>
      </c>
      <c r="AK45" s="13">
        <f t="shared" si="15"/>
        <v>1.89598066726517</v>
      </c>
    </row>
    <row r="46" spans="1:37">
      <c r="A46" s="8">
        <f>鋼床鈑!A46</f>
        <v>44</v>
      </c>
      <c r="B46" s="43" t="s">
        <v>41</v>
      </c>
      <c r="C46" s="43" t="s">
        <v>42</v>
      </c>
      <c r="D46" s="43" t="s">
        <v>123</v>
      </c>
      <c r="E46" s="44">
        <v>462808</v>
      </c>
      <c r="F46" s="45">
        <v>115762.1511</v>
      </c>
      <c r="G46" s="45">
        <v>180669.43299999999</v>
      </c>
      <c r="H46" s="45">
        <v>1026015838783.4</v>
      </c>
      <c r="I46" s="45">
        <v>1973103678898.52</v>
      </c>
      <c r="J46" s="45">
        <v>1044431855540.6801</v>
      </c>
      <c r="K46" s="45">
        <v>3248.2601</v>
      </c>
      <c r="L46" s="45">
        <v>3194.7399</v>
      </c>
      <c r="M46" s="45">
        <v>2087.2667000000001</v>
      </c>
      <c r="N46" s="45">
        <v>3066.7332999999999</v>
      </c>
      <c r="O46" s="44">
        <v>0</v>
      </c>
      <c r="P46" s="44">
        <v>0</v>
      </c>
      <c r="Q46" s="44">
        <v>29180</v>
      </c>
      <c r="R46" s="44">
        <v>23070</v>
      </c>
      <c r="S46" s="11">
        <f>(鋼床鈑!O46+鋼床鈑!W46+鋼床鈑!X46)*鋼床鈑!U46+(鋼床鈑!R46+鋼床鈑!W46+鋼床鈑!X46)*鋼床鈑!V46</f>
        <v>153900</v>
      </c>
      <c r="T46" s="11">
        <f>(鋼床鈑!T46)*鋼床鈑!W46+(鋼床鈑!T46)*鋼床鈑!X46</f>
        <v>255900</v>
      </c>
      <c r="U46" s="11">
        <f>4*((鋼床鈑!R46+鋼床鈑!W46/2+鋼床鈑!X46/2)*(鋼床鈑!T46+鋼床鈑!U46/2+鋼床鈑!V46/2))^2/((鋼床鈑!O46+鋼床鈑!W46/2+鋼床鈑!X46/2)/鋼床鈑!U46+(鋼床鈑!R46+鋼床鈑!W46/2+鋼床鈑!X46/2)/鋼床鈑!V46+(鋼床鈑!T46+鋼床鈑!U46/2+鋼床鈑!V46/2)/鋼床鈑!W46+(鋼床鈑!T46+鋼床鈑!U46/2+鋼床鈑!V46/2)/鋼床鈑!X46)</f>
        <v>1275494975958.4592</v>
      </c>
      <c r="V46" s="12">
        <f t="shared" si="2"/>
        <v>0.32692234367520184</v>
      </c>
      <c r="W46" s="12">
        <f t="shared" si="3"/>
        <v>0.32153578327692417</v>
      </c>
      <c r="X46" s="12">
        <f t="shared" si="4"/>
        <v>0.94530501487831908</v>
      </c>
      <c r="Y46" s="12">
        <f t="shared" si="5"/>
        <v>0.64338939382127569</v>
      </c>
      <c r="Z46" s="12">
        <f t="shared" si="0"/>
        <v>1.5022410525692229</v>
      </c>
      <c r="AA46" s="12">
        <f t="shared" si="1"/>
        <v>2.0647835161494776</v>
      </c>
      <c r="AB46" s="10">
        <f t="shared" si="6"/>
        <v>5.1539999999999999</v>
      </c>
      <c r="AC46" s="10">
        <f t="shared" si="7"/>
        <v>6.4429999999999996</v>
      </c>
      <c r="AD46" s="10">
        <f t="shared" si="8"/>
        <v>0.462808</v>
      </c>
      <c r="AE46" s="12">
        <f t="shared" si="9"/>
        <v>1.2754949759584593</v>
      </c>
      <c r="AF46" s="12">
        <f t="shared" si="10"/>
        <v>0.25590000000000002</v>
      </c>
      <c r="AG46" s="12">
        <f t="shared" si="11"/>
        <v>0.15390000000000001</v>
      </c>
      <c r="AH46" s="10">
        <f t="shared" si="12"/>
        <v>1.04443185554068</v>
      </c>
      <c r="AI46" s="10">
        <f t="shared" si="13"/>
        <v>1.9731036788985201</v>
      </c>
      <c r="AJ46" s="13">
        <f t="shared" si="14"/>
        <v>1.04443185554068</v>
      </c>
      <c r="AK46" s="13">
        <f t="shared" si="15"/>
        <v>1.9731036788985201</v>
      </c>
    </row>
    <row r="47" spans="1:37">
      <c r="A47" s="8">
        <f>鋼床鈑!A47</f>
        <v>45</v>
      </c>
      <c r="B47" s="43" t="s">
        <v>41</v>
      </c>
      <c r="C47" s="43" t="s">
        <v>42</v>
      </c>
      <c r="D47" s="43" t="s">
        <v>124</v>
      </c>
      <c r="E47" s="44">
        <v>466040</v>
      </c>
      <c r="F47" s="45">
        <v>115369.2818</v>
      </c>
      <c r="G47" s="45">
        <v>183799.899</v>
      </c>
      <c r="H47" s="45">
        <v>1047462918965.53</v>
      </c>
      <c r="I47" s="45">
        <v>2042696159991.6699</v>
      </c>
      <c r="J47" s="45">
        <v>1051825250614.26</v>
      </c>
      <c r="K47" s="45">
        <v>3254.7781</v>
      </c>
      <c r="L47" s="45">
        <v>3195.2219</v>
      </c>
      <c r="M47" s="45">
        <v>2121.4504000000002</v>
      </c>
      <c r="N47" s="45">
        <v>3110.5495999999998</v>
      </c>
      <c r="O47" s="44">
        <v>0</v>
      </c>
      <c r="P47" s="44">
        <v>0</v>
      </c>
      <c r="Q47" s="44">
        <v>29350</v>
      </c>
      <c r="R47" s="44">
        <v>23226</v>
      </c>
      <c r="S47" s="11">
        <f>(鋼床鈑!O47+鋼床鈑!W47+鋼床鈑!X47)*鋼床鈑!U47+(鋼床鈑!R47+鋼床鈑!W47+鋼床鈑!X47)*鋼床鈑!V47</f>
        <v>160384</v>
      </c>
      <c r="T47" s="11">
        <f>(鋼床鈑!T47)*鋼床鈑!W47+(鋼床鈑!T47)*鋼床鈑!X47</f>
        <v>332544</v>
      </c>
      <c r="U47" s="11">
        <f>4*((鋼床鈑!R47+鋼床鈑!W47/2+鋼床鈑!X47/2)*(鋼床鈑!T47+鋼床鈑!U47/2+鋼床鈑!V47/2))^2/((鋼床鈑!O47+鋼床鈑!W47/2+鋼床鈑!X47/2)/鋼床鈑!U47+(鋼床鈑!R47+鋼床鈑!W47/2+鋼床鈑!X47/2)/鋼床鈑!V47+(鋼床鈑!T47+鋼床鈑!U47/2+鋼床鈑!V47/2)/鋼床鈑!W47+(鋼床鈑!T47+鋼床鈑!U47/2+鋼床鈑!V47/2)/鋼床鈑!X47)</f>
        <v>1524452895834.4001</v>
      </c>
      <c r="V47" s="12">
        <f t="shared" si="2"/>
        <v>0.32918691832146618</v>
      </c>
      <c r="W47" s="12">
        <f t="shared" si="3"/>
        <v>0.32316342874933934</v>
      </c>
      <c r="X47" s="12">
        <f t="shared" si="4"/>
        <v>0.96287717119932192</v>
      </c>
      <c r="Y47" s="12">
        <f t="shared" si="5"/>
        <v>0.65669943343506565</v>
      </c>
      <c r="Z47" s="12">
        <f t="shared" si="0"/>
        <v>1.5023122185500182</v>
      </c>
      <c r="AA47" s="12">
        <f t="shared" si="1"/>
        <v>2.0935835124069384</v>
      </c>
      <c r="AB47" s="10">
        <f t="shared" si="6"/>
        <v>5.2320000000000002</v>
      </c>
      <c r="AC47" s="10">
        <f t="shared" si="7"/>
        <v>6.45</v>
      </c>
      <c r="AD47" s="10">
        <f t="shared" si="8"/>
        <v>0.46604000000000001</v>
      </c>
      <c r="AE47" s="12">
        <f t="shared" si="9"/>
        <v>1.5244528958344001</v>
      </c>
      <c r="AF47" s="12">
        <f t="shared" si="10"/>
        <v>0.33254400000000001</v>
      </c>
      <c r="AG47" s="12">
        <f t="shared" si="11"/>
        <v>0.160384</v>
      </c>
      <c r="AH47" s="10">
        <f t="shared" si="12"/>
        <v>1.05182525061426</v>
      </c>
      <c r="AI47" s="10">
        <f t="shared" si="13"/>
        <v>2.04269615999167</v>
      </c>
      <c r="AJ47" s="13">
        <f t="shared" si="14"/>
        <v>1.05182525061426</v>
      </c>
      <c r="AK47" s="13">
        <f t="shared" si="15"/>
        <v>2.04269615999167</v>
      </c>
    </row>
    <row r="48" spans="1:37">
      <c r="A48" s="8">
        <f>鋼床鈑!A48</f>
        <v>46</v>
      </c>
      <c r="B48" s="43" t="s">
        <v>41</v>
      </c>
      <c r="C48" s="43" t="s">
        <v>42</v>
      </c>
      <c r="D48" s="43" t="s">
        <v>125</v>
      </c>
      <c r="E48" s="44">
        <v>470680</v>
      </c>
      <c r="F48" s="45">
        <v>114726.87149999999</v>
      </c>
      <c r="G48" s="45">
        <v>188414.5736</v>
      </c>
      <c r="H48" s="45">
        <v>1079424650079.96</v>
      </c>
      <c r="I48" s="45">
        <v>2148065977515.6201</v>
      </c>
      <c r="J48" s="45">
        <v>1061059584619.86</v>
      </c>
      <c r="K48" s="45">
        <v>3255.2239</v>
      </c>
      <c r="L48" s="45">
        <v>3194.7761</v>
      </c>
      <c r="M48" s="45">
        <v>2173.1417999999999</v>
      </c>
      <c r="N48" s="45">
        <v>3174.8582000000001</v>
      </c>
      <c r="O48" s="44">
        <v>0</v>
      </c>
      <c r="P48" s="44">
        <v>0</v>
      </c>
      <c r="Q48" s="44">
        <v>29582</v>
      </c>
      <c r="R48" s="44">
        <v>23458</v>
      </c>
      <c r="S48" s="11">
        <f>(鋼床鈑!O48+鋼床鈑!W48+鋼床鈑!X48)*鋼床鈑!U48+(鋼床鈑!R48+鋼床鈑!W48+鋼床鈑!X48)*鋼床鈑!V48</f>
        <v>160384</v>
      </c>
      <c r="T48" s="11">
        <f>(鋼床鈑!T48)*鋼床鈑!W48+(鋼床鈑!T48)*鋼床鈑!X48</f>
        <v>339968</v>
      </c>
      <c r="U48" s="11">
        <f>4*((鋼床鈑!R48+鋼床鈑!W48/2+鋼床鈑!X48/2)*(鋼床鈑!T48+鋼床鈑!U48/2+鋼床鈑!V48/2))^2/((鋼床鈑!O48+鋼床鈑!W48/2+鋼床鈑!X48/2)/鋼床鈑!U48+(鋼床鈑!R48+鋼床鈑!W48/2+鋼床鈑!X48/2)/鋼床鈑!V48+(鋼床鈑!T48+鋼床鈑!U48/2+鋼床鈑!V48/2)/鋼床鈑!W48+(鋼床鈑!T48+鋼床鈑!U48/2+鋼床鈑!V48/2)/鋼床鈑!X48)</f>
        <v>1573047885783.8535</v>
      </c>
      <c r="V48" s="12">
        <f t="shared" si="2"/>
        <v>0.33212330110390526</v>
      </c>
      <c r="W48" s="12">
        <f t="shared" si="3"/>
        <v>0.32595594564781244</v>
      </c>
      <c r="X48" s="12">
        <f t="shared" si="4"/>
        <v>0.98846102795299418</v>
      </c>
      <c r="Y48" s="12">
        <f t="shared" si="5"/>
        <v>0.67658643069968283</v>
      </c>
      <c r="Z48" s="12">
        <f t="shared" si="0"/>
        <v>1.5014366541656163</v>
      </c>
      <c r="AA48" s="12">
        <f t="shared" si="1"/>
        <v>2.1362935825672142</v>
      </c>
      <c r="AB48" s="10">
        <f t="shared" si="6"/>
        <v>5.3479999999999999</v>
      </c>
      <c r="AC48" s="10">
        <f t="shared" si="7"/>
        <v>6.45</v>
      </c>
      <c r="AD48" s="10">
        <f t="shared" si="8"/>
        <v>0.47067999999999999</v>
      </c>
      <c r="AE48" s="12">
        <f t="shared" si="9"/>
        <v>1.5730478857838535</v>
      </c>
      <c r="AF48" s="12">
        <f t="shared" si="10"/>
        <v>0.33996799999999999</v>
      </c>
      <c r="AG48" s="12">
        <f t="shared" si="11"/>
        <v>0.160384</v>
      </c>
      <c r="AH48" s="10">
        <f t="shared" si="12"/>
        <v>1.0610595846198601</v>
      </c>
      <c r="AI48" s="10">
        <f t="shared" si="13"/>
        <v>2.1480659775156199</v>
      </c>
      <c r="AJ48" s="13">
        <f t="shared" si="14"/>
        <v>1.0610595846198601</v>
      </c>
      <c r="AK48" s="13">
        <f t="shared" si="15"/>
        <v>2.1480659775156199</v>
      </c>
    </row>
    <row r="49" spans="1:37">
      <c r="A49" s="8">
        <f>鋼床鈑!A49</f>
        <v>47</v>
      </c>
      <c r="B49" s="43" t="s">
        <v>41</v>
      </c>
      <c r="C49" s="43" t="s">
        <v>42</v>
      </c>
      <c r="D49" s="43" t="s">
        <v>126</v>
      </c>
      <c r="E49" s="44">
        <v>474760</v>
      </c>
      <c r="F49" s="45">
        <v>114165.16469999999</v>
      </c>
      <c r="G49" s="45">
        <v>192468.65979999999</v>
      </c>
      <c r="H49" s="45">
        <v>1107646169240.5901</v>
      </c>
      <c r="I49" s="45">
        <v>2243303833199.4102</v>
      </c>
      <c r="J49" s="45">
        <v>1069179278299.65</v>
      </c>
      <c r="K49" s="45">
        <v>3255.6087000000002</v>
      </c>
      <c r="L49" s="45">
        <v>3194.3912999999998</v>
      </c>
      <c r="M49" s="45">
        <v>2218.6963999999998</v>
      </c>
      <c r="N49" s="45">
        <v>3231.3036000000002</v>
      </c>
      <c r="O49" s="44">
        <v>0</v>
      </c>
      <c r="P49" s="44">
        <v>0</v>
      </c>
      <c r="Q49" s="44">
        <v>29786</v>
      </c>
      <c r="R49" s="44">
        <v>23662</v>
      </c>
      <c r="S49" s="11">
        <f>(鋼床鈑!O49+鋼床鈑!W49+鋼床鈑!X49)*鋼床鈑!U49+(鋼床鈑!R49+鋼床鈑!W49+鋼床鈑!X49)*鋼床鈑!V49</f>
        <v>160384</v>
      </c>
      <c r="T49" s="11">
        <f>(鋼床鈑!T49)*鋼床鈑!W49+(鋼床鈑!T49)*鋼床鈑!X49</f>
        <v>346496</v>
      </c>
      <c r="U49" s="11">
        <f>4*((鋼床鈑!R49+鋼床鈑!W49/2+鋼床鈑!X49/2)*(鋼床鈑!T49+鋼床鈑!U49/2+鋼床鈑!V49/2))^2/((鋼床鈑!O49+鋼床鈑!W49/2+鋼床鈑!X49/2)/鋼床鈑!U49+(鋼床鈑!R49+鋼床鈑!W49/2+鋼床鈑!X49/2)/鋼床鈑!V49+(鋼床鈑!T49+鋼床鈑!U49/2+鋼床鈑!V49/2)/鋼床鈑!W49+(鋼床鈑!T49+鋼床鈑!U49/2+鋼床鈑!V49/2)/鋼床鈑!X49)</f>
        <v>1616001041775.9817</v>
      </c>
      <c r="V49" s="12">
        <f t="shared" si="2"/>
        <v>0.33470516849318055</v>
      </c>
      <c r="W49" s="12">
        <f t="shared" si="3"/>
        <v>0.32841148209846288</v>
      </c>
      <c r="X49" s="12">
        <f t="shared" si="4"/>
        <v>1.0110909420502103</v>
      </c>
      <c r="Y49" s="12">
        <f t="shared" si="5"/>
        <v>0.69424112088985068</v>
      </c>
      <c r="Z49" s="12">
        <f t="shared" si="0"/>
        <v>1.5006803848415156</v>
      </c>
      <c r="AA49" s="12">
        <f t="shared" si="1"/>
        <v>2.1737369544841485</v>
      </c>
      <c r="AB49" s="10">
        <f t="shared" si="6"/>
        <v>5.45</v>
      </c>
      <c r="AC49" s="10">
        <f t="shared" si="7"/>
        <v>6.45</v>
      </c>
      <c r="AD49" s="10">
        <f t="shared" si="8"/>
        <v>0.47476000000000002</v>
      </c>
      <c r="AE49" s="12">
        <f t="shared" si="9"/>
        <v>1.6160010417759816</v>
      </c>
      <c r="AF49" s="12">
        <f t="shared" si="10"/>
        <v>0.34649600000000003</v>
      </c>
      <c r="AG49" s="12">
        <f t="shared" si="11"/>
        <v>0.160384</v>
      </c>
      <c r="AH49" s="10">
        <f t="shared" si="12"/>
        <v>1.0691792782996501</v>
      </c>
      <c r="AI49" s="10">
        <f t="shared" si="13"/>
        <v>2.24330383319941</v>
      </c>
      <c r="AJ49" s="13">
        <f t="shared" si="14"/>
        <v>1.0691792782996501</v>
      </c>
      <c r="AK49" s="13">
        <f t="shared" si="15"/>
        <v>2.24330383319941</v>
      </c>
    </row>
    <row r="50" spans="1:37">
      <c r="A50" s="8">
        <f>鋼床鈑!A50</f>
        <v>48</v>
      </c>
      <c r="B50" s="43" t="s">
        <v>41</v>
      </c>
      <c r="C50" s="43" t="s">
        <v>42</v>
      </c>
      <c r="D50" s="43" t="s">
        <v>127</v>
      </c>
      <c r="E50" s="44">
        <v>479000</v>
      </c>
      <c r="F50" s="45">
        <v>113571.4047</v>
      </c>
      <c r="G50" s="45">
        <v>196680.05179999999</v>
      </c>
      <c r="H50" s="45">
        <v>1137069568010.3601</v>
      </c>
      <c r="I50" s="45">
        <v>2344864362646.21</v>
      </c>
      <c r="J50" s="45">
        <v>1077617244954.22</v>
      </c>
      <c r="K50" s="45">
        <v>3256.0016999999998</v>
      </c>
      <c r="L50" s="45">
        <v>3193.9983000000002</v>
      </c>
      <c r="M50" s="45">
        <v>2266.1356999999998</v>
      </c>
      <c r="N50" s="45">
        <v>3289.8643000000002</v>
      </c>
      <c r="O50" s="44">
        <v>0</v>
      </c>
      <c r="P50" s="44">
        <v>0</v>
      </c>
      <c r="Q50" s="44">
        <v>29998</v>
      </c>
      <c r="R50" s="44">
        <v>23874</v>
      </c>
      <c r="S50" s="11">
        <f>(鋼床鈑!O50+鋼床鈑!W50+鋼床鈑!X50)*鋼床鈑!U50+(鋼床鈑!R50+鋼床鈑!W50+鋼床鈑!X50)*鋼床鈑!V50</f>
        <v>160384</v>
      </c>
      <c r="T50" s="11">
        <f>(鋼床鈑!T50)*鋼床鈑!W50+(鋼床鈑!T50)*鋼床鈑!X50</f>
        <v>353280</v>
      </c>
      <c r="U50" s="11">
        <f>4*((鋼床鈑!R50+鋼床鈑!W50/2+鋼床鈑!X50/2)*(鋼床鈑!T50+鋼床鈑!U50/2+鋼床鈑!V50/2))^2/((鋼床鈑!O50+鋼床鈑!W50/2+鋼床鈑!X50/2)/鋼床鈑!U50+(鋼床鈑!R50+鋼床鈑!W50/2+鋼床鈑!X50/2)/鋼床鈑!V50+(鋼床鈑!T50+鋼床鈑!U50/2+鋼床鈑!V50/2)/鋼床鈑!W50+(鋼床鈑!T50+鋼床鈑!U50/2+鋼床鈑!V50/2)/鋼床鈑!X50)</f>
        <v>1660852294125.6145</v>
      </c>
      <c r="V50" s="12">
        <f t="shared" si="2"/>
        <v>0.33738817110648434</v>
      </c>
      <c r="W50" s="12">
        <f t="shared" si="3"/>
        <v>0.33096335451981496</v>
      </c>
      <c r="X50" s="12">
        <f t="shared" si="4"/>
        <v>1.0347413716867042</v>
      </c>
      <c r="Y50" s="12">
        <f t="shared" si="5"/>
        <v>0.71275412868737764</v>
      </c>
      <c r="Z50" s="12">
        <f t="shared" si="0"/>
        <v>1.4999076136853475</v>
      </c>
      <c r="AA50" s="12">
        <f t="shared" si="1"/>
        <v>2.2125398750384351</v>
      </c>
      <c r="AB50" s="10">
        <f t="shared" si="6"/>
        <v>5.556</v>
      </c>
      <c r="AC50" s="10">
        <f t="shared" si="7"/>
        <v>6.45</v>
      </c>
      <c r="AD50" s="10">
        <f t="shared" si="8"/>
        <v>0.47899999999999998</v>
      </c>
      <c r="AE50" s="12">
        <f t="shared" si="9"/>
        <v>1.6608522941256145</v>
      </c>
      <c r="AF50" s="12">
        <f t="shared" si="10"/>
        <v>0.35327999999999998</v>
      </c>
      <c r="AG50" s="12">
        <f t="shared" si="11"/>
        <v>0.160384</v>
      </c>
      <c r="AH50" s="10">
        <f t="shared" si="12"/>
        <v>1.0776172449542201</v>
      </c>
      <c r="AI50" s="10">
        <f t="shared" si="13"/>
        <v>2.3448643626462098</v>
      </c>
      <c r="AJ50" s="13">
        <f t="shared" si="14"/>
        <v>1.0776172449542201</v>
      </c>
      <c r="AK50" s="13">
        <f t="shared" si="15"/>
        <v>2.3448643626462098</v>
      </c>
    </row>
    <row r="51" spans="1:37">
      <c r="A51" s="8">
        <f>鋼床鈑!A51</f>
        <v>49</v>
      </c>
      <c r="B51" s="43" t="s">
        <v>41</v>
      </c>
      <c r="C51" s="43" t="s">
        <v>42</v>
      </c>
      <c r="D51" s="43" t="s">
        <v>128</v>
      </c>
      <c r="E51" s="44">
        <v>482520</v>
      </c>
      <c r="F51" s="45">
        <v>113075.18459999999</v>
      </c>
      <c r="G51" s="45">
        <v>200173.65470000001</v>
      </c>
      <c r="H51" s="45">
        <v>1161568128293.02</v>
      </c>
      <c r="I51" s="45">
        <v>2431199970047.1201</v>
      </c>
      <c r="J51" s="45">
        <v>1084622238780.38</v>
      </c>
      <c r="K51" s="45">
        <v>3256.3226</v>
      </c>
      <c r="L51" s="45">
        <v>3193.6774</v>
      </c>
      <c r="M51" s="45">
        <v>2305.5936000000002</v>
      </c>
      <c r="N51" s="45">
        <v>3338.4063999999998</v>
      </c>
      <c r="O51" s="44">
        <v>0</v>
      </c>
      <c r="P51" s="44">
        <v>0</v>
      </c>
      <c r="Q51" s="44">
        <v>30174</v>
      </c>
      <c r="R51" s="44">
        <v>24050</v>
      </c>
      <c r="S51" s="11">
        <f>(鋼床鈑!O51+鋼床鈑!W51+鋼床鈑!X51)*鋼床鈑!U51+(鋼床鈑!R51+鋼床鈑!W51+鋼床鈑!X51)*鋼床鈑!V51</f>
        <v>160384</v>
      </c>
      <c r="T51" s="11">
        <f>(鋼床鈑!T51)*鋼床鈑!W51+(鋼床鈑!T51)*鋼床鈑!X51</f>
        <v>358912</v>
      </c>
      <c r="U51" s="11">
        <f>4*((鋼床鈑!R51+鋼床鈑!W51/2+鋼床鈑!X51/2)*(鋼床鈑!T51+鋼床鈑!U51/2+鋼床鈑!V51/2))^2/((鋼床鈑!O51+鋼床鈑!W51/2+鋼床鈑!X51/2)/鋼床鈑!U51+(鋼床鈑!R51+鋼床鈑!W51/2+鋼床鈑!X51/2)/鋼床鈑!V51+(鋼床鈑!T51+鋼床鈑!U51/2+鋼床鈑!V51/2)/鋼床鈑!W51+(鋼床鈑!T51+鋼床鈑!U51/2+鋼床鈑!V51/2)/鋼床鈑!X51)</f>
        <v>1698247633811.2092</v>
      </c>
      <c r="V51" s="12">
        <f t="shared" si="2"/>
        <v>0.33961546610198645</v>
      </c>
      <c r="W51" s="12">
        <f t="shared" si="3"/>
        <v>0.33308193690034893</v>
      </c>
      <c r="X51" s="12">
        <f t="shared" si="4"/>
        <v>1.0544789723770571</v>
      </c>
      <c r="Y51" s="12">
        <f t="shared" si="5"/>
        <v>0.72825165026256855</v>
      </c>
      <c r="Z51" s="12">
        <f t="shared" si="0"/>
        <v>1.499276013335747</v>
      </c>
      <c r="AA51" s="12">
        <f t="shared" si="1"/>
        <v>2.2446709253012966</v>
      </c>
      <c r="AB51" s="10">
        <f t="shared" si="6"/>
        <v>5.6440000000000001</v>
      </c>
      <c r="AC51" s="10">
        <f t="shared" si="7"/>
        <v>6.45</v>
      </c>
      <c r="AD51" s="10">
        <f t="shared" si="8"/>
        <v>0.48252</v>
      </c>
      <c r="AE51" s="12">
        <f t="shared" si="9"/>
        <v>1.6982476338112091</v>
      </c>
      <c r="AF51" s="12">
        <f t="shared" si="10"/>
        <v>0.35891200000000001</v>
      </c>
      <c r="AG51" s="12">
        <f t="shared" si="11"/>
        <v>0.160384</v>
      </c>
      <c r="AH51" s="10">
        <f t="shared" si="12"/>
        <v>1.0846222387803801</v>
      </c>
      <c r="AI51" s="10">
        <f t="shared" si="13"/>
        <v>2.4311999700471203</v>
      </c>
      <c r="AJ51" s="13">
        <f t="shared" si="14"/>
        <v>1.0846222387803801</v>
      </c>
      <c r="AK51" s="13">
        <f t="shared" si="15"/>
        <v>2.4311999700471203</v>
      </c>
    </row>
    <row r="52" spans="1:37">
      <c r="A52" s="8">
        <f>鋼床鈑!A52</f>
        <v>50</v>
      </c>
      <c r="B52" s="43" t="s">
        <v>41</v>
      </c>
      <c r="C52" s="43" t="s">
        <v>42</v>
      </c>
      <c r="D52" s="43" t="s">
        <v>129</v>
      </c>
      <c r="E52" s="44">
        <v>488000</v>
      </c>
      <c r="F52" s="45">
        <v>112310.4129</v>
      </c>
      <c r="G52" s="45">
        <v>205610.64679999999</v>
      </c>
      <c r="H52" s="45">
        <v>1199885863960.52</v>
      </c>
      <c r="I52" s="45">
        <v>2569293373093.2002</v>
      </c>
      <c r="J52" s="45">
        <v>1095527546311.62</v>
      </c>
      <c r="K52" s="45">
        <v>3256.8130999999998</v>
      </c>
      <c r="L52" s="45">
        <v>3193.1869000000002</v>
      </c>
      <c r="M52" s="45">
        <v>2367.1527000000001</v>
      </c>
      <c r="N52" s="45">
        <v>3413.8472999999999</v>
      </c>
      <c r="O52" s="44">
        <v>0</v>
      </c>
      <c r="P52" s="44">
        <v>0</v>
      </c>
      <c r="Q52" s="44">
        <v>30448</v>
      </c>
      <c r="R52" s="44">
        <v>24324</v>
      </c>
      <c r="S52" s="11">
        <f>(鋼床鈑!O52+鋼床鈑!W52+鋼床鈑!X52)*鋼床鈑!U52+(鋼床鈑!R52+鋼床鈑!W52+鋼床鈑!X52)*鋼床鈑!V52</f>
        <v>160384</v>
      </c>
      <c r="T52" s="11">
        <f>(鋼床鈑!T52)*鋼床鈑!W52+(鋼床鈑!T52)*鋼床鈑!X52</f>
        <v>367680</v>
      </c>
      <c r="U52" s="11">
        <f>4*((鋼床鈑!R52+鋼床鈑!W52/2+鋼床鈑!X52/2)*(鋼床鈑!T52+鋼床鈑!U52/2+鋼床鈑!V52/2))^2/((鋼床鈑!O52+鋼床鈑!W52/2+鋼床鈑!X52/2)/鋼床鈑!U52+(鋼床鈑!R52+鋼床鈑!W52/2+鋼床鈑!X52/2)/鋼床鈑!V52+(鋼床鈑!T52+鋼床鈑!U52/2+鋼床鈑!V52/2)/鋼床鈑!W52+(鋼床鈑!T52+鋼床鈑!U52/2+鋼床鈑!V52/2)/鋼床鈑!X52)</f>
        <v>1756745041855.0129</v>
      </c>
      <c r="V52" s="12">
        <f t="shared" si="2"/>
        <v>0.34308281369675542</v>
      </c>
      <c r="W52" s="12">
        <f t="shared" si="3"/>
        <v>0.33638023204697259</v>
      </c>
      <c r="X52" s="12">
        <f t="shared" si="4"/>
        <v>1.0853940149670953</v>
      </c>
      <c r="Y52" s="12">
        <f t="shared" si="5"/>
        <v>0.75260934286463266</v>
      </c>
      <c r="Z52" s="12">
        <f t="shared" si="0"/>
        <v>1.4983102137208453</v>
      </c>
      <c r="AA52" s="12">
        <f t="shared" si="1"/>
        <v>2.2945468913636073</v>
      </c>
      <c r="AB52" s="10">
        <f t="shared" si="6"/>
        <v>5.7809999999999997</v>
      </c>
      <c r="AC52" s="10">
        <f t="shared" si="7"/>
        <v>6.45</v>
      </c>
      <c r="AD52" s="10">
        <f t="shared" si="8"/>
        <v>0.48799999999999999</v>
      </c>
      <c r="AE52" s="12">
        <f t="shared" si="9"/>
        <v>1.756745041855013</v>
      </c>
      <c r="AF52" s="12">
        <f t="shared" si="10"/>
        <v>0.36768000000000001</v>
      </c>
      <c r="AG52" s="12">
        <f t="shared" si="11"/>
        <v>0.160384</v>
      </c>
      <c r="AH52" s="10">
        <f t="shared" si="12"/>
        <v>1.0955275463116201</v>
      </c>
      <c r="AI52" s="10">
        <f t="shared" si="13"/>
        <v>2.5692933730932004</v>
      </c>
      <c r="AJ52" s="13">
        <f t="shared" si="14"/>
        <v>1.0955275463116201</v>
      </c>
      <c r="AK52" s="13">
        <f t="shared" si="15"/>
        <v>2.5692933730932004</v>
      </c>
    </row>
    <row r="53" spans="1:37">
      <c r="A53" s="8">
        <f>鋼床鈑!A53</f>
        <v>51</v>
      </c>
      <c r="B53" s="43" t="s">
        <v>41</v>
      </c>
      <c r="C53" s="43" t="s">
        <v>42</v>
      </c>
      <c r="D53" s="43" t="s">
        <v>130</v>
      </c>
      <c r="E53" s="44">
        <v>492720</v>
      </c>
      <c r="F53" s="45">
        <v>111641.59600000001</v>
      </c>
      <c r="G53" s="45">
        <v>210288.48620000001</v>
      </c>
      <c r="H53" s="45">
        <v>1232991022195.3201</v>
      </c>
      <c r="I53" s="45">
        <v>2691867300443.1001</v>
      </c>
      <c r="J53" s="45">
        <v>1104920254619.2</v>
      </c>
      <c r="K53" s="45">
        <v>3257.2267999999999</v>
      </c>
      <c r="L53" s="45">
        <v>3192.7732000000001</v>
      </c>
      <c r="M53" s="45">
        <v>2420.2981</v>
      </c>
      <c r="N53" s="45">
        <v>3478.7019</v>
      </c>
      <c r="O53" s="44">
        <v>0</v>
      </c>
      <c r="P53" s="44">
        <v>0</v>
      </c>
      <c r="Q53" s="44">
        <v>30684</v>
      </c>
      <c r="R53" s="44">
        <v>24560</v>
      </c>
      <c r="S53" s="11">
        <f>(鋼床鈑!O53+鋼床鈑!W53+鋼床鈑!X53)*鋼床鈑!U53+(鋼床鈑!R53+鋼床鈑!W53+鋼床鈑!X53)*鋼床鈑!V53</f>
        <v>160384</v>
      </c>
      <c r="T53" s="11">
        <f>(鋼床鈑!T53)*鋼床鈑!W53+(鋼床鈑!T53)*鋼床鈑!X53</f>
        <v>375232</v>
      </c>
      <c r="U53" s="11">
        <f>4*((鋼床鈑!R53+鋼床鈑!W53/2+鋼床鈑!X53/2)*(鋼床鈑!T53+鋼床鈑!U53/2+鋼床鈑!V53/2))^2/((鋼床鈑!O53+鋼床鈑!W53/2+鋼床鈑!X53/2)/鋼床鈑!U53+(鋼床鈑!R53+鋼床鈑!W53/2+鋼床鈑!X53/2)/鋼床鈑!V53+(鋼床鈑!T53+鋼床鈑!U53/2+鋼床鈑!V53/2)/鋼床鈑!W53+(鋼床鈑!T53+鋼床鈑!U53/2+鋼床鈑!V53/2)/鋼床鈑!X53)</f>
        <v>1807393164889.5085</v>
      </c>
      <c r="V53" s="12">
        <f t="shared" si="2"/>
        <v>0.34606913344775003</v>
      </c>
      <c r="W53" s="12">
        <f t="shared" si="3"/>
        <v>0.33922116035002536</v>
      </c>
      <c r="X53" s="12">
        <f t="shared" si="4"/>
        <v>1.1122048562708453</v>
      </c>
      <c r="Y53" s="12">
        <f t="shared" si="5"/>
        <v>0.77381373219795002</v>
      </c>
      <c r="Z53" s="12">
        <f t="shared" si="0"/>
        <v>1.4974949685495786</v>
      </c>
      <c r="AA53" s="12">
        <f t="shared" si="1"/>
        <v>2.3373660297567875</v>
      </c>
      <c r="AB53" s="10">
        <f t="shared" si="6"/>
        <v>5.899</v>
      </c>
      <c r="AC53" s="10">
        <f t="shared" si="7"/>
        <v>6.45</v>
      </c>
      <c r="AD53" s="10">
        <f t="shared" si="8"/>
        <v>0.49271999999999999</v>
      </c>
      <c r="AE53" s="12">
        <f t="shared" si="9"/>
        <v>1.8073931648895085</v>
      </c>
      <c r="AF53" s="12">
        <f t="shared" si="10"/>
        <v>0.37523200000000001</v>
      </c>
      <c r="AG53" s="12">
        <f t="shared" si="11"/>
        <v>0.160384</v>
      </c>
      <c r="AH53" s="10">
        <f t="shared" si="12"/>
        <v>1.1049202546191998</v>
      </c>
      <c r="AI53" s="10">
        <f t="shared" si="13"/>
        <v>2.6918673004431</v>
      </c>
      <c r="AJ53" s="13">
        <f t="shared" si="14"/>
        <v>1.1049202546191998</v>
      </c>
      <c r="AK53" s="13">
        <f t="shared" si="15"/>
        <v>2.6918673004431</v>
      </c>
    </row>
    <row r="54" spans="1:37">
      <c r="A54" s="8">
        <f>鋼床鈑!A54</f>
        <v>52</v>
      </c>
      <c r="B54" s="43" t="s">
        <v>41</v>
      </c>
      <c r="C54" s="43" t="s">
        <v>42</v>
      </c>
      <c r="D54" s="43" t="s">
        <v>131</v>
      </c>
      <c r="E54" s="44">
        <v>497600</v>
      </c>
      <c r="F54" s="45">
        <v>110948.7651</v>
      </c>
      <c r="G54" s="45">
        <v>215121.55119999999</v>
      </c>
      <c r="H54" s="45">
        <v>1267345398027.6201</v>
      </c>
      <c r="I54" s="45">
        <v>2822168548881.75</v>
      </c>
      <c r="J54" s="45">
        <v>1114631185904.75</v>
      </c>
      <c r="K54" s="45">
        <v>3257.6462999999999</v>
      </c>
      <c r="L54" s="45">
        <v>3192.3537000000001</v>
      </c>
      <c r="M54" s="45">
        <v>2475.3618999999999</v>
      </c>
      <c r="N54" s="45">
        <v>3545.6381000000001</v>
      </c>
      <c r="O54" s="44">
        <v>0</v>
      </c>
      <c r="P54" s="44">
        <v>0</v>
      </c>
      <c r="Q54" s="44">
        <v>30928</v>
      </c>
      <c r="R54" s="44">
        <v>24804</v>
      </c>
      <c r="S54" s="11">
        <f>(鋼床鈑!O54+鋼床鈑!W54+鋼床鈑!X54)*鋼床鈑!U54+(鋼床鈑!R54+鋼床鈑!W54+鋼床鈑!X54)*鋼床鈑!V54</f>
        <v>160384</v>
      </c>
      <c r="T54" s="11">
        <f>(鋼床鈑!T54)*鋼床鈑!W54+(鋼床鈑!T54)*鋼床鈑!X54</f>
        <v>383040</v>
      </c>
      <c r="U54" s="11">
        <f>4*((鋼床鈑!R54+鋼床鈑!W54/2+鋼床鈑!X54/2)*(鋼床鈑!T54+鋼床鈑!U54/2+鋼床鈑!V54/2))^2/((鋼床鈑!O54+鋼床鈑!W54/2+鋼床鈑!X54/2)/鋼床鈑!U54+(鋼床鈑!R54+鋼床鈑!W54/2+鋼床鈑!X54/2)/鋼床鈑!V54+(鋼床鈑!T54+鋼床鈑!U54/2+鋼床鈑!V54/2)/鋼床鈑!W54+(鋼床鈑!T54+鋼床鈑!U54/2+鋼床鈑!V54/2)/鋼床鈑!X54)</f>
        <v>1860004886764.4956</v>
      </c>
      <c r="V54" s="12">
        <f t="shared" si="2"/>
        <v>0.34915654424656956</v>
      </c>
      <c r="W54" s="12">
        <f t="shared" si="3"/>
        <v>0.34215844301597448</v>
      </c>
      <c r="X54" s="12">
        <f t="shared" si="4"/>
        <v>1.1401034123057925</v>
      </c>
      <c r="Y54" s="12">
        <f t="shared" si="5"/>
        <v>0.79595504935536143</v>
      </c>
      <c r="Z54" s="12">
        <f t="shared" si="0"/>
        <v>1.4966677791436913</v>
      </c>
      <c r="AA54" s="12">
        <f t="shared" si="1"/>
        <v>2.3815038502149699</v>
      </c>
      <c r="AB54" s="10">
        <f t="shared" si="6"/>
        <v>6.0209999999999999</v>
      </c>
      <c r="AC54" s="10">
        <f t="shared" si="7"/>
        <v>6.45</v>
      </c>
      <c r="AD54" s="10">
        <f t="shared" si="8"/>
        <v>0.49759999999999999</v>
      </c>
      <c r="AE54" s="12">
        <f t="shared" si="9"/>
        <v>1.8600048867644956</v>
      </c>
      <c r="AF54" s="12">
        <f t="shared" si="10"/>
        <v>0.38303999999999999</v>
      </c>
      <c r="AG54" s="12">
        <f t="shared" si="11"/>
        <v>0.160384</v>
      </c>
      <c r="AH54" s="10">
        <f t="shared" si="12"/>
        <v>1.11463118590475</v>
      </c>
      <c r="AI54" s="10">
        <f t="shared" si="13"/>
        <v>2.8221685488817498</v>
      </c>
      <c r="AJ54" s="13">
        <f t="shared" si="14"/>
        <v>1.11463118590475</v>
      </c>
      <c r="AK54" s="13">
        <f t="shared" si="15"/>
        <v>2.8221685488817498</v>
      </c>
    </row>
    <row r="55" spans="1:37">
      <c r="A55" s="8">
        <f>鋼床鈑!A55</f>
        <v>53</v>
      </c>
      <c r="B55" s="43" t="s">
        <v>41</v>
      </c>
      <c r="C55" s="43" t="s">
        <v>42</v>
      </c>
      <c r="D55" s="43" t="s">
        <v>132</v>
      </c>
      <c r="E55" s="44">
        <v>501440</v>
      </c>
      <c r="F55" s="45">
        <v>110406.23789999999</v>
      </c>
      <c r="G55" s="45">
        <v>218923.1998</v>
      </c>
      <c r="H55" s="45">
        <v>1294482023777.4099</v>
      </c>
      <c r="I55" s="45">
        <v>2927278081932.7202</v>
      </c>
      <c r="J55" s="45">
        <v>1122272453483.4299</v>
      </c>
      <c r="K55" s="45">
        <v>3257.9706000000001</v>
      </c>
      <c r="L55" s="45">
        <v>3192.0293999999999</v>
      </c>
      <c r="M55" s="45">
        <v>2518.7721000000001</v>
      </c>
      <c r="N55" s="45">
        <v>3598.2278999999999</v>
      </c>
      <c r="O55" s="44">
        <v>0</v>
      </c>
      <c r="P55" s="44">
        <v>0</v>
      </c>
      <c r="Q55" s="44">
        <v>31120</v>
      </c>
      <c r="R55" s="44">
        <v>24996</v>
      </c>
      <c r="S55" s="11">
        <f>(鋼床鈑!O55+鋼床鈑!W55+鋼床鈑!X55)*鋼床鈑!U55+(鋼床鈑!R55+鋼床鈑!W55+鋼床鈑!X55)*鋼床鈑!V55</f>
        <v>161056</v>
      </c>
      <c r="T55" s="11">
        <f>(鋼床鈑!T55)*鋼床鈑!W55+(鋼床鈑!T55)*鋼床鈑!X55</f>
        <v>462156</v>
      </c>
      <c r="U55" s="11">
        <f>4*((鋼床鈑!R55+鋼床鈑!W55/2+鋼床鈑!X55/2)*(鋼床鈑!T55+鋼床鈑!U55/2+鋼床鈑!V55/2))^2/((鋼床鈑!O55+鋼床鈑!W55/2+鋼床鈑!X55/2)/鋼床鈑!U55+(鋼床鈑!R55+鋼床鈑!W55/2+鋼床鈑!X55/2)/鋼床鈑!V55+(鋼床鈑!T55+鋼床鈑!U55/2+鋼床鈑!V55/2)/鋼床鈑!W55+(鋼床鈑!T55+鋼床鈑!U55/2+鋼床鈑!V55/2)/鋼床鈑!X55)</f>
        <v>2109907755208.2852</v>
      </c>
      <c r="V55" s="12">
        <f t="shared" si="2"/>
        <v>0.35158587620885628</v>
      </c>
      <c r="W55" s="12">
        <f t="shared" si="3"/>
        <v>0.34446979155779667</v>
      </c>
      <c r="X55" s="12">
        <f t="shared" si="4"/>
        <v>1.1621845747508162</v>
      </c>
      <c r="Y55" s="12">
        <f t="shared" si="5"/>
        <v>0.81353326228522671</v>
      </c>
      <c r="Z55" s="12">
        <f t="shared" si="0"/>
        <v>1.4960278009865473</v>
      </c>
      <c r="AA55" s="12">
        <f t="shared" si="1"/>
        <v>2.4161422687194736</v>
      </c>
      <c r="AB55" s="10">
        <f t="shared" si="6"/>
        <v>6.117</v>
      </c>
      <c r="AC55" s="10">
        <f t="shared" si="7"/>
        <v>6.45</v>
      </c>
      <c r="AD55" s="10">
        <f t="shared" si="8"/>
        <v>0.50144</v>
      </c>
      <c r="AE55" s="12">
        <f t="shared" si="9"/>
        <v>2.109907755208285</v>
      </c>
      <c r="AF55" s="12">
        <f t="shared" si="10"/>
        <v>0.46215600000000001</v>
      </c>
      <c r="AG55" s="12">
        <f t="shared" si="11"/>
        <v>0.161056</v>
      </c>
      <c r="AH55" s="10">
        <f t="shared" si="12"/>
        <v>1.1222724534834299</v>
      </c>
      <c r="AI55" s="10">
        <f t="shared" si="13"/>
        <v>2.9272780819327204</v>
      </c>
      <c r="AJ55" s="13">
        <f t="shared" si="14"/>
        <v>1.1222724534834299</v>
      </c>
      <c r="AK55" s="13">
        <f t="shared" si="15"/>
        <v>2.9272780819327204</v>
      </c>
    </row>
    <row r="56" spans="1:37">
      <c r="A56" s="8">
        <f>鋼床鈑!A56</f>
        <v>54</v>
      </c>
      <c r="B56" s="43" t="s">
        <v>41</v>
      </c>
      <c r="C56" s="43" t="s">
        <v>42</v>
      </c>
      <c r="D56" s="43" t="s">
        <v>133</v>
      </c>
      <c r="E56" s="44">
        <v>507800</v>
      </c>
      <c r="F56" s="45">
        <v>109499.58869999999</v>
      </c>
      <c r="G56" s="45">
        <v>225212.6428</v>
      </c>
      <c r="H56" s="45">
        <v>1339554760718.3301</v>
      </c>
      <c r="I56" s="45">
        <v>3106411440515.5</v>
      </c>
      <c r="J56" s="45">
        <v>1134928075501.1201</v>
      </c>
      <c r="K56" s="45">
        <v>3258.4969999999998</v>
      </c>
      <c r="L56" s="45">
        <v>3191.5030000000002</v>
      </c>
      <c r="M56" s="45">
        <v>2590.8227999999999</v>
      </c>
      <c r="N56" s="45">
        <v>3685.1772000000001</v>
      </c>
      <c r="O56" s="44">
        <v>0</v>
      </c>
      <c r="P56" s="44">
        <v>0</v>
      </c>
      <c r="Q56" s="44">
        <v>31438</v>
      </c>
      <c r="R56" s="44">
        <v>25314</v>
      </c>
      <c r="S56" s="11">
        <f>(鋼床鈑!O56+鋼床鈑!W56+鋼床鈑!X56)*鋼床鈑!U56+(鋼床鈑!R56+鋼床鈑!W56+鋼床鈑!X56)*鋼床鈑!V56</f>
        <v>161056</v>
      </c>
      <c r="T56" s="11">
        <f>(鋼床鈑!T56)*鋼床鈑!W56+(鋼床鈑!T56)*鋼床鈑!X56</f>
        <v>474240</v>
      </c>
      <c r="U56" s="11">
        <f>4*((鋼床鈑!R56+鋼床鈑!W56/2+鋼床鈑!X56/2)*(鋼床鈑!T56+鋼床鈑!U56/2+鋼床鈑!V56/2))^2/((鋼床鈑!O56+鋼床鈑!W56/2+鋼床鈑!X56/2)/鋼床鈑!U56+(鋼床鈑!R56+鋼床鈑!W56/2+鋼床鈑!X56/2)/鋼床鈑!V56+(鋼床鈑!T56+鋼床鈑!U56/2+鋼床鈑!V56/2)/鋼床鈑!W56+(鋼床鈑!T56+鋼床鈑!U56/2+鋼床鈑!V56/2)/鋼床鈑!X56)</f>
        <v>2189020544011.3831</v>
      </c>
      <c r="V56" s="12">
        <f t="shared" si="2"/>
        <v>0.35560927735337244</v>
      </c>
      <c r="W56" s="12">
        <f t="shared" si="3"/>
        <v>0.34829802682068461</v>
      </c>
      <c r="X56" s="12">
        <f t="shared" si="4"/>
        <v>1.1990057523484432</v>
      </c>
      <c r="Y56" s="12">
        <f t="shared" si="5"/>
        <v>0.84294764455709215</v>
      </c>
      <c r="Z56" s="12">
        <f t="shared" si="0"/>
        <v>1.4949883953685292</v>
      </c>
      <c r="AA56" s="12">
        <f t="shared" si="1"/>
        <v>2.4733361220222374</v>
      </c>
      <c r="AB56" s="10">
        <f t="shared" si="6"/>
        <v>6.2759999999999998</v>
      </c>
      <c r="AC56" s="10">
        <f t="shared" si="7"/>
        <v>6.45</v>
      </c>
      <c r="AD56" s="10">
        <f t="shared" si="8"/>
        <v>0.50780000000000003</v>
      </c>
      <c r="AE56" s="12">
        <f t="shared" si="9"/>
        <v>2.1890205440113832</v>
      </c>
      <c r="AF56" s="12">
        <f t="shared" si="10"/>
        <v>0.47423999999999999</v>
      </c>
      <c r="AG56" s="12">
        <f t="shared" si="11"/>
        <v>0.161056</v>
      </c>
      <c r="AH56" s="10">
        <f t="shared" si="12"/>
        <v>1.1349280755011202</v>
      </c>
      <c r="AI56" s="10">
        <f t="shared" si="13"/>
        <v>3.1064114405155001</v>
      </c>
      <c r="AJ56" s="13">
        <f t="shared" si="14"/>
        <v>1.1349280755011202</v>
      </c>
      <c r="AK56" s="13">
        <f t="shared" si="15"/>
        <v>3.1064114405155001</v>
      </c>
    </row>
    <row r="57" spans="1:37">
      <c r="A57" s="8">
        <f>鋼床鈑!A57</f>
        <v>55</v>
      </c>
      <c r="B57" s="43" t="s">
        <v>41</v>
      </c>
      <c r="C57" s="43" t="s">
        <v>42</v>
      </c>
      <c r="D57" s="43" t="s">
        <v>134</v>
      </c>
      <c r="E57" s="44">
        <v>513120</v>
      </c>
      <c r="F57" s="45">
        <v>108738.2064</v>
      </c>
      <c r="G57" s="45">
        <v>230467.65909999999</v>
      </c>
      <c r="H57" s="45">
        <v>1377390094258.1001</v>
      </c>
      <c r="I57" s="45">
        <v>3261137113999.2002</v>
      </c>
      <c r="J57" s="45">
        <v>1145514013500.3601</v>
      </c>
      <c r="K57" s="45">
        <v>3258.9272999999998</v>
      </c>
      <c r="L57" s="45">
        <v>3191.0727000000002</v>
      </c>
      <c r="M57" s="45">
        <v>2651.2334000000001</v>
      </c>
      <c r="N57" s="45">
        <v>3757.7665999999999</v>
      </c>
      <c r="O57" s="44">
        <v>0</v>
      </c>
      <c r="P57" s="44">
        <v>0</v>
      </c>
      <c r="Q57" s="44">
        <v>31704</v>
      </c>
      <c r="R57" s="44">
        <v>25580</v>
      </c>
      <c r="S57" s="11">
        <f>(鋼床鈑!O57+鋼床鈑!W57+鋼床鈑!X57)*鋼床鈑!U57+(鋼床鈑!R57+鋼床鈑!W57+鋼床鈑!X57)*鋼床鈑!V57</f>
        <v>161056</v>
      </c>
      <c r="T57" s="11">
        <f>(鋼床鈑!T57)*鋼床鈑!W57+(鋼床鈑!T57)*鋼床鈑!X57</f>
        <v>484348</v>
      </c>
      <c r="U57" s="11">
        <f>4*((鋼床鈑!R57+鋼床鈑!W57/2+鋼床鈑!X57/2)*(鋼床鈑!T57+鋼床鈑!U57/2+鋼床鈑!V57/2))^2/((鋼床鈑!O57+鋼床鈑!W57/2+鋼床鈑!X57/2)/鋼床鈑!U57+(鋼床鈑!R57+鋼床鈑!W57/2+鋼床鈑!X57/2)/鋼床鈑!V57+(鋼床鈑!T57+鋼床鈑!U57/2+鋼床鈑!V57/2)/鋼床鈑!W57+(鋼床鈑!T57+鋼床鈑!U57/2+鋼床鈑!V57/2)/鋼床鈑!X57)</f>
        <v>2255596767109.5874</v>
      </c>
      <c r="V57" s="12">
        <f t="shared" si="2"/>
        <v>0.35897458979870939</v>
      </c>
      <c r="W57" s="12">
        <f t="shared" si="3"/>
        <v>0.3515003275772246</v>
      </c>
      <c r="X57" s="12">
        <f t="shared" si="4"/>
        <v>1.2300452740219703</v>
      </c>
      <c r="Y57" s="12">
        <f t="shared" si="5"/>
        <v>0.86783918777690983</v>
      </c>
      <c r="Z57" s="12">
        <f t="shared" si="0"/>
        <v>1.4941380713833341</v>
      </c>
      <c r="AA57" s="12">
        <f t="shared" si="1"/>
        <v>2.5210128434691459</v>
      </c>
      <c r="AB57" s="10">
        <f t="shared" si="6"/>
        <v>6.4089999999999998</v>
      </c>
      <c r="AC57" s="10">
        <f t="shared" si="7"/>
        <v>6.45</v>
      </c>
      <c r="AD57" s="10">
        <f t="shared" si="8"/>
        <v>0.51312000000000002</v>
      </c>
      <c r="AE57" s="12">
        <f t="shared" si="9"/>
        <v>2.2555967671095876</v>
      </c>
      <c r="AF57" s="12">
        <f t="shared" si="10"/>
        <v>0.484348</v>
      </c>
      <c r="AG57" s="12">
        <f t="shared" si="11"/>
        <v>0.161056</v>
      </c>
      <c r="AH57" s="10">
        <f t="shared" si="12"/>
        <v>1.1455140135003601</v>
      </c>
      <c r="AI57" s="10">
        <f t="shared" si="13"/>
        <v>3.2611371139992</v>
      </c>
      <c r="AJ57" s="13">
        <f t="shared" si="14"/>
        <v>1.1455140135003601</v>
      </c>
      <c r="AK57" s="13">
        <f t="shared" si="15"/>
        <v>3.2611371139992</v>
      </c>
    </row>
    <row r="58" spans="1:37">
      <c r="A58" s="8">
        <f>鋼床鈑!A58</f>
        <v>56</v>
      </c>
      <c r="B58" s="43" t="s">
        <v>41</v>
      </c>
      <c r="C58" s="43" t="s">
        <v>42</v>
      </c>
      <c r="D58" s="43" t="s">
        <v>135</v>
      </c>
      <c r="E58" s="44">
        <v>518200</v>
      </c>
      <c r="F58" s="45">
        <v>107886.01880000001</v>
      </c>
      <c r="G58" s="45">
        <v>235311.23920000001</v>
      </c>
      <c r="H58" s="45">
        <v>1411847607546.3701</v>
      </c>
      <c r="I58" s="45">
        <v>3413083023280</v>
      </c>
      <c r="J58" s="45">
        <v>1155622216594.2</v>
      </c>
      <c r="K58" s="45">
        <v>3259.33</v>
      </c>
      <c r="L58" s="45">
        <v>3190.67</v>
      </c>
      <c r="M58" s="45">
        <v>2709.0355</v>
      </c>
      <c r="N58" s="45">
        <v>3826.9645</v>
      </c>
      <c r="O58" s="44">
        <v>0</v>
      </c>
      <c r="P58" s="44">
        <v>0</v>
      </c>
      <c r="Q58" s="44">
        <v>31958</v>
      </c>
      <c r="R58" s="44">
        <v>25834</v>
      </c>
      <c r="S58" s="11">
        <f>(鋼床鈑!O58+鋼床鈑!W58+鋼床鈑!X58)*鋼床鈑!U58+(鋼床鈑!R58+鋼床鈑!W58+鋼床鈑!X58)*鋼床鈑!V58</f>
        <v>161056</v>
      </c>
      <c r="T58" s="11">
        <f>(鋼床鈑!T58)*鋼床鈑!W58+(鋼床鈑!T58)*鋼床鈑!X58</f>
        <v>494000</v>
      </c>
      <c r="U58" s="11">
        <f>4*((鋼床鈑!R58+鋼床鈑!W58/2+鋼床鈑!X58/2)*(鋼床鈑!T58+鋼床鈑!U58/2+鋼床鈑!V58/2))^2/((鋼床鈑!O58+鋼床鈑!W58/2+鋼床鈑!X58/2)/鋼床鈑!U58+(鋼床鈑!R58+鋼床鈑!W58/2+鋼床鈑!X58/2)/鋼床鈑!V58+(鋼床鈑!T58+鋼床鈑!U58/2+鋼床鈑!V58/2)/鋼床鈑!W58+(鋼床鈑!T58+鋼床鈑!U58/2+鋼床鈑!V58/2)/鋼床鈑!X58)</f>
        <v>2319497072923.9492</v>
      </c>
      <c r="V58" s="12">
        <f t="shared" si="2"/>
        <v>0.36218794691842154</v>
      </c>
      <c r="W58" s="12">
        <f t="shared" si="3"/>
        <v>0.35455821183930442</v>
      </c>
      <c r="X58" s="12">
        <f t="shared" si="4"/>
        <v>1.2598886294697873</v>
      </c>
      <c r="Y58" s="12">
        <f t="shared" si="5"/>
        <v>0.89185123699997748</v>
      </c>
      <c r="Z58" s="12">
        <f t="shared" si="0"/>
        <v>1.493341852765389</v>
      </c>
      <c r="AA58" s="12">
        <f t="shared" si="1"/>
        <v>2.5664022182749937</v>
      </c>
      <c r="AB58" s="10">
        <f t="shared" si="6"/>
        <v>6.5359999999999996</v>
      </c>
      <c r="AC58" s="10">
        <f t="shared" si="7"/>
        <v>6.45</v>
      </c>
      <c r="AD58" s="10">
        <f t="shared" si="8"/>
        <v>0.51819999999999999</v>
      </c>
      <c r="AE58" s="12">
        <f t="shared" si="9"/>
        <v>2.3194970729239492</v>
      </c>
      <c r="AF58" s="12">
        <f t="shared" si="10"/>
        <v>0.49399999999999999</v>
      </c>
      <c r="AG58" s="12">
        <f t="shared" si="11"/>
        <v>0.161056</v>
      </c>
      <c r="AH58" s="10">
        <f t="shared" si="12"/>
        <v>1.1556222165942001</v>
      </c>
      <c r="AI58" s="10">
        <f t="shared" si="13"/>
        <v>3.41308302328</v>
      </c>
      <c r="AJ58" s="13">
        <f t="shared" si="14"/>
        <v>1.1556222165942001</v>
      </c>
      <c r="AK58" s="13">
        <f t="shared" si="15"/>
        <v>3.41308302328</v>
      </c>
    </row>
    <row r="59" spans="1:37">
      <c r="A59" s="8">
        <f>鋼床鈑!A59</f>
        <v>57</v>
      </c>
      <c r="B59" s="43" t="s">
        <v>41</v>
      </c>
      <c r="C59" s="43" t="s">
        <v>42</v>
      </c>
      <c r="D59" s="43" t="s">
        <v>136</v>
      </c>
      <c r="E59" s="44">
        <v>518200</v>
      </c>
      <c r="F59" s="45">
        <v>107886.01880000001</v>
      </c>
      <c r="G59" s="45">
        <v>235311.23920000001</v>
      </c>
      <c r="H59" s="45">
        <v>1411847607546.3701</v>
      </c>
      <c r="I59" s="45">
        <v>3413083023280</v>
      </c>
      <c r="J59" s="45">
        <v>1155622216594.2</v>
      </c>
      <c r="K59" s="45">
        <v>3259.33</v>
      </c>
      <c r="L59" s="45">
        <v>3190.67</v>
      </c>
      <c r="M59" s="45">
        <v>2709.0355</v>
      </c>
      <c r="N59" s="45">
        <v>3826.9645</v>
      </c>
      <c r="O59" s="44">
        <v>0</v>
      </c>
      <c r="P59" s="44">
        <v>0</v>
      </c>
      <c r="Q59" s="44">
        <v>31958</v>
      </c>
      <c r="R59" s="44">
        <v>25834</v>
      </c>
      <c r="S59" s="11">
        <f>(鋼床鈑!O59+鋼床鈑!W59+鋼床鈑!X59)*鋼床鈑!U59+(鋼床鈑!R59+鋼床鈑!W59+鋼床鈑!X59)*鋼床鈑!V59</f>
        <v>161056</v>
      </c>
      <c r="T59" s="11">
        <f>(鋼床鈑!T59)*鋼床鈑!W59+(鋼床鈑!T59)*鋼床鈑!X59</f>
        <v>494000</v>
      </c>
      <c r="U59" s="11">
        <f>4*((鋼床鈑!R59+鋼床鈑!W59/2+鋼床鈑!X59/2)*(鋼床鈑!T59+鋼床鈑!U59/2+鋼床鈑!V59/2))^2/((鋼床鈑!O59+鋼床鈑!W59/2+鋼床鈑!X59/2)/鋼床鈑!U59+(鋼床鈑!R59+鋼床鈑!W59/2+鋼床鈑!X59/2)/鋼床鈑!V59+(鋼床鈑!T59+鋼床鈑!U59/2+鋼床鈑!V59/2)/鋼床鈑!W59+(鋼床鈑!T59+鋼床鈑!U59/2+鋼床鈑!V59/2)/鋼床鈑!X59)</f>
        <v>2319497072923.9492</v>
      </c>
      <c r="V59" s="12">
        <f t="shared" si="2"/>
        <v>0.36218794691842154</v>
      </c>
      <c r="W59" s="12">
        <f t="shared" si="3"/>
        <v>0.35455821183930442</v>
      </c>
      <c r="X59" s="12">
        <f t="shared" si="4"/>
        <v>1.2598886294697873</v>
      </c>
      <c r="Y59" s="12">
        <f t="shared" si="5"/>
        <v>0.89185123699997748</v>
      </c>
      <c r="Z59" s="12">
        <f t="shared" si="0"/>
        <v>1.493341852765389</v>
      </c>
      <c r="AA59" s="12">
        <f t="shared" si="1"/>
        <v>2.5664022182749937</v>
      </c>
      <c r="AB59" s="10">
        <f t="shared" si="6"/>
        <v>6.5359999999999996</v>
      </c>
      <c r="AC59" s="10">
        <f t="shared" si="7"/>
        <v>6.45</v>
      </c>
      <c r="AD59" s="10">
        <f t="shared" si="8"/>
        <v>0.51819999999999999</v>
      </c>
      <c r="AE59" s="12">
        <f t="shared" si="9"/>
        <v>2.3194970729239492</v>
      </c>
      <c r="AF59" s="12">
        <f t="shared" si="10"/>
        <v>0.49399999999999999</v>
      </c>
      <c r="AG59" s="12">
        <f t="shared" si="11"/>
        <v>0.161056</v>
      </c>
      <c r="AH59" s="10">
        <f t="shared" si="12"/>
        <v>1.1556222165942001</v>
      </c>
      <c r="AI59" s="10">
        <f t="shared" si="13"/>
        <v>3.41308302328</v>
      </c>
      <c r="AJ59" s="13">
        <f t="shared" si="14"/>
        <v>1.1556222165942001</v>
      </c>
      <c r="AK59" s="13">
        <f t="shared" si="15"/>
        <v>3.41308302328</v>
      </c>
    </row>
    <row r="60" spans="1:37">
      <c r="A60" s="8">
        <f>鋼床鈑!A60</f>
        <v>58</v>
      </c>
      <c r="B60" s="43" t="s">
        <v>41</v>
      </c>
      <c r="C60" s="43" t="s">
        <v>42</v>
      </c>
      <c r="D60" s="43" t="s">
        <v>137</v>
      </c>
      <c r="E60" s="44">
        <v>518200</v>
      </c>
      <c r="F60" s="45">
        <v>107886.01880000001</v>
      </c>
      <c r="G60" s="45">
        <v>235311.23920000001</v>
      </c>
      <c r="H60" s="45">
        <v>1411847607546.3701</v>
      </c>
      <c r="I60" s="45">
        <v>3413083023280</v>
      </c>
      <c r="J60" s="45">
        <v>1155622216594.2</v>
      </c>
      <c r="K60" s="45">
        <v>3259.33</v>
      </c>
      <c r="L60" s="45">
        <v>3190.67</v>
      </c>
      <c r="M60" s="45">
        <v>2709.0355</v>
      </c>
      <c r="N60" s="45">
        <v>3826.9645</v>
      </c>
      <c r="O60" s="44">
        <v>0</v>
      </c>
      <c r="P60" s="44">
        <v>0</v>
      </c>
      <c r="Q60" s="44">
        <v>31958</v>
      </c>
      <c r="R60" s="44">
        <v>25834</v>
      </c>
      <c r="S60" s="11">
        <f>(鋼床鈑!O60+鋼床鈑!W60+鋼床鈑!X60)*鋼床鈑!U60+(鋼床鈑!R60+鋼床鈑!W60+鋼床鈑!X60)*鋼床鈑!V60</f>
        <v>161056</v>
      </c>
      <c r="T60" s="11">
        <f>(鋼床鈑!T60)*鋼床鈑!W60+(鋼床鈑!T60)*鋼床鈑!X60</f>
        <v>494000</v>
      </c>
      <c r="U60" s="11">
        <f>4*((鋼床鈑!R60+鋼床鈑!W60/2+鋼床鈑!X60/2)*(鋼床鈑!T60+鋼床鈑!U60/2+鋼床鈑!V60/2))^2/((鋼床鈑!O60+鋼床鈑!W60/2+鋼床鈑!X60/2)/鋼床鈑!U60+(鋼床鈑!R60+鋼床鈑!W60/2+鋼床鈑!X60/2)/鋼床鈑!V60+(鋼床鈑!T60+鋼床鈑!U60/2+鋼床鈑!V60/2)/鋼床鈑!W60+(鋼床鈑!T60+鋼床鈑!U60/2+鋼床鈑!V60/2)/鋼床鈑!X60)</f>
        <v>2319497072923.9492</v>
      </c>
      <c r="V60" s="12">
        <f t="shared" si="2"/>
        <v>0.36218794691842154</v>
      </c>
      <c r="W60" s="12">
        <f t="shared" si="3"/>
        <v>0.35455821183930442</v>
      </c>
      <c r="X60" s="12">
        <f t="shared" si="4"/>
        <v>1.2598886294697873</v>
      </c>
      <c r="Y60" s="12">
        <f t="shared" si="5"/>
        <v>0.89185123699997748</v>
      </c>
      <c r="Z60" s="12">
        <f t="shared" si="0"/>
        <v>1.493341852765389</v>
      </c>
      <c r="AA60" s="12">
        <f t="shared" si="1"/>
        <v>2.5664022182749937</v>
      </c>
      <c r="AB60" s="10">
        <f t="shared" si="6"/>
        <v>6.5359999999999996</v>
      </c>
      <c r="AC60" s="10">
        <f t="shared" si="7"/>
        <v>6.45</v>
      </c>
      <c r="AD60" s="10">
        <f t="shared" si="8"/>
        <v>0.51819999999999999</v>
      </c>
      <c r="AE60" s="12">
        <f t="shared" si="9"/>
        <v>2.3194970729239492</v>
      </c>
      <c r="AF60" s="12">
        <f t="shared" si="10"/>
        <v>0.49399999999999999</v>
      </c>
      <c r="AG60" s="12">
        <f t="shared" si="11"/>
        <v>0.161056</v>
      </c>
      <c r="AH60" s="10">
        <f t="shared" si="12"/>
        <v>1.1556222165942001</v>
      </c>
      <c r="AI60" s="10">
        <f t="shared" si="13"/>
        <v>3.41308302328</v>
      </c>
      <c r="AJ60" s="13">
        <f t="shared" si="14"/>
        <v>1.1556222165942001</v>
      </c>
      <c r="AK60" s="13">
        <f t="shared" si="15"/>
        <v>3.41308302328</v>
      </c>
    </row>
    <row r="61" spans="1:37">
      <c r="A61" s="8">
        <f>鋼床鈑!A61</f>
        <v>59</v>
      </c>
      <c r="B61" s="43" t="s">
        <v>41</v>
      </c>
      <c r="C61" s="43" t="s">
        <v>42</v>
      </c>
      <c r="D61" s="43" t="s">
        <v>138</v>
      </c>
      <c r="E61" s="44">
        <v>512520</v>
      </c>
      <c r="F61" s="45">
        <v>108823.49430000001</v>
      </c>
      <c r="G61" s="45">
        <v>229875.04120000001</v>
      </c>
      <c r="H61" s="45">
        <v>1373113299617.95</v>
      </c>
      <c r="I61" s="45">
        <v>3243462553968.5</v>
      </c>
      <c r="J61" s="45">
        <v>1144320120137.7</v>
      </c>
      <c r="K61" s="45">
        <v>3258.8793000000001</v>
      </c>
      <c r="L61" s="45">
        <v>3191.1206999999999</v>
      </c>
      <c r="M61" s="45">
        <v>2644.4139</v>
      </c>
      <c r="N61" s="45">
        <v>3749.5861</v>
      </c>
      <c r="O61" s="44">
        <v>0</v>
      </c>
      <c r="P61" s="44">
        <v>0</v>
      </c>
      <c r="Q61" s="44">
        <v>31674</v>
      </c>
      <c r="R61" s="44">
        <v>25550</v>
      </c>
      <c r="S61" s="11">
        <f>(鋼床鈑!O61+鋼床鈑!W61+鋼床鈑!X61)*鋼床鈑!U61+(鋼床鈑!R61+鋼床鈑!W61+鋼床鈑!X61)*鋼床鈑!V61</f>
        <v>161056</v>
      </c>
      <c r="T61" s="11">
        <f>(鋼床鈑!T61)*鋼床鈑!W61+(鋼床鈑!T61)*鋼床鈑!X61</f>
        <v>483208</v>
      </c>
      <c r="U61" s="11">
        <f>4*((鋼床鈑!R61+鋼床鈑!W61/2+鋼床鈑!X61/2)*(鋼床鈑!T61+鋼床鈑!U61/2+鋼床鈑!V61/2))^2/((鋼床鈑!O61+鋼床鈑!W61/2+鋼床鈑!X61/2)/鋼床鈑!U61+(鋼床鈑!R61+鋼床鈑!W61/2+鋼床鈑!X61/2)/鋼床鈑!V61+(鋼床鈑!T61+鋼床鈑!U61/2+鋼床鈑!V61/2)/鋼床鈑!W61+(鋼床鈑!T61+鋼床鈑!U61/2+鋼床鈑!V61/2)/鋼床鈑!X61)</f>
        <v>2248070389594.3486</v>
      </c>
      <c r="V61" s="12">
        <f t="shared" si="2"/>
        <v>0.35859506039295225</v>
      </c>
      <c r="W61" s="12">
        <f t="shared" si="3"/>
        <v>0.3511391539225463</v>
      </c>
      <c r="X61" s="12">
        <f t="shared" si="4"/>
        <v>1.2265336201600288</v>
      </c>
      <c r="Y61" s="12">
        <f t="shared" si="5"/>
        <v>0.86501882273579478</v>
      </c>
      <c r="Z61" s="12">
        <f t="shared" si="0"/>
        <v>1.4942331195570677</v>
      </c>
      <c r="AA61" s="12">
        <f t="shared" si="1"/>
        <v>2.5156431499851091</v>
      </c>
      <c r="AB61" s="10">
        <f t="shared" si="6"/>
        <v>6.3940000000000001</v>
      </c>
      <c r="AC61" s="10">
        <f t="shared" si="7"/>
        <v>6.45</v>
      </c>
      <c r="AD61" s="10">
        <f t="shared" si="8"/>
        <v>0.51251999999999998</v>
      </c>
      <c r="AE61" s="12">
        <f t="shared" si="9"/>
        <v>2.2480703895943486</v>
      </c>
      <c r="AF61" s="12">
        <f t="shared" si="10"/>
        <v>0.48320800000000003</v>
      </c>
      <c r="AG61" s="12">
        <f t="shared" si="11"/>
        <v>0.161056</v>
      </c>
      <c r="AH61" s="10">
        <f t="shared" si="12"/>
        <v>1.1443201201377</v>
      </c>
      <c r="AI61" s="10">
        <f t="shared" si="13"/>
        <v>3.2434625539685</v>
      </c>
      <c r="AJ61" s="13">
        <f t="shared" si="14"/>
        <v>1.1443201201377</v>
      </c>
      <c r="AK61" s="13">
        <f t="shared" si="15"/>
        <v>3.2434625539685</v>
      </c>
    </row>
    <row r="62" spans="1:37">
      <c r="A62" s="8">
        <f>鋼床鈑!A62</f>
        <v>60</v>
      </c>
      <c r="B62" s="43" t="s">
        <v>41</v>
      </c>
      <c r="C62" s="43" t="s">
        <v>42</v>
      </c>
      <c r="D62" s="43" t="s">
        <v>139</v>
      </c>
      <c r="E62" s="44">
        <v>506760</v>
      </c>
      <c r="F62" s="45">
        <v>109646.79029999999</v>
      </c>
      <c r="G62" s="45">
        <v>224184.1594</v>
      </c>
      <c r="H62" s="45">
        <v>1332163957227.52</v>
      </c>
      <c r="I62" s="45">
        <v>3076686146439.8501</v>
      </c>
      <c r="J62" s="45">
        <v>1132858621763.0701</v>
      </c>
      <c r="K62" s="45">
        <v>3258.4119000000001</v>
      </c>
      <c r="L62" s="45">
        <v>3191.5880999999999</v>
      </c>
      <c r="M62" s="45">
        <v>2579.0281</v>
      </c>
      <c r="N62" s="45">
        <v>3670.9719</v>
      </c>
      <c r="O62" s="44">
        <v>0</v>
      </c>
      <c r="P62" s="44">
        <v>0</v>
      </c>
      <c r="Q62" s="44">
        <v>31386</v>
      </c>
      <c r="R62" s="44">
        <v>25262</v>
      </c>
      <c r="S62" s="11">
        <f>(鋼床鈑!O62+鋼床鈑!W62+鋼床鈑!X62)*鋼床鈑!U62+(鋼床鈑!R62+鋼床鈑!W62+鋼床鈑!X62)*鋼床鈑!V62</f>
        <v>161056</v>
      </c>
      <c r="T62" s="11">
        <f>(鋼床鈑!T62)*鋼床鈑!W62+(鋼床鈑!T62)*鋼床鈑!X62</f>
        <v>472264</v>
      </c>
      <c r="U62" s="11">
        <f>4*((鋼床鈑!R62+鋼床鈑!W62/2+鋼床鈑!X62/2)*(鋼床鈑!T62+鋼床鈑!U62/2+鋼床鈑!V62/2))^2/((鋼床鈑!O62+鋼床鈑!W62/2+鋼床鈑!X62/2)/鋼床鈑!U62+(鋼床鈑!R62+鋼床鈑!W62/2+鋼床鈑!X62/2)/鋼床鈑!V62+(鋼床鈑!T62+鋼床鈑!U62/2+鋼床鈑!V62/2)/鋼床鈑!W62+(鋼床鈑!T62+鋼床鈑!U62/2+鋼床鈑!V62/2)/鋼床鈑!X62)</f>
        <v>2176047717891.6228</v>
      </c>
      <c r="V62" s="12">
        <f t="shared" si="2"/>
        <v>0.35495138666642789</v>
      </c>
      <c r="W62" s="12">
        <f t="shared" si="3"/>
        <v>0.3476720121734978</v>
      </c>
      <c r="X62" s="12">
        <f t="shared" si="4"/>
        <v>1.1929634060365026</v>
      </c>
      <c r="Y62" s="12">
        <f t="shared" si="5"/>
        <v>0.83811214856748151</v>
      </c>
      <c r="Z62" s="12">
        <f t="shared" si="0"/>
        <v>1.4951566383230679</v>
      </c>
      <c r="AA62" s="12">
        <f t="shared" si="1"/>
        <v>2.4639984725499349</v>
      </c>
      <c r="AB62" s="10">
        <f t="shared" si="6"/>
        <v>6.25</v>
      </c>
      <c r="AC62" s="10">
        <f t="shared" si="7"/>
        <v>6.45</v>
      </c>
      <c r="AD62" s="10">
        <f t="shared" si="8"/>
        <v>0.50675999999999999</v>
      </c>
      <c r="AE62" s="12">
        <f t="shared" si="9"/>
        <v>2.1760477178916227</v>
      </c>
      <c r="AF62" s="12">
        <f t="shared" si="10"/>
        <v>0.47226400000000002</v>
      </c>
      <c r="AG62" s="12">
        <f t="shared" si="11"/>
        <v>0.161056</v>
      </c>
      <c r="AH62" s="10">
        <f t="shared" si="12"/>
        <v>1.1328586217630701</v>
      </c>
      <c r="AI62" s="10">
        <f t="shared" si="13"/>
        <v>3.0766861464398501</v>
      </c>
      <c r="AJ62" s="13">
        <f t="shared" si="14"/>
        <v>1.1328586217630701</v>
      </c>
      <c r="AK62" s="13">
        <f t="shared" si="15"/>
        <v>3.0766861464398501</v>
      </c>
    </row>
    <row r="63" spans="1:37">
      <c r="A63" s="8">
        <f>鋼床鈑!A63</f>
        <v>61</v>
      </c>
      <c r="B63" s="43" t="s">
        <v>41</v>
      </c>
      <c r="C63" s="43" t="s">
        <v>42</v>
      </c>
      <c r="D63" s="43" t="s">
        <v>140</v>
      </c>
      <c r="E63" s="44">
        <v>501600</v>
      </c>
      <c r="F63" s="45">
        <v>110383.7295</v>
      </c>
      <c r="G63" s="45">
        <v>219081.52059999999</v>
      </c>
      <c r="H63" s="45">
        <v>1295614471427.8301</v>
      </c>
      <c r="I63" s="45">
        <v>2931707212299.5</v>
      </c>
      <c r="J63" s="45">
        <v>1122590837361.3</v>
      </c>
      <c r="K63" s="45">
        <v>3257.9841000000001</v>
      </c>
      <c r="L63" s="45">
        <v>3192.0158999999999</v>
      </c>
      <c r="M63" s="45">
        <v>2520.5823</v>
      </c>
      <c r="N63" s="45">
        <v>3600.4177</v>
      </c>
      <c r="O63" s="44">
        <v>0</v>
      </c>
      <c r="P63" s="44">
        <v>0</v>
      </c>
      <c r="Q63" s="44">
        <v>31128</v>
      </c>
      <c r="R63" s="44">
        <v>25004</v>
      </c>
      <c r="S63" s="11">
        <f>(鋼床鈑!O63+鋼床鈑!W63+鋼床鈑!X63)*鋼床鈑!U63+(鋼床鈑!R63+鋼床鈑!W63+鋼床鈑!X63)*鋼床鈑!V63</f>
        <v>160720</v>
      </c>
      <c r="T63" s="11">
        <f>(鋼床鈑!T63)*鋼床鈑!W63+(鋼床鈑!T63)*鋼床鈑!X63</f>
        <v>425950</v>
      </c>
      <c r="U63" s="11">
        <f>4*((鋼床鈑!R63+鋼床鈑!W63/2+鋼床鈑!X63/2)*(鋼床鈑!T63+鋼床鈑!U63/2+鋼床鈑!V63/2))^2/((鋼床鈑!O63+鋼床鈑!W63/2+鋼床鈑!X63/2)/鋼床鈑!U63+(鋼床鈑!R63+鋼床鈑!W63/2+鋼床鈑!X63/2)/鋼床鈑!V63+(鋼床鈑!T63+鋼床鈑!U63/2+鋼床鈑!V63/2)/鋼床鈑!W63+(鋼床鈑!T63+鋼床鈑!U63/2+鋼床鈑!V63/2)/鋼床鈑!X63)</f>
        <v>2011067129546.4277</v>
      </c>
      <c r="V63" s="12">
        <f t="shared" si="2"/>
        <v>0.35168710699758737</v>
      </c>
      <c r="W63" s="12">
        <f t="shared" si="3"/>
        <v>0.34456608838615876</v>
      </c>
      <c r="X63" s="12">
        <f t="shared" si="4"/>
        <v>1.1631071170735032</v>
      </c>
      <c r="Y63" s="12">
        <f t="shared" si="5"/>
        <v>0.81426863674720296</v>
      </c>
      <c r="Z63" s="12">
        <f t="shared" si="0"/>
        <v>1.4960013404701205</v>
      </c>
      <c r="AA63" s="12">
        <f t="shared" si="1"/>
        <v>2.4175837830951155</v>
      </c>
      <c r="AB63" s="10">
        <f t="shared" si="6"/>
        <v>6.1210000000000004</v>
      </c>
      <c r="AC63" s="10">
        <f t="shared" si="7"/>
        <v>6.45</v>
      </c>
      <c r="AD63" s="10">
        <f t="shared" si="8"/>
        <v>0.50160000000000005</v>
      </c>
      <c r="AE63" s="12">
        <f t="shared" si="9"/>
        <v>2.0110671295464275</v>
      </c>
      <c r="AF63" s="12">
        <f t="shared" si="10"/>
        <v>0.42595</v>
      </c>
      <c r="AG63" s="12">
        <f t="shared" si="11"/>
        <v>0.16072</v>
      </c>
      <c r="AH63" s="10">
        <f t="shared" si="12"/>
        <v>1.1225908373613001</v>
      </c>
      <c r="AI63" s="10">
        <f t="shared" si="13"/>
        <v>2.9317072122995</v>
      </c>
      <c r="AJ63" s="13">
        <f t="shared" si="14"/>
        <v>1.1225908373613001</v>
      </c>
      <c r="AK63" s="13">
        <f t="shared" si="15"/>
        <v>2.9317072122995</v>
      </c>
    </row>
    <row r="64" spans="1:37">
      <c r="A64" s="8">
        <f>鋼床鈑!A64</f>
        <v>62</v>
      </c>
      <c r="B64" s="43" t="s">
        <v>41</v>
      </c>
      <c r="C64" s="43" t="s">
        <v>42</v>
      </c>
      <c r="D64" s="43" t="s">
        <v>141</v>
      </c>
      <c r="E64" s="44">
        <v>496600</v>
      </c>
      <c r="F64" s="45">
        <v>111089.32249999999</v>
      </c>
      <c r="G64" s="45">
        <v>214131.56940000001</v>
      </c>
      <c r="H64" s="45">
        <v>1260292149269.3201</v>
      </c>
      <c r="I64" s="45">
        <v>2795169826178.04</v>
      </c>
      <c r="J64" s="45">
        <v>1112641255123.47</v>
      </c>
      <c r="K64" s="45">
        <v>3257.5610000000001</v>
      </c>
      <c r="L64" s="45">
        <v>3192.4389999999999</v>
      </c>
      <c r="M64" s="45">
        <v>2464.0689000000002</v>
      </c>
      <c r="N64" s="45">
        <v>3531.9310999999998</v>
      </c>
      <c r="O64" s="44">
        <v>0</v>
      </c>
      <c r="P64" s="44">
        <v>0</v>
      </c>
      <c r="Q64" s="44">
        <v>30878</v>
      </c>
      <c r="R64" s="44">
        <v>24754</v>
      </c>
      <c r="S64" s="11">
        <f>(鋼床鈑!O64+鋼床鈑!W64+鋼床鈑!X64)*鋼床鈑!U64+(鋼床鈑!R64+鋼床鈑!W64+鋼床鈑!X64)*鋼床鈑!V64</f>
        <v>160720</v>
      </c>
      <c r="T64" s="11">
        <f>(鋼床鈑!T64)*鋼床鈑!W64+(鋼床鈑!T64)*鋼床鈑!X64</f>
        <v>417200</v>
      </c>
      <c r="U64" s="11">
        <f>4*((鋼床鈑!R64+鋼床鈑!W64/2+鋼床鈑!X64/2)*(鋼床鈑!T64+鋼床鈑!U64/2+鋼床鈑!V64/2))^2/((鋼床鈑!O64+鋼床鈑!W64/2+鋼床鈑!X64/2)/鋼床鈑!U64+(鋼床鈑!R64+鋼床鈑!W64/2+鋼床鈑!X64/2)/鋼床鈑!V64+(鋼床鈑!T64+鋼床鈑!U64/2+鋼床鈑!V64/2)/鋼床鈑!W64+(鋼床鈑!T64+鋼床鈑!U64/2+鋼床鈑!V64/2)/鋼床鈑!X64)</f>
        <v>1953014782853.3359</v>
      </c>
      <c r="V64" s="12">
        <f t="shared" si="2"/>
        <v>0.34852388882715379</v>
      </c>
      <c r="W64" s="12">
        <f t="shared" si="3"/>
        <v>0.34155653727542473</v>
      </c>
      <c r="X64" s="12">
        <f t="shared" si="4"/>
        <v>1.1343716184957491</v>
      </c>
      <c r="Y64" s="12">
        <f t="shared" si="5"/>
        <v>0.79139987362098885</v>
      </c>
      <c r="Z64" s="12">
        <f t="shared" si="0"/>
        <v>1.4968360073403029</v>
      </c>
      <c r="AA64" s="12">
        <f t="shared" si="1"/>
        <v>2.3724700691713809</v>
      </c>
      <c r="AB64" s="10">
        <f t="shared" si="6"/>
        <v>5.9960000000000004</v>
      </c>
      <c r="AC64" s="10">
        <f t="shared" si="7"/>
        <v>6.45</v>
      </c>
      <c r="AD64" s="10">
        <f t="shared" si="8"/>
        <v>0.49659999999999999</v>
      </c>
      <c r="AE64" s="12">
        <f t="shared" si="9"/>
        <v>1.953014782853336</v>
      </c>
      <c r="AF64" s="12">
        <f t="shared" si="10"/>
        <v>0.41720000000000002</v>
      </c>
      <c r="AG64" s="12">
        <f t="shared" si="11"/>
        <v>0.16072</v>
      </c>
      <c r="AH64" s="10">
        <f t="shared" si="12"/>
        <v>1.1126412551234699</v>
      </c>
      <c r="AI64" s="10">
        <f t="shared" si="13"/>
        <v>2.7951698261780402</v>
      </c>
      <c r="AJ64" s="13">
        <f t="shared" si="14"/>
        <v>1.1126412551234699</v>
      </c>
      <c r="AK64" s="13">
        <f t="shared" si="15"/>
        <v>2.7951698261780402</v>
      </c>
    </row>
    <row r="65" spans="1:37">
      <c r="A65" s="8">
        <f>鋼床鈑!A65</f>
        <v>63</v>
      </c>
      <c r="B65" s="43" t="s">
        <v>41</v>
      </c>
      <c r="C65" s="43" t="s">
        <v>42</v>
      </c>
      <c r="D65" s="43" t="s">
        <v>142</v>
      </c>
      <c r="E65" s="44">
        <v>491760</v>
      </c>
      <c r="F65" s="45">
        <v>111776.8349</v>
      </c>
      <c r="G65" s="45">
        <v>209337.95050000001</v>
      </c>
      <c r="H65" s="45">
        <v>1226250571400.8601</v>
      </c>
      <c r="I65" s="45">
        <v>2666662899239.0801</v>
      </c>
      <c r="J65" s="45">
        <v>1103009886827.5601</v>
      </c>
      <c r="K65" s="45">
        <v>3257.1433000000002</v>
      </c>
      <c r="L65" s="45">
        <v>3192.8566999999998</v>
      </c>
      <c r="M65" s="45">
        <v>2409.4798000000001</v>
      </c>
      <c r="N65" s="45">
        <v>3465.5201999999999</v>
      </c>
      <c r="O65" s="44">
        <v>0</v>
      </c>
      <c r="P65" s="44">
        <v>0</v>
      </c>
      <c r="Q65" s="44">
        <v>30636</v>
      </c>
      <c r="R65" s="44">
        <v>24512</v>
      </c>
      <c r="S65" s="11">
        <f>(鋼床鈑!O65+鋼床鈑!W65+鋼床鈑!X65)*鋼床鈑!U65+(鋼床鈑!R65+鋼床鈑!W65+鋼床鈑!X65)*鋼床鈑!V65</f>
        <v>160720</v>
      </c>
      <c r="T65" s="11">
        <f>(鋼床鈑!T65)*鋼床鈑!W65+(鋼床鈑!T65)*鋼床鈑!X65</f>
        <v>408730</v>
      </c>
      <c r="U65" s="11">
        <f>4*((鋼床鈑!R65+鋼床鈑!W65/2+鋼床鈑!X65/2)*(鋼床鈑!T65+鋼床鈑!U65/2+鋼床鈑!V65/2))^2/((鋼床鈑!O65+鋼床鈑!W65/2+鋼床鈑!X65/2)/鋼床鈑!U65+(鋼床鈑!R65+鋼床鈑!W65/2+鋼床鈑!X65/2)/鋼床鈑!V65+(鋼床鈑!T65+鋼床鈑!U65/2+鋼床鈑!V65/2)/鋼床鈑!W65+(鋼床鈑!T65+鋼床鈑!U65/2+鋼床鈑!V65/2)/鋼床鈑!X65)</f>
        <v>1897106416769.7078</v>
      </c>
      <c r="V65" s="12">
        <f t="shared" si="2"/>
        <v>0.34546175743733193</v>
      </c>
      <c r="W65" s="12">
        <f t="shared" si="3"/>
        <v>0.33864334026309495</v>
      </c>
      <c r="X65" s="12">
        <f t="shared" si="4"/>
        <v>1.1067380184050848</v>
      </c>
      <c r="Y65" s="12">
        <f t="shared" si="5"/>
        <v>0.76948415976310869</v>
      </c>
      <c r="Z65" s="12">
        <f t="shared" si="0"/>
        <v>1.4976595582735497</v>
      </c>
      <c r="AA65" s="12">
        <f t="shared" si="1"/>
        <v>2.3286673782790217</v>
      </c>
      <c r="AB65" s="10">
        <f t="shared" si="6"/>
        <v>5.875</v>
      </c>
      <c r="AC65" s="10">
        <f t="shared" si="7"/>
        <v>6.45</v>
      </c>
      <c r="AD65" s="10">
        <f t="shared" si="8"/>
        <v>0.49175999999999997</v>
      </c>
      <c r="AE65" s="12">
        <f t="shared" si="9"/>
        <v>1.8971064167697078</v>
      </c>
      <c r="AF65" s="12">
        <f t="shared" si="10"/>
        <v>0.40872999999999998</v>
      </c>
      <c r="AG65" s="12">
        <f t="shared" si="11"/>
        <v>0.16072</v>
      </c>
      <c r="AH65" s="10">
        <f t="shared" si="12"/>
        <v>1.10300988682756</v>
      </c>
      <c r="AI65" s="10">
        <f t="shared" si="13"/>
        <v>2.6666628992390802</v>
      </c>
      <c r="AJ65" s="13">
        <f t="shared" si="14"/>
        <v>1.10300988682756</v>
      </c>
      <c r="AK65" s="13">
        <f t="shared" si="15"/>
        <v>2.6666628992390802</v>
      </c>
    </row>
    <row r="66" spans="1:37">
      <c r="A66" s="8">
        <f>鋼床鈑!A66</f>
        <v>64</v>
      </c>
      <c r="B66" s="43" t="s">
        <v>41</v>
      </c>
      <c r="C66" s="43" t="s">
        <v>42</v>
      </c>
      <c r="D66" s="43" t="s">
        <v>143</v>
      </c>
      <c r="E66" s="44">
        <v>487080</v>
      </c>
      <c r="F66" s="45">
        <v>112439.3735</v>
      </c>
      <c r="G66" s="45">
        <v>204697.84789999999</v>
      </c>
      <c r="H66" s="45">
        <v>1193439928259.3899</v>
      </c>
      <c r="I66" s="45">
        <v>2545794577019.2402</v>
      </c>
      <c r="J66" s="45">
        <v>1093696744505.46</v>
      </c>
      <c r="K66" s="45">
        <v>3256.7314999999999</v>
      </c>
      <c r="L66" s="45">
        <v>3193.2685000000001</v>
      </c>
      <c r="M66" s="45">
        <v>2356.8069999999998</v>
      </c>
      <c r="N66" s="45">
        <v>3401.1930000000002</v>
      </c>
      <c r="O66" s="44">
        <v>0</v>
      </c>
      <c r="P66" s="44">
        <v>0</v>
      </c>
      <c r="Q66" s="44">
        <v>30402</v>
      </c>
      <c r="R66" s="44">
        <v>24278</v>
      </c>
      <c r="S66" s="11">
        <f>(鋼床鈑!O66+鋼床鈑!W66+鋼床鈑!X66)*鋼床鈑!U66+(鋼床鈑!R66+鋼床鈑!W66+鋼床鈑!X66)*鋼床鈑!V66</f>
        <v>160720</v>
      </c>
      <c r="T66" s="11">
        <f>(鋼床鈑!T66)*鋼床鈑!W66+(鋼床鈑!T66)*鋼床鈑!X66</f>
        <v>400540</v>
      </c>
      <c r="U66" s="11">
        <f>4*((鋼床鈑!R66+鋼床鈑!W66/2+鋼床鈑!X66/2)*(鋼床鈑!T66+鋼床鈑!U66/2+鋼床鈑!V66/2))^2/((鋼床鈑!O66+鋼床鈑!W66/2+鋼床鈑!X66/2)/鋼床鈑!U66+(鋼床鈑!R66+鋼床鈑!W66/2+鋼床鈑!X66/2)/鋼床鈑!V66+(鋼床鈑!T66+鋼床鈑!U66/2+鋼床鈑!V66/2)/鋼床鈑!W66+(鋼床鈑!T66+鋼床鈑!U66/2+鋼床鈑!V66/2)/鋼床鈑!X66)</f>
        <v>1843323733799.9165</v>
      </c>
      <c r="V66" s="12">
        <f t="shared" si="2"/>
        <v>0.34250071502144586</v>
      </c>
      <c r="W66" s="12">
        <f t="shared" si="3"/>
        <v>0.33582650105035061</v>
      </c>
      <c r="X66" s="12">
        <f t="shared" si="4"/>
        <v>1.0801879733975843</v>
      </c>
      <c r="Y66" s="12">
        <f t="shared" si="5"/>
        <v>0.74850047528006791</v>
      </c>
      <c r="Z66" s="12">
        <f t="shared" si="0"/>
        <v>1.4984708915909677</v>
      </c>
      <c r="AA66" s="12">
        <f t="shared" si="1"/>
        <v>2.2861858363587806</v>
      </c>
      <c r="AB66" s="10">
        <f t="shared" si="6"/>
        <v>5.758</v>
      </c>
      <c r="AC66" s="10">
        <f t="shared" si="7"/>
        <v>6.45</v>
      </c>
      <c r="AD66" s="10">
        <f t="shared" si="8"/>
        <v>0.48708000000000001</v>
      </c>
      <c r="AE66" s="12">
        <f t="shared" si="9"/>
        <v>1.8433237337999164</v>
      </c>
      <c r="AF66" s="12">
        <f t="shared" si="10"/>
        <v>0.40054000000000001</v>
      </c>
      <c r="AG66" s="12">
        <f t="shared" si="11"/>
        <v>0.16072</v>
      </c>
      <c r="AH66" s="10">
        <f t="shared" si="12"/>
        <v>1.09369674450546</v>
      </c>
      <c r="AI66" s="10">
        <f t="shared" si="13"/>
        <v>2.5457945770192403</v>
      </c>
      <c r="AJ66" s="13">
        <f t="shared" si="14"/>
        <v>1.09369674450546</v>
      </c>
      <c r="AK66" s="13">
        <f t="shared" si="15"/>
        <v>2.5457945770192403</v>
      </c>
    </row>
    <row r="67" spans="1:37">
      <c r="A67" s="8">
        <f>鋼床鈑!A67</f>
        <v>65</v>
      </c>
      <c r="B67" s="43" t="s">
        <v>41</v>
      </c>
      <c r="C67" s="43" t="s">
        <v>42</v>
      </c>
      <c r="D67" s="43" t="s">
        <v>144</v>
      </c>
      <c r="E67" s="44">
        <v>482520</v>
      </c>
      <c r="F67" s="45">
        <v>113075.18459999999</v>
      </c>
      <c r="G67" s="45">
        <v>200173.65470000001</v>
      </c>
      <c r="H67" s="45">
        <v>1161568128293.02</v>
      </c>
      <c r="I67" s="45">
        <v>2431199970047.1201</v>
      </c>
      <c r="J67" s="45">
        <v>1084622238780.38</v>
      </c>
      <c r="K67" s="45">
        <v>3256.3226</v>
      </c>
      <c r="L67" s="45">
        <v>3193.6774</v>
      </c>
      <c r="M67" s="45">
        <v>2305.5936000000002</v>
      </c>
      <c r="N67" s="45">
        <v>3338.4063999999998</v>
      </c>
      <c r="O67" s="44">
        <v>0</v>
      </c>
      <c r="P67" s="44">
        <v>0</v>
      </c>
      <c r="Q67" s="44">
        <v>30174</v>
      </c>
      <c r="R67" s="44">
        <v>24050</v>
      </c>
      <c r="S67" s="11">
        <f>(鋼床鈑!O67+鋼床鈑!W67+鋼床鈑!X67)*鋼床鈑!U67+(鋼床鈑!R67+鋼床鈑!W67+鋼床鈑!X67)*鋼床鈑!V67</f>
        <v>160720</v>
      </c>
      <c r="T67" s="11">
        <f>(鋼床鈑!T67)*鋼床鈑!W67+(鋼床鈑!T67)*鋼床鈑!X67</f>
        <v>392560</v>
      </c>
      <c r="U67" s="11">
        <f>4*((鋼床鈑!R67+鋼床鈑!W67/2+鋼床鈑!X67/2)*(鋼床鈑!T67+鋼床鈑!U67/2+鋼床鈑!V67/2))^2/((鋼床鈑!O67+鋼床鈑!W67/2+鋼床鈑!X67/2)/鋼床鈑!U67+(鋼床鈑!R67+鋼床鈑!W67/2+鋼床鈑!X67/2)/鋼床鈑!V67+(鋼床鈑!T67+鋼床鈑!U67/2+鋼床鈑!V67/2)/鋼床鈑!W67+(鋼床鈑!T67+鋼床鈑!U67/2+鋼床鈑!V67/2)/鋼床鈑!X67)</f>
        <v>1791191758166.2493</v>
      </c>
      <c r="V67" s="12">
        <f t="shared" si="2"/>
        <v>0.33961546610198645</v>
      </c>
      <c r="W67" s="12">
        <f t="shared" si="3"/>
        <v>0.33308193690034893</v>
      </c>
      <c r="X67" s="12">
        <f t="shared" si="4"/>
        <v>1.0544789723770571</v>
      </c>
      <c r="Y67" s="12">
        <f t="shared" si="5"/>
        <v>0.72825165026256855</v>
      </c>
      <c r="Z67" s="12">
        <f t="shared" si="0"/>
        <v>1.499276013335747</v>
      </c>
      <c r="AA67" s="12">
        <f t="shared" si="1"/>
        <v>2.2446709253012966</v>
      </c>
      <c r="AB67" s="10">
        <f t="shared" si="6"/>
        <v>5.6440000000000001</v>
      </c>
      <c r="AC67" s="10">
        <f t="shared" si="7"/>
        <v>6.45</v>
      </c>
      <c r="AD67" s="10">
        <f t="shared" si="8"/>
        <v>0.48252</v>
      </c>
      <c r="AE67" s="12">
        <f t="shared" si="9"/>
        <v>1.7911917581662493</v>
      </c>
      <c r="AF67" s="12">
        <f t="shared" si="10"/>
        <v>0.39256000000000002</v>
      </c>
      <c r="AG67" s="12">
        <f t="shared" si="11"/>
        <v>0.16072</v>
      </c>
      <c r="AH67" s="10">
        <f t="shared" si="12"/>
        <v>1.0846222387803801</v>
      </c>
      <c r="AI67" s="10">
        <f t="shared" si="13"/>
        <v>2.4311999700471203</v>
      </c>
      <c r="AJ67" s="13">
        <f t="shared" si="14"/>
        <v>1.0846222387803801</v>
      </c>
      <c r="AK67" s="13">
        <f t="shared" si="15"/>
        <v>2.4311999700471203</v>
      </c>
    </row>
    <row r="68" spans="1:37">
      <c r="A68" s="8">
        <f>鋼床鈑!A68</f>
        <v>66</v>
      </c>
      <c r="B68" s="43" t="s">
        <v>41</v>
      </c>
      <c r="C68" s="43" t="s">
        <v>42</v>
      </c>
      <c r="D68" s="43" t="s">
        <v>145</v>
      </c>
      <c r="E68" s="44">
        <v>478160</v>
      </c>
      <c r="F68" s="45">
        <v>113687.8437</v>
      </c>
      <c r="G68" s="45">
        <v>195845.8077</v>
      </c>
      <c r="H68" s="45">
        <v>1131227829640.54</v>
      </c>
      <c r="I68" s="45">
        <v>2324533218520.8101</v>
      </c>
      <c r="J68" s="45">
        <v>1075945583981.02</v>
      </c>
      <c r="K68" s="45">
        <v>3255.9243999999999</v>
      </c>
      <c r="L68" s="45">
        <v>3194.0756000000001</v>
      </c>
      <c r="M68" s="45">
        <v>2256.7294999999999</v>
      </c>
      <c r="N68" s="45">
        <v>3278.2705000000001</v>
      </c>
      <c r="O68" s="44">
        <v>0</v>
      </c>
      <c r="P68" s="44">
        <v>0</v>
      </c>
      <c r="Q68" s="44">
        <v>29956</v>
      </c>
      <c r="R68" s="44">
        <v>23832</v>
      </c>
      <c r="S68" s="11">
        <f>(鋼床鈑!O68+鋼床鈑!W68+鋼床鈑!X68)*鋼床鈑!U68+(鋼床鈑!R68+鋼床鈑!W68+鋼床鈑!X68)*鋼床鈑!V68</f>
        <v>160720</v>
      </c>
      <c r="T68" s="11">
        <f>(鋼床鈑!T68)*鋼床鈑!W68+(鋼床鈑!T68)*鋼床鈑!X68</f>
        <v>384930</v>
      </c>
      <c r="U68" s="11">
        <f>4*((鋼床鈑!R68+鋼床鈑!W68/2+鋼床鈑!X68/2)*(鋼床鈑!T68+鋼床鈑!U68/2+鋼床鈑!V68/2))^2/((鋼床鈑!O68+鋼床鈑!W68/2+鋼床鈑!X68/2)/鋼床鈑!U68+(鋼床鈑!R68+鋼床鈑!W68/2+鋼床鈑!X68/2)/鋼床鈑!V68+(鋼床鈑!T68+鋼床鈑!U68/2+鋼床鈑!V68/2)/鋼床鈑!W68+(鋼床鈑!T68+鋼床鈑!U68/2+鋼床鈑!V68/2)/鋼床鈑!X68)</f>
        <v>1741605665718.5437</v>
      </c>
      <c r="V68" s="12">
        <f t="shared" si="2"/>
        <v>0.33685664296143142</v>
      </c>
      <c r="W68" s="12">
        <f t="shared" si="3"/>
        <v>0.33045779072174403</v>
      </c>
      <c r="X68" s="12">
        <f t="shared" si="4"/>
        <v>1.0300451243805737</v>
      </c>
      <c r="Y68" s="12">
        <f t="shared" si="5"/>
        <v>0.70907303668834221</v>
      </c>
      <c r="Z68" s="12">
        <f t="shared" ref="Z68:Z131" si="16">SQRT(AH68/AD68)</f>
        <v>1.5000596608381085</v>
      </c>
      <c r="AA68" s="12">
        <f t="shared" ref="AA68:AA131" si="17">SQRT(AI68/AD68)</f>
        <v>2.2048612098978442</v>
      </c>
      <c r="AB68" s="10">
        <f t="shared" si="6"/>
        <v>5.5350000000000001</v>
      </c>
      <c r="AC68" s="10">
        <f t="shared" si="7"/>
        <v>6.45</v>
      </c>
      <c r="AD68" s="10">
        <f t="shared" si="8"/>
        <v>0.47815999999999997</v>
      </c>
      <c r="AE68" s="12">
        <f t="shared" si="9"/>
        <v>1.7416056657185437</v>
      </c>
      <c r="AF68" s="12">
        <f t="shared" si="10"/>
        <v>0.38492999999999999</v>
      </c>
      <c r="AG68" s="12">
        <f t="shared" si="11"/>
        <v>0.16072</v>
      </c>
      <c r="AH68" s="10">
        <f t="shared" si="12"/>
        <v>1.0759455839810199</v>
      </c>
      <c r="AI68" s="10">
        <f t="shared" si="13"/>
        <v>2.3245332185208101</v>
      </c>
      <c r="AJ68" s="13">
        <f t="shared" si="14"/>
        <v>1.0759455839810199</v>
      </c>
      <c r="AK68" s="13">
        <f t="shared" si="15"/>
        <v>2.3245332185208101</v>
      </c>
    </row>
    <row r="69" spans="1:37">
      <c r="A69" s="8">
        <f>鋼床鈑!A69</f>
        <v>67</v>
      </c>
      <c r="B69" s="43" t="s">
        <v>41</v>
      </c>
      <c r="C69" s="43" t="s">
        <v>42</v>
      </c>
      <c r="D69" s="43" t="s">
        <v>146</v>
      </c>
      <c r="E69" s="44">
        <v>473920</v>
      </c>
      <c r="F69" s="45">
        <v>114281.32369999999</v>
      </c>
      <c r="G69" s="45">
        <v>191634.2647</v>
      </c>
      <c r="H69" s="45">
        <v>1101828805723.6399</v>
      </c>
      <c r="I69" s="45">
        <v>2223497131008.6201</v>
      </c>
      <c r="J69" s="45">
        <v>1067507588074.35</v>
      </c>
      <c r="K69" s="45">
        <v>3255.53</v>
      </c>
      <c r="L69" s="45">
        <v>3194.47</v>
      </c>
      <c r="M69" s="45">
        <v>2209.3098</v>
      </c>
      <c r="N69" s="45">
        <v>3219.6902</v>
      </c>
      <c r="O69" s="44">
        <v>0</v>
      </c>
      <c r="P69" s="44">
        <v>0</v>
      </c>
      <c r="Q69" s="44">
        <v>29744</v>
      </c>
      <c r="R69" s="44">
        <v>23620</v>
      </c>
      <c r="S69" s="11">
        <f>(鋼床鈑!O69+鋼床鈑!W69+鋼床鈑!X69)*鋼床鈑!U69+(鋼床鈑!R69+鋼床鈑!W69+鋼床鈑!X69)*鋼床鈑!V69</f>
        <v>160720</v>
      </c>
      <c r="T69" s="11">
        <f>(鋼床鈑!T69)*鋼床鈑!W69+(鋼床鈑!T69)*鋼床鈑!X69</f>
        <v>377510</v>
      </c>
      <c r="U69" s="11">
        <f>4*((鋼床鈑!R69+鋼床鈑!W69/2+鋼床鈑!X69/2)*(鋼床鈑!T69+鋼床鈑!U69/2+鋼床鈑!V69/2))^2/((鋼床鈑!O69+鋼床鈑!W69/2+鋼床鈑!X69/2)/鋼床鈑!U69+(鋼床鈑!R69+鋼床鈑!W69/2+鋼床鈑!X69/2)/鋼床鈑!V69+(鋼床鈑!T69+鋼床鈑!U69/2+鋼床鈑!V69/2)/鋼床鈑!W69+(鋼床鈑!T69+鋼床鈑!U69/2+鋼床鈑!V69/2)/鋼床鈑!X69)</f>
        <v>1693635728834.8877</v>
      </c>
      <c r="V69" s="12">
        <f t="shared" ref="V69:V132" si="18">AH69/(L69/1000)</f>
        <v>0.33417361505174564</v>
      </c>
      <c r="W69" s="12">
        <f t="shared" ref="W69:W132" si="19">AH69/(K69/1000)</f>
        <v>0.32790592870418944</v>
      </c>
      <c r="X69" s="12">
        <f t="shared" ref="X69:X132" si="20">AI69/(M69/1000)</f>
        <v>1.0064216123101521</v>
      </c>
      <c r="Y69" s="12">
        <f t="shared" ref="Y69:Y132" si="21">AI69/(N69/1000)</f>
        <v>0.69059350213527371</v>
      </c>
      <c r="Z69" s="12">
        <f t="shared" si="16"/>
        <v>1.500835061892648</v>
      </c>
      <c r="AA69" s="12">
        <f t="shared" si="17"/>
        <v>2.1660364881029452</v>
      </c>
      <c r="AB69" s="10">
        <f t="shared" ref="AB69:AB132" si="22">(M69+N69)/1000</f>
        <v>5.4290000000000003</v>
      </c>
      <c r="AC69" s="10">
        <f t="shared" ref="AC69:AC132" si="23">(K69+L69)/1000</f>
        <v>6.45</v>
      </c>
      <c r="AD69" s="10">
        <f t="shared" ref="AD69:AD132" si="24">E69/1000^2</f>
        <v>0.47392000000000001</v>
      </c>
      <c r="AE69" s="12">
        <f t="shared" ref="AE69:AE132" si="25">U69/(1000^4)</f>
        <v>1.6936357288348878</v>
      </c>
      <c r="AF69" s="12">
        <f t="shared" ref="AF69:AF132" si="26">T69/1000^2</f>
        <v>0.37751000000000001</v>
      </c>
      <c r="AG69" s="12">
        <f t="shared" ref="AG69:AG132" si="27">S69/1000^2</f>
        <v>0.16072</v>
      </c>
      <c r="AH69" s="10">
        <f t="shared" ref="AH69:AH132" si="28">J69/(1000^4)</f>
        <v>1.0675075880743499</v>
      </c>
      <c r="AI69" s="10">
        <f t="shared" ref="AI69:AI132" si="29">I69/(1000^4)</f>
        <v>2.22349713100862</v>
      </c>
      <c r="AJ69" s="13">
        <f t="shared" ref="AJ69:AJ132" si="30">AH69</f>
        <v>1.0675075880743499</v>
      </c>
      <c r="AK69" s="13">
        <f t="shared" ref="AK69:AK132" si="31">AI69</f>
        <v>2.22349713100862</v>
      </c>
    </row>
    <row r="70" spans="1:37">
      <c r="A70" s="8">
        <f>鋼床鈑!A70</f>
        <v>68</v>
      </c>
      <c r="B70" s="43" t="s">
        <v>41</v>
      </c>
      <c r="C70" s="43" t="s">
        <v>42</v>
      </c>
      <c r="D70" s="43" t="s">
        <v>147</v>
      </c>
      <c r="E70" s="44">
        <v>469880</v>
      </c>
      <c r="F70" s="45">
        <v>114836.63280000001</v>
      </c>
      <c r="G70" s="45">
        <v>187619.14449999999</v>
      </c>
      <c r="H70" s="45">
        <v>1073901373482.6801</v>
      </c>
      <c r="I70" s="45">
        <v>2129676362687.1101</v>
      </c>
      <c r="J70" s="45">
        <v>1059467471305.36</v>
      </c>
      <c r="K70" s="45">
        <v>3255.1477</v>
      </c>
      <c r="L70" s="45">
        <v>3194.8523</v>
      </c>
      <c r="M70" s="45">
        <v>2164.2206000000001</v>
      </c>
      <c r="N70" s="45">
        <v>3163.7793999999999</v>
      </c>
      <c r="O70" s="44">
        <v>0</v>
      </c>
      <c r="P70" s="44">
        <v>0</v>
      </c>
      <c r="Q70" s="44">
        <v>29542</v>
      </c>
      <c r="R70" s="44">
        <v>23418</v>
      </c>
      <c r="S70" s="11">
        <f>(鋼床鈑!O70+鋼床鈑!W70+鋼床鈑!X70)*鋼床鈑!U70+(鋼床鈑!R70+鋼床鈑!W70+鋼床鈑!X70)*鋼床鈑!V70</f>
        <v>160720</v>
      </c>
      <c r="T70" s="11">
        <f>(鋼床鈑!T70)*鋼床鈑!W70+(鋼床鈑!T70)*鋼床鈑!X70</f>
        <v>370440</v>
      </c>
      <c r="U70" s="11">
        <f>4*((鋼床鈑!R70+鋼床鈑!W70/2+鋼床鈑!X70/2)*(鋼床鈑!T70+鋼床鈑!U70/2+鋼床鈑!V70/2))^2/((鋼床鈑!O70+鋼床鈑!W70/2+鋼床鈑!X70/2)/鋼床鈑!U70+(鋼床鈑!R70+鋼床鈑!W70/2+鋼床鈑!X70/2)/鋼床鈑!V70+(鋼床鈑!T70+鋼床鈑!U70/2+鋼床鈑!V70/2)/鋼床鈑!W70+(鋼床鈑!T70+鋼床鈑!U70/2+鋼床鈑!V70/2)/鋼床鈑!X70)</f>
        <v>1648166697357.6362</v>
      </c>
      <c r="V70" s="12">
        <f t="shared" si="18"/>
        <v>0.3316170426111279</v>
      </c>
      <c r="W70" s="12">
        <f t="shared" si="19"/>
        <v>0.32547446965474408</v>
      </c>
      <c r="X70" s="12">
        <f t="shared" si="20"/>
        <v>0.98403848604301702</v>
      </c>
      <c r="Y70" s="12">
        <f t="shared" si="21"/>
        <v>0.67314312833793355</v>
      </c>
      <c r="Z70" s="12">
        <f t="shared" si="16"/>
        <v>1.5015864254255857</v>
      </c>
      <c r="AA70" s="12">
        <f t="shared" si="17"/>
        <v>2.1289395265928719</v>
      </c>
      <c r="AB70" s="10">
        <f t="shared" si="22"/>
        <v>5.3280000000000003</v>
      </c>
      <c r="AC70" s="10">
        <f t="shared" si="23"/>
        <v>6.45</v>
      </c>
      <c r="AD70" s="10">
        <f t="shared" si="24"/>
        <v>0.46988000000000002</v>
      </c>
      <c r="AE70" s="12">
        <f t="shared" si="25"/>
        <v>1.6481666973576363</v>
      </c>
      <c r="AF70" s="12">
        <f t="shared" si="26"/>
        <v>0.37043999999999999</v>
      </c>
      <c r="AG70" s="12">
        <f t="shared" si="27"/>
        <v>0.16072</v>
      </c>
      <c r="AH70" s="10">
        <f t="shared" si="28"/>
        <v>1.05946747130536</v>
      </c>
      <c r="AI70" s="10">
        <f t="shared" si="29"/>
        <v>2.12967636268711</v>
      </c>
      <c r="AJ70" s="13">
        <f t="shared" si="30"/>
        <v>1.05946747130536</v>
      </c>
      <c r="AK70" s="13">
        <f t="shared" si="31"/>
        <v>2.12967636268711</v>
      </c>
    </row>
    <row r="71" spans="1:37">
      <c r="A71" s="8">
        <f>鋼床鈑!A71</f>
        <v>69</v>
      </c>
      <c r="B71" s="43" t="s">
        <v>41</v>
      </c>
      <c r="C71" s="43" t="s">
        <v>42</v>
      </c>
      <c r="D71" s="43" t="s">
        <v>148</v>
      </c>
      <c r="E71" s="44">
        <v>465960</v>
      </c>
      <c r="F71" s="45">
        <v>115380.2065</v>
      </c>
      <c r="G71" s="45">
        <v>183720.98490000001</v>
      </c>
      <c r="H71" s="45">
        <v>1046917278557.66</v>
      </c>
      <c r="I71" s="45">
        <v>2040906696435.3999</v>
      </c>
      <c r="J71" s="45">
        <v>1051666036318.11</v>
      </c>
      <c r="K71" s="45">
        <v>3254.7703999999999</v>
      </c>
      <c r="L71" s="45">
        <v>3195.2296000000001</v>
      </c>
      <c r="M71" s="45">
        <v>2120.5603000000001</v>
      </c>
      <c r="N71" s="45">
        <v>3109.4396999999999</v>
      </c>
      <c r="O71" s="44">
        <v>0</v>
      </c>
      <c r="P71" s="44">
        <v>0</v>
      </c>
      <c r="Q71" s="44">
        <v>29346</v>
      </c>
      <c r="R71" s="44">
        <v>23222</v>
      </c>
      <c r="S71" s="11">
        <f>(鋼床鈑!O71+鋼床鈑!W71+鋼床鈑!X71)*鋼床鈑!U71+(鋼床鈑!R71+鋼床鈑!W71+鋼床鈑!X71)*鋼床鈑!V71</f>
        <v>145044</v>
      </c>
      <c r="T71" s="11">
        <f>(鋼床鈑!T71)*鋼床鈑!W71+(鋼床鈑!T71)*鋼床鈑!X71</f>
        <v>228536</v>
      </c>
      <c r="U71" s="11">
        <f>4*((鋼床鈑!R71+鋼床鈑!W71/2+鋼床鈑!X71/2)*(鋼床鈑!T71+鋼床鈑!U71/2+鋼床鈑!V71/2))^2/((鋼床鈑!O71+鋼床鈑!W71/2+鋼床鈑!X71/2)/鋼床鈑!U71+(鋼床鈑!R71+鋼床鈑!W71/2+鋼床鈑!X71/2)/鋼床鈑!V71+(鋼床鈑!T71+鋼床鈑!U71/2+鋼床鈑!V71/2)/鋼床鈑!W71+(鋼床鈑!T71+鋼床鈑!U71/2+鋼床鈑!V71/2)/鋼床鈑!X71)</f>
        <v>1186356907279.8489</v>
      </c>
      <c r="V71" s="12">
        <f t="shared" si="18"/>
        <v>0.32913629628309338</v>
      </c>
      <c r="W71" s="12">
        <f t="shared" si="19"/>
        <v>0.32311527606313184</v>
      </c>
      <c r="X71" s="12">
        <f t="shared" si="20"/>
        <v>0.9624374729807964</v>
      </c>
      <c r="Y71" s="12">
        <f t="shared" si="21"/>
        <v>0.65635834534286031</v>
      </c>
      <c r="Z71" s="12">
        <f t="shared" si="16"/>
        <v>1.5023274617109035</v>
      </c>
      <c r="AA71" s="12">
        <f t="shared" si="17"/>
        <v>2.0928459259948435</v>
      </c>
      <c r="AB71" s="10">
        <f t="shared" si="22"/>
        <v>5.23</v>
      </c>
      <c r="AC71" s="10">
        <f t="shared" si="23"/>
        <v>6.45</v>
      </c>
      <c r="AD71" s="10">
        <f t="shared" si="24"/>
        <v>0.46595999999999999</v>
      </c>
      <c r="AE71" s="12">
        <f t="shared" si="25"/>
        <v>1.1863569072798488</v>
      </c>
      <c r="AF71" s="12">
        <f t="shared" si="26"/>
        <v>0.22853599999999999</v>
      </c>
      <c r="AG71" s="12">
        <f t="shared" si="27"/>
        <v>0.14504400000000001</v>
      </c>
      <c r="AH71" s="10">
        <f t="shared" si="28"/>
        <v>1.0516660363181101</v>
      </c>
      <c r="AI71" s="10">
        <f t="shared" si="29"/>
        <v>2.0409066964353997</v>
      </c>
      <c r="AJ71" s="13">
        <f t="shared" si="30"/>
        <v>1.0516660363181101</v>
      </c>
      <c r="AK71" s="13">
        <f t="shared" si="31"/>
        <v>2.0409066964353997</v>
      </c>
    </row>
    <row r="72" spans="1:37">
      <c r="A72" s="8">
        <f>鋼床鈑!A72</f>
        <v>70</v>
      </c>
      <c r="B72" s="43" t="s">
        <v>41</v>
      </c>
      <c r="C72" s="43" t="s">
        <v>42</v>
      </c>
      <c r="D72" s="43" t="s">
        <v>149</v>
      </c>
      <c r="E72" s="44">
        <v>462200</v>
      </c>
      <c r="F72" s="45">
        <v>115891.60550000001</v>
      </c>
      <c r="G72" s="45">
        <v>179979.50880000001</v>
      </c>
      <c r="H72" s="45">
        <v>1021109175319.21</v>
      </c>
      <c r="I72" s="45">
        <v>1957837552217.4099</v>
      </c>
      <c r="J72" s="45">
        <v>1044182900504.84</v>
      </c>
      <c r="K72" s="45">
        <v>3254.4023999999999</v>
      </c>
      <c r="L72" s="45">
        <v>3195.5976000000001</v>
      </c>
      <c r="M72" s="45">
        <v>2078.7671999999998</v>
      </c>
      <c r="N72" s="45">
        <v>3057.2328000000002</v>
      </c>
      <c r="O72" s="44">
        <v>0</v>
      </c>
      <c r="P72" s="44">
        <v>0</v>
      </c>
      <c r="Q72" s="44">
        <v>29158</v>
      </c>
      <c r="R72" s="44">
        <v>23034</v>
      </c>
      <c r="S72" s="11">
        <f>(鋼床鈑!O72+鋼床鈑!W72+鋼床鈑!X72)*鋼床鈑!U72+(鋼床鈑!R72+鋼床鈑!W72+鋼床鈑!X72)*鋼床鈑!V72</f>
        <v>145044</v>
      </c>
      <c r="T72" s="11">
        <f>(鋼床鈑!T72)*鋼床鈑!W72+(鋼床鈑!T72)*鋼床鈑!X72</f>
        <v>224400</v>
      </c>
      <c r="U72" s="11">
        <f>4*((鋼床鈑!R72+鋼床鈑!W72/2+鋼床鈑!X72/2)*(鋼床鈑!T72+鋼床鈑!U72/2+鋼床鈑!V72/2))^2/((鋼床鈑!O72+鋼床鈑!W72/2+鋼床鈑!X72/2)/鋼床鈑!U72+(鋼床鈑!R72+鋼床鈑!W72/2+鋼床鈑!X72/2)/鋼床鈑!V72+(鋼床鈑!T72+鋼床鈑!U72/2+鋼床鈑!V72/2)/鋼床鈑!W72+(鋼床鈑!T72+鋼床鈑!U72/2+鋼床鈑!V72/2)/鋼床鈑!X72)</f>
        <v>1157532911233.6118</v>
      </c>
      <c r="V72" s="12">
        <f t="shared" si="18"/>
        <v>0.32675669192668061</v>
      </c>
      <c r="W72" s="12">
        <f t="shared" si="19"/>
        <v>0.32085242455107577</v>
      </c>
      <c r="X72" s="12">
        <f t="shared" si="20"/>
        <v>0.9418262671343911</v>
      </c>
      <c r="Y72" s="12">
        <f t="shared" si="21"/>
        <v>0.64039531180530629</v>
      </c>
      <c r="Z72" s="12">
        <f t="shared" si="16"/>
        <v>1.5030496191857408</v>
      </c>
      <c r="AA72" s="12">
        <f t="shared" si="17"/>
        <v>2.0581326226198597</v>
      </c>
      <c r="AB72" s="10">
        <f t="shared" si="22"/>
        <v>5.1360000000000001</v>
      </c>
      <c r="AC72" s="10">
        <f t="shared" si="23"/>
        <v>6.45</v>
      </c>
      <c r="AD72" s="10">
        <f t="shared" si="24"/>
        <v>0.4622</v>
      </c>
      <c r="AE72" s="12">
        <f t="shared" si="25"/>
        <v>1.1575329112336119</v>
      </c>
      <c r="AF72" s="12">
        <f t="shared" si="26"/>
        <v>0.22439999999999999</v>
      </c>
      <c r="AG72" s="12">
        <f t="shared" si="27"/>
        <v>0.14504400000000001</v>
      </c>
      <c r="AH72" s="10">
        <f t="shared" si="28"/>
        <v>1.04418290050484</v>
      </c>
      <c r="AI72" s="10">
        <f t="shared" si="29"/>
        <v>1.9578375522174098</v>
      </c>
      <c r="AJ72" s="13">
        <f t="shared" si="30"/>
        <v>1.04418290050484</v>
      </c>
      <c r="AK72" s="13">
        <f t="shared" si="31"/>
        <v>1.9578375522174098</v>
      </c>
    </row>
    <row r="73" spans="1:37">
      <c r="A73" s="8">
        <f>鋼床鈑!A73</f>
        <v>71</v>
      </c>
      <c r="B73" s="43" t="s">
        <v>41</v>
      </c>
      <c r="C73" s="43" t="s">
        <v>42</v>
      </c>
      <c r="D73" s="43" t="s">
        <v>150</v>
      </c>
      <c r="E73" s="44">
        <v>458600</v>
      </c>
      <c r="F73" s="45">
        <v>116386.65730000001</v>
      </c>
      <c r="G73" s="45">
        <v>176396.57569999999</v>
      </c>
      <c r="H73" s="45">
        <v>996512441244.62903</v>
      </c>
      <c r="I73" s="45">
        <v>1880193132005.26</v>
      </c>
      <c r="J73" s="45">
        <v>1037018076848.1</v>
      </c>
      <c r="K73" s="45">
        <v>3254.0445</v>
      </c>
      <c r="L73" s="45">
        <v>3195.9555</v>
      </c>
      <c r="M73" s="45">
        <v>2038.8325</v>
      </c>
      <c r="N73" s="45">
        <v>3007.1675</v>
      </c>
      <c r="O73" s="44">
        <v>0</v>
      </c>
      <c r="P73" s="44">
        <v>0</v>
      </c>
      <c r="Q73" s="44">
        <v>28978</v>
      </c>
      <c r="R73" s="44">
        <v>22854</v>
      </c>
      <c r="S73" s="11">
        <f>(鋼床鈑!O73+鋼床鈑!W73+鋼床鈑!X73)*鋼床鈑!U73+(鋼床鈑!R73+鋼床鈑!W73+鋼床鈑!X73)*鋼床鈑!V73</f>
        <v>145044</v>
      </c>
      <c r="T73" s="11">
        <f>(鋼床鈑!T73)*鋼床鈑!W73+(鋼床鈑!T73)*鋼床鈑!X73</f>
        <v>220440</v>
      </c>
      <c r="U73" s="11">
        <f>4*((鋼床鈑!R73+鋼床鈑!W73/2+鋼床鈑!X73/2)*(鋼床鈑!T73+鋼床鈑!U73/2+鋼床鈑!V73/2))^2/((鋼床鈑!O73+鋼床鈑!W73/2+鋼床鈑!X73/2)/鋼床鈑!U73+(鋼床鈑!R73+鋼床鈑!W73/2+鋼床鈑!X73/2)/鋼床鈑!V73+(鋼床鈑!T73+鋼床鈑!U73/2+鋼床鈑!V73/2)/鋼床鈑!W73+(鋼床鈑!T73+鋼床鈑!U73/2+鋼床鈑!V73/2)/鋼床鈑!X73)</f>
        <v>1130027643164.1794</v>
      </c>
      <c r="V73" s="12">
        <f t="shared" si="18"/>
        <v>0.32447825911471539</v>
      </c>
      <c r="W73" s="12">
        <f t="shared" si="19"/>
        <v>0.31868589284753168</v>
      </c>
      <c r="X73" s="12">
        <f t="shared" si="20"/>
        <v>0.92219107357041852</v>
      </c>
      <c r="Y73" s="12">
        <f t="shared" si="21"/>
        <v>0.62523724801004932</v>
      </c>
      <c r="Z73" s="12">
        <f t="shared" si="16"/>
        <v>1.5037517239821196</v>
      </c>
      <c r="AA73" s="12">
        <f t="shared" si="17"/>
        <v>2.0248096678521676</v>
      </c>
      <c r="AB73" s="10">
        <f t="shared" si="22"/>
        <v>5.0460000000000003</v>
      </c>
      <c r="AC73" s="10">
        <f t="shared" si="23"/>
        <v>6.45</v>
      </c>
      <c r="AD73" s="10">
        <f t="shared" si="24"/>
        <v>0.45860000000000001</v>
      </c>
      <c r="AE73" s="12">
        <f t="shared" si="25"/>
        <v>1.1300276431641794</v>
      </c>
      <c r="AF73" s="12">
        <f t="shared" si="26"/>
        <v>0.22044</v>
      </c>
      <c r="AG73" s="12">
        <f t="shared" si="27"/>
        <v>0.14504400000000001</v>
      </c>
      <c r="AH73" s="10">
        <f t="shared" si="28"/>
        <v>1.0370180768480999</v>
      </c>
      <c r="AI73" s="10">
        <f t="shared" si="29"/>
        <v>1.8801931320052601</v>
      </c>
      <c r="AJ73" s="13">
        <f t="shared" si="30"/>
        <v>1.0370180768480999</v>
      </c>
      <c r="AK73" s="13">
        <f t="shared" si="31"/>
        <v>1.8801931320052601</v>
      </c>
    </row>
    <row r="74" spans="1:37">
      <c r="A74" s="8">
        <f>鋼床鈑!A74</f>
        <v>72</v>
      </c>
      <c r="B74" s="43" t="s">
        <v>41</v>
      </c>
      <c r="C74" s="43" t="s">
        <v>42</v>
      </c>
      <c r="D74" s="43" t="s">
        <v>151</v>
      </c>
      <c r="E74" s="44">
        <v>455120</v>
      </c>
      <c r="F74" s="45">
        <v>116854.56819999999</v>
      </c>
      <c r="G74" s="45">
        <v>172930.7746</v>
      </c>
      <c r="H74" s="45">
        <v>972798803191.26099</v>
      </c>
      <c r="I74" s="45">
        <v>1806879790915.1799</v>
      </c>
      <c r="J74" s="45">
        <v>1030091967206.64</v>
      </c>
      <c r="K74" s="45">
        <v>3253.6931</v>
      </c>
      <c r="L74" s="45">
        <v>3196.3069</v>
      </c>
      <c r="M74" s="45">
        <v>2000.3052</v>
      </c>
      <c r="N74" s="45">
        <v>2958.6948000000002</v>
      </c>
      <c r="O74" s="44">
        <v>0</v>
      </c>
      <c r="P74" s="44">
        <v>0</v>
      </c>
      <c r="Q74" s="44">
        <v>28804</v>
      </c>
      <c r="R74" s="44">
        <v>22680</v>
      </c>
      <c r="S74" s="11">
        <f>(鋼床鈑!O74+鋼床鈑!W74+鋼床鈑!X74)*鋼床鈑!U74+(鋼床鈑!R74+鋼床鈑!W74+鋼床鈑!X74)*鋼床鈑!V74</f>
        <v>145044</v>
      </c>
      <c r="T74" s="11">
        <f>(鋼床鈑!T74)*鋼床鈑!W74+(鋼床鈑!T74)*鋼床鈑!X74</f>
        <v>216612</v>
      </c>
      <c r="U74" s="11">
        <f>4*((鋼床鈑!R74+鋼床鈑!W74/2+鋼床鈑!X74/2)*(鋼床鈑!T74+鋼床鈑!U74/2+鋼床鈑!V74/2))^2/((鋼床鈑!O74+鋼床鈑!W74/2+鋼床鈑!X74/2)/鋼床鈑!U74+(鋼床鈑!R74+鋼床鈑!W74/2+鋼床鈑!X74/2)/鋼床鈑!V74+(鋼床鈑!T74+鋼床鈑!U74/2+鋼床鈑!V74/2)/鋼床鈑!W74+(鋼床鈑!T74+鋼床鈑!U74/2+鋼床鈑!V74/2)/鋼床鈑!X74)</f>
        <v>1103527917386.2319</v>
      </c>
      <c r="V74" s="12">
        <f t="shared" si="18"/>
        <v>0.32227567609563396</v>
      </c>
      <c r="W74" s="12">
        <f t="shared" si="19"/>
        <v>0.3165916192915183</v>
      </c>
      <c r="X74" s="12">
        <f t="shared" si="20"/>
        <v>0.90330205156452115</v>
      </c>
      <c r="Y74" s="12">
        <f t="shared" si="21"/>
        <v>0.6107016482116302</v>
      </c>
      <c r="Z74" s="12">
        <f t="shared" si="16"/>
        <v>1.5044405818256179</v>
      </c>
      <c r="AA74" s="12">
        <f t="shared" si="17"/>
        <v>1.9925153228347749</v>
      </c>
      <c r="AB74" s="10">
        <f t="shared" si="22"/>
        <v>4.9589999999999996</v>
      </c>
      <c r="AC74" s="10">
        <f t="shared" si="23"/>
        <v>6.45</v>
      </c>
      <c r="AD74" s="10">
        <f t="shared" si="24"/>
        <v>0.45512000000000002</v>
      </c>
      <c r="AE74" s="12">
        <f t="shared" si="25"/>
        <v>1.103527917386232</v>
      </c>
      <c r="AF74" s="12">
        <f t="shared" si="26"/>
        <v>0.216612</v>
      </c>
      <c r="AG74" s="12">
        <f t="shared" si="27"/>
        <v>0.14504400000000001</v>
      </c>
      <c r="AH74" s="10">
        <f t="shared" si="28"/>
        <v>1.03009196720664</v>
      </c>
      <c r="AI74" s="10">
        <f t="shared" si="29"/>
        <v>1.8068797909151799</v>
      </c>
      <c r="AJ74" s="13">
        <f t="shared" si="30"/>
        <v>1.03009196720664</v>
      </c>
      <c r="AK74" s="13">
        <f t="shared" si="31"/>
        <v>1.8068797909151799</v>
      </c>
    </row>
    <row r="75" spans="1:37">
      <c r="A75" s="8">
        <f>鋼床鈑!A75</f>
        <v>73</v>
      </c>
      <c r="B75" s="43" t="s">
        <v>41</v>
      </c>
      <c r="C75" s="43" t="s">
        <v>42</v>
      </c>
      <c r="D75" s="43" t="s">
        <v>152</v>
      </c>
      <c r="E75" s="44">
        <v>451840</v>
      </c>
      <c r="F75" s="45">
        <v>117301.0618</v>
      </c>
      <c r="G75" s="45">
        <v>169664.72719999999</v>
      </c>
      <c r="H75" s="45">
        <v>950555198698.64197</v>
      </c>
      <c r="I75" s="45">
        <v>1739335941505.79</v>
      </c>
      <c r="J75" s="45">
        <v>1023563805414.86</v>
      </c>
      <c r="K75" s="45">
        <v>3253.3569000000002</v>
      </c>
      <c r="L75" s="45">
        <v>3196.6430999999998</v>
      </c>
      <c r="M75" s="45">
        <v>1964.0622000000001</v>
      </c>
      <c r="N75" s="45">
        <v>2912.9378000000002</v>
      </c>
      <c r="O75" s="44">
        <v>0</v>
      </c>
      <c r="P75" s="44">
        <v>0</v>
      </c>
      <c r="Q75" s="44">
        <v>28640</v>
      </c>
      <c r="R75" s="44">
        <v>22516</v>
      </c>
      <c r="S75" s="11">
        <f>(鋼床鈑!O75+鋼床鈑!W75+鋼床鈑!X75)*鋼床鈑!U75+(鋼床鈑!R75+鋼床鈑!W75+鋼床鈑!X75)*鋼床鈑!V75</f>
        <v>145044</v>
      </c>
      <c r="T75" s="11">
        <f>(鋼床鈑!T75)*鋼床鈑!W75+(鋼床鈑!T75)*鋼床鈑!X75</f>
        <v>213004</v>
      </c>
      <c r="U75" s="11">
        <f>4*((鋼床鈑!R75+鋼床鈑!W75/2+鋼床鈑!X75/2)*(鋼床鈑!T75+鋼床鈑!U75/2+鋼床鈑!V75/2))^2/((鋼床鈑!O75+鋼床鈑!W75/2+鋼床鈑!X75/2)/鋼床鈑!U75+(鋼床鈑!R75+鋼床鈑!W75/2+鋼床鈑!X75/2)/鋼床鈑!V75+(鋼床鈑!T75+鋼床鈑!U75/2+鋼床鈑!V75/2)/鋼床鈑!W75+(鋼床鈑!T75+鋼床鈑!U75/2+鋼床鈑!V75/2)/鋼床鈑!X75)</f>
        <v>1078633675271.4694</v>
      </c>
      <c r="V75" s="12">
        <f t="shared" si="18"/>
        <v>0.32019958856678743</v>
      </c>
      <c r="W75" s="12">
        <f t="shared" si="19"/>
        <v>0.31461774311169483</v>
      </c>
      <c r="X75" s="12">
        <f t="shared" si="20"/>
        <v>0.88558088511951916</v>
      </c>
      <c r="Y75" s="12">
        <f t="shared" si="21"/>
        <v>0.59710713407810834</v>
      </c>
      <c r="Z75" s="12">
        <f t="shared" si="16"/>
        <v>1.5050991920295629</v>
      </c>
      <c r="AA75" s="12">
        <f t="shared" si="17"/>
        <v>1.9620017848326949</v>
      </c>
      <c r="AB75" s="10">
        <f t="shared" si="22"/>
        <v>4.8769999999999998</v>
      </c>
      <c r="AC75" s="10">
        <f t="shared" si="23"/>
        <v>6.45</v>
      </c>
      <c r="AD75" s="10">
        <f t="shared" si="24"/>
        <v>0.45184000000000002</v>
      </c>
      <c r="AE75" s="12">
        <f t="shared" si="25"/>
        <v>1.0786336752714694</v>
      </c>
      <c r="AF75" s="12">
        <f t="shared" si="26"/>
        <v>0.213004</v>
      </c>
      <c r="AG75" s="12">
        <f t="shared" si="27"/>
        <v>0.14504400000000001</v>
      </c>
      <c r="AH75" s="10">
        <f t="shared" si="28"/>
        <v>1.0235638054148599</v>
      </c>
      <c r="AI75" s="10">
        <f t="shared" si="29"/>
        <v>1.7393359415057901</v>
      </c>
      <c r="AJ75" s="13">
        <f t="shared" si="30"/>
        <v>1.0235638054148599</v>
      </c>
      <c r="AK75" s="13">
        <f t="shared" si="31"/>
        <v>1.7393359415057901</v>
      </c>
    </row>
    <row r="76" spans="1:37">
      <c r="A76" s="8">
        <f>鋼床鈑!A76</f>
        <v>74</v>
      </c>
      <c r="B76" s="43" t="s">
        <v>41</v>
      </c>
      <c r="C76" s="43" t="s">
        <v>42</v>
      </c>
      <c r="D76" s="43" t="s">
        <v>153</v>
      </c>
      <c r="E76" s="44">
        <v>448680</v>
      </c>
      <c r="F76" s="45">
        <v>117721.04399999999</v>
      </c>
      <c r="G76" s="45">
        <v>166515.53</v>
      </c>
      <c r="H76" s="45">
        <v>929175241594.32898</v>
      </c>
      <c r="I76" s="45">
        <v>1675680455517.6001</v>
      </c>
      <c r="J76" s="45">
        <v>1017274380846.01</v>
      </c>
      <c r="K76" s="45">
        <v>3253.0284000000001</v>
      </c>
      <c r="L76" s="45">
        <v>3196.9715999999999</v>
      </c>
      <c r="M76" s="45">
        <v>1929.2109</v>
      </c>
      <c r="N76" s="45">
        <v>2868.7891</v>
      </c>
      <c r="O76" s="44">
        <v>0</v>
      </c>
      <c r="P76" s="44">
        <v>0</v>
      </c>
      <c r="Q76" s="44">
        <v>28482</v>
      </c>
      <c r="R76" s="44">
        <v>22358</v>
      </c>
      <c r="S76" s="11">
        <f>(鋼床鈑!O76+鋼床鈑!W76+鋼床鈑!X76)*鋼床鈑!U76+(鋼床鈑!R76+鋼床鈑!W76+鋼床鈑!X76)*鋼床鈑!V76</f>
        <v>145044</v>
      </c>
      <c r="T76" s="11">
        <f>(鋼床鈑!T76)*鋼床鈑!W76+(鋼床鈑!T76)*鋼床鈑!X76</f>
        <v>209528</v>
      </c>
      <c r="U76" s="11">
        <f>4*((鋼床鈑!R76+鋼床鈑!W76/2+鋼床鈑!X76/2)*(鋼床鈑!T76+鋼床鈑!U76/2+鋼床鈑!V76/2))^2/((鋼床鈑!O76+鋼床鈑!W76/2+鋼床鈑!X76/2)/鋼床鈑!U76+(鋼床鈑!R76+鋼床鈑!W76/2+鋼床鈑!X76/2)/鋼床鈑!V76+(鋼床鈑!T76+鋼床鈑!U76/2+鋼床鈑!V76/2)/鋼床鈑!W76+(鋼床鈑!T76+鋼床鈑!U76/2+鋼床鈑!V76/2)/鋼床鈑!X76)</f>
        <v>1054728393839.2765</v>
      </c>
      <c r="V76" s="12">
        <f t="shared" si="18"/>
        <v>0.3181993799525808</v>
      </c>
      <c r="W76" s="12">
        <f t="shared" si="19"/>
        <v>0.31271610811821071</v>
      </c>
      <c r="X76" s="12">
        <f t="shared" si="20"/>
        <v>0.86858334437028129</v>
      </c>
      <c r="Y76" s="12">
        <f t="shared" si="21"/>
        <v>0.58410723030061718</v>
      </c>
      <c r="Z76" s="12">
        <f t="shared" si="16"/>
        <v>1.5057424632450171</v>
      </c>
      <c r="AA76" s="12">
        <f t="shared" si="17"/>
        <v>1.9325344588396955</v>
      </c>
      <c r="AB76" s="10">
        <f t="shared" si="22"/>
        <v>4.798</v>
      </c>
      <c r="AC76" s="10">
        <f t="shared" si="23"/>
        <v>6.45</v>
      </c>
      <c r="AD76" s="10">
        <f t="shared" si="24"/>
        <v>0.44868000000000002</v>
      </c>
      <c r="AE76" s="12">
        <f t="shared" si="25"/>
        <v>1.0547283938392764</v>
      </c>
      <c r="AF76" s="12">
        <f t="shared" si="26"/>
        <v>0.20952799999999999</v>
      </c>
      <c r="AG76" s="12">
        <f t="shared" si="27"/>
        <v>0.14504400000000001</v>
      </c>
      <c r="AH76" s="10">
        <f t="shared" si="28"/>
        <v>1.0172743808460101</v>
      </c>
      <c r="AI76" s="10">
        <f t="shared" si="29"/>
        <v>1.6756804555176001</v>
      </c>
      <c r="AJ76" s="13">
        <f t="shared" si="30"/>
        <v>1.0172743808460101</v>
      </c>
      <c r="AK76" s="13">
        <f t="shared" si="31"/>
        <v>1.6756804555176001</v>
      </c>
    </row>
    <row r="77" spans="1:37">
      <c r="A77" s="8">
        <f>鋼床鈑!A77</f>
        <v>75</v>
      </c>
      <c r="B77" s="43" t="s">
        <v>41</v>
      </c>
      <c r="C77" s="43" t="s">
        <v>42</v>
      </c>
      <c r="D77" s="43" t="s">
        <v>154</v>
      </c>
      <c r="E77" s="44">
        <v>445680</v>
      </c>
      <c r="F77" s="45">
        <v>118126.1808</v>
      </c>
      <c r="G77" s="45">
        <v>163526.33059999999</v>
      </c>
      <c r="H77" s="45">
        <v>908974428909.33301</v>
      </c>
      <c r="I77" s="45">
        <v>1616525556938.76</v>
      </c>
      <c r="J77" s="45">
        <v>1011303317309.1</v>
      </c>
      <c r="K77" s="45">
        <v>3252.7123000000001</v>
      </c>
      <c r="L77" s="45">
        <v>3197.2876999999999</v>
      </c>
      <c r="M77" s="45">
        <v>1896.1853000000001</v>
      </c>
      <c r="N77" s="45">
        <v>2826.8146999999999</v>
      </c>
      <c r="O77" s="44">
        <v>0</v>
      </c>
      <c r="P77" s="44">
        <v>0</v>
      </c>
      <c r="Q77" s="44">
        <v>28332</v>
      </c>
      <c r="R77" s="44">
        <v>22208</v>
      </c>
      <c r="S77" s="11">
        <f>(鋼床鈑!O77+鋼床鈑!W77+鋼床鈑!X77)*鋼床鈑!U77+(鋼床鈑!R77+鋼床鈑!W77+鋼床鈑!X77)*鋼床鈑!V77</f>
        <v>145044</v>
      </c>
      <c r="T77" s="11">
        <f>(鋼床鈑!T77)*鋼床鈑!W77+(鋼床鈑!T77)*鋼床鈑!X77</f>
        <v>206228</v>
      </c>
      <c r="U77" s="11">
        <f>4*((鋼床鈑!R77+鋼床鈑!W77/2+鋼床鈑!X77/2)*(鋼床鈑!T77+鋼床鈑!U77/2+鋼床鈑!V77/2))^2/((鋼床鈑!O77+鋼床鈑!W77/2+鋼床鈑!X77/2)/鋼床鈑!U77+(鋼床鈑!R77+鋼床鈑!W77/2+鋼床鈑!X77/2)/鋼床鈑!V77+(鋼床鈑!T77+鋼床鈑!U77/2+鋼床鈑!V77/2)/鋼床鈑!W77+(鋼床鈑!T77+鋼床鈑!U77/2+鋼床鈑!V77/2)/鋼床鈑!X77)</f>
        <v>1032106737873.4774</v>
      </c>
      <c r="V77" s="12">
        <f t="shared" si="18"/>
        <v>0.31630038088505452</v>
      </c>
      <c r="W77" s="12">
        <f t="shared" si="19"/>
        <v>0.3109107796927198</v>
      </c>
      <c r="X77" s="12">
        <f t="shared" si="20"/>
        <v>0.85251454957422135</v>
      </c>
      <c r="Y77" s="12">
        <f t="shared" si="21"/>
        <v>0.57185409320913749</v>
      </c>
      <c r="Z77" s="12">
        <f t="shared" si="16"/>
        <v>1.5063612775147712</v>
      </c>
      <c r="AA77" s="12">
        <f t="shared" si="17"/>
        <v>1.9044944650554287</v>
      </c>
      <c r="AB77" s="10">
        <f t="shared" si="22"/>
        <v>4.7229999999999999</v>
      </c>
      <c r="AC77" s="10">
        <f t="shared" si="23"/>
        <v>6.45</v>
      </c>
      <c r="AD77" s="10">
        <f t="shared" si="24"/>
        <v>0.44568000000000002</v>
      </c>
      <c r="AE77" s="12">
        <f t="shared" si="25"/>
        <v>1.0321067378734774</v>
      </c>
      <c r="AF77" s="12">
        <f t="shared" si="26"/>
        <v>0.20622799999999999</v>
      </c>
      <c r="AG77" s="12">
        <f t="shared" si="27"/>
        <v>0.14504400000000001</v>
      </c>
      <c r="AH77" s="10">
        <f t="shared" si="28"/>
        <v>1.0113033173090999</v>
      </c>
      <c r="AI77" s="10">
        <f t="shared" si="29"/>
        <v>1.61652555693876</v>
      </c>
      <c r="AJ77" s="13">
        <f t="shared" si="30"/>
        <v>1.0113033173090999</v>
      </c>
      <c r="AK77" s="13">
        <f t="shared" si="31"/>
        <v>1.61652555693876</v>
      </c>
    </row>
    <row r="78" spans="1:37">
      <c r="A78" s="8">
        <f>鋼床鈑!A78</f>
        <v>76</v>
      </c>
      <c r="B78" s="43" t="s">
        <v>41</v>
      </c>
      <c r="C78" s="43" t="s">
        <v>42</v>
      </c>
      <c r="D78" s="43" t="s">
        <v>155</v>
      </c>
      <c r="E78" s="44">
        <v>442840</v>
      </c>
      <c r="F78" s="45">
        <v>118499.1859</v>
      </c>
      <c r="G78" s="45">
        <v>160694.514</v>
      </c>
      <c r="H78" s="45">
        <v>889891602692.92505</v>
      </c>
      <c r="I78" s="45">
        <v>1561664044656.55</v>
      </c>
      <c r="J78" s="45">
        <v>1005650627304.78</v>
      </c>
      <c r="K78" s="45">
        <v>3252.4090000000001</v>
      </c>
      <c r="L78" s="45">
        <v>3197.5909999999999</v>
      </c>
      <c r="M78" s="45">
        <v>1864.9768999999999</v>
      </c>
      <c r="N78" s="45">
        <v>2787.0230999999999</v>
      </c>
      <c r="O78" s="44">
        <v>0</v>
      </c>
      <c r="P78" s="44">
        <v>0</v>
      </c>
      <c r="Q78" s="44">
        <v>28190</v>
      </c>
      <c r="R78" s="44">
        <v>22066</v>
      </c>
      <c r="S78" s="11">
        <f>(鋼床鈑!O78+鋼床鈑!W78+鋼床鈑!X78)*鋼床鈑!U78+(鋼床鈑!R78+鋼床鈑!W78+鋼床鈑!X78)*鋼床鈑!V78</f>
        <v>145044</v>
      </c>
      <c r="T78" s="11">
        <f>(鋼床鈑!T78)*鋼床鈑!W78+(鋼床鈑!T78)*鋼床鈑!X78</f>
        <v>203104</v>
      </c>
      <c r="U78" s="11">
        <f>4*((鋼床鈑!R78+鋼床鈑!W78/2+鋼床鈑!X78/2)*(鋼床鈑!T78+鋼床鈑!U78/2+鋼床鈑!V78/2))^2/((鋼床鈑!O78+鋼床鈑!W78/2+鋼床鈑!X78/2)/鋼床鈑!U78+(鋼床鈑!R78+鋼床鈑!W78/2+鋼床鈑!X78/2)/鋼床鈑!V78+(鋼床鈑!T78+鋼床鈑!U78/2+鋼床鈑!V78/2)/鋼床鈑!W78+(鋼床鈑!T78+鋼床鈑!U78/2+鋼床鈑!V78/2)/鋼床鈑!X78)</f>
        <v>1010759274716.8184</v>
      </c>
      <c r="V78" s="12">
        <f t="shared" si="18"/>
        <v>0.31450258250813817</v>
      </c>
      <c r="W78" s="12">
        <f t="shared" si="19"/>
        <v>0.30920177238003588</v>
      </c>
      <c r="X78" s="12">
        <f t="shared" si="20"/>
        <v>0.83736374678772163</v>
      </c>
      <c r="Y78" s="12">
        <f t="shared" si="21"/>
        <v>0.56033408716868904</v>
      </c>
      <c r="Z78" s="12">
        <f t="shared" si="16"/>
        <v>1.5069545127199608</v>
      </c>
      <c r="AA78" s="12">
        <f t="shared" si="17"/>
        <v>1.8778910176180512</v>
      </c>
      <c r="AB78" s="10">
        <f t="shared" si="22"/>
        <v>4.6520000000000001</v>
      </c>
      <c r="AC78" s="10">
        <f t="shared" si="23"/>
        <v>6.45</v>
      </c>
      <c r="AD78" s="10">
        <f t="shared" si="24"/>
        <v>0.44284000000000001</v>
      </c>
      <c r="AE78" s="12">
        <f t="shared" si="25"/>
        <v>1.0107592747168184</v>
      </c>
      <c r="AF78" s="12">
        <f t="shared" si="26"/>
        <v>0.20310400000000001</v>
      </c>
      <c r="AG78" s="12">
        <f t="shared" si="27"/>
        <v>0.14504400000000001</v>
      </c>
      <c r="AH78" s="10">
        <f t="shared" si="28"/>
        <v>1.0056506273047801</v>
      </c>
      <c r="AI78" s="10">
        <f t="shared" si="29"/>
        <v>1.56166404465655</v>
      </c>
      <c r="AJ78" s="13">
        <f t="shared" si="30"/>
        <v>1.0056506273047801</v>
      </c>
      <c r="AK78" s="13">
        <f t="shared" si="31"/>
        <v>1.56166404465655</v>
      </c>
    </row>
    <row r="79" spans="1:37">
      <c r="A79" s="8">
        <f>鋼床鈑!A79</f>
        <v>77</v>
      </c>
      <c r="B79" s="43" t="s">
        <v>41</v>
      </c>
      <c r="C79" s="43" t="s">
        <v>42</v>
      </c>
      <c r="D79" s="43" t="s">
        <v>156</v>
      </c>
      <c r="E79" s="44">
        <v>440200</v>
      </c>
      <c r="F79" s="45">
        <v>118853.4262</v>
      </c>
      <c r="G79" s="45">
        <v>158063.15359999999</v>
      </c>
      <c r="H79" s="45">
        <v>872238703413.37</v>
      </c>
      <c r="I79" s="45">
        <v>1511652398022.02</v>
      </c>
      <c r="J79" s="45">
        <v>1000395940099.46</v>
      </c>
      <c r="K79" s="45">
        <v>3252.1235999999999</v>
      </c>
      <c r="L79" s="45">
        <v>3197.8764000000001</v>
      </c>
      <c r="M79" s="45">
        <v>1836.0159000000001</v>
      </c>
      <c r="N79" s="45">
        <v>2749.9841000000001</v>
      </c>
      <c r="O79" s="44">
        <v>0</v>
      </c>
      <c r="P79" s="44">
        <v>0</v>
      </c>
      <c r="Q79" s="44">
        <v>28058</v>
      </c>
      <c r="R79" s="44">
        <v>21934</v>
      </c>
      <c r="S79" s="11">
        <f>(鋼床鈑!O79+鋼床鈑!W79+鋼床鈑!X79)*鋼床鈑!U79+(鋼床鈑!R79+鋼床鈑!W79+鋼床鈑!X79)*鋼床鈑!V79</f>
        <v>145044</v>
      </c>
      <c r="T79" s="11">
        <f>(鋼床鈑!T79)*鋼床鈑!W79+(鋼床鈑!T79)*鋼床鈑!X79</f>
        <v>200200</v>
      </c>
      <c r="U79" s="11">
        <f>4*((鋼床鈑!R79+鋼床鈑!W79/2+鋼床鈑!X79/2)*(鋼床鈑!T79+鋼床鈑!U79/2+鋼床鈑!V79/2))^2/((鋼床鈑!O79+鋼床鈑!W79/2+鋼床鈑!X79/2)/鋼床鈑!U79+(鋼床鈑!R79+鋼床鈑!W79/2+鋼床鈑!X79/2)/鋼床鈑!V79+(鋼床鈑!T79+鋼床鈑!U79/2+鋼床鈑!V79/2)/鋼床鈑!W79+(鋼床鈑!T79+鋼床鈑!U79/2+鋼床鈑!V79/2)/鋼床鈑!X79)</f>
        <v>990975902274.0376</v>
      </c>
      <c r="V79" s="12">
        <f t="shared" si="18"/>
        <v>0.31283133397509044</v>
      </c>
      <c r="W79" s="12">
        <f t="shared" si="19"/>
        <v>0.30761313625947673</v>
      </c>
      <c r="X79" s="12">
        <f t="shared" si="20"/>
        <v>0.82333295589761502</v>
      </c>
      <c r="Y79" s="12">
        <f t="shared" si="21"/>
        <v>0.54969495933522661</v>
      </c>
      <c r="Z79" s="12">
        <f t="shared" si="16"/>
        <v>1.5075125668642557</v>
      </c>
      <c r="AA79" s="12">
        <f t="shared" si="17"/>
        <v>1.8531089328468699</v>
      </c>
      <c r="AB79" s="10">
        <f t="shared" si="22"/>
        <v>4.5860000000000003</v>
      </c>
      <c r="AC79" s="10">
        <f t="shared" si="23"/>
        <v>6.45</v>
      </c>
      <c r="AD79" s="10">
        <f t="shared" si="24"/>
        <v>0.44019999999999998</v>
      </c>
      <c r="AE79" s="12">
        <f t="shared" si="25"/>
        <v>0.99097590227403765</v>
      </c>
      <c r="AF79" s="12">
        <f t="shared" si="26"/>
        <v>0.20019999999999999</v>
      </c>
      <c r="AG79" s="12">
        <f t="shared" si="27"/>
        <v>0.14504400000000001</v>
      </c>
      <c r="AH79" s="10">
        <f t="shared" si="28"/>
        <v>1.00039594009946</v>
      </c>
      <c r="AI79" s="10">
        <f t="shared" si="29"/>
        <v>1.51165239802202</v>
      </c>
      <c r="AJ79" s="13">
        <f t="shared" si="30"/>
        <v>1.00039594009946</v>
      </c>
      <c r="AK79" s="13">
        <f t="shared" si="31"/>
        <v>1.51165239802202</v>
      </c>
    </row>
    <row r="80" spans="1:37">
      <c r="A80" s="8">
        <f>鋼床鈑!A80</f>
        <v>78</v>
      </c>
      <c r="B80" s="43" t="s">
        <v>41</v>
      </c>
      <c r="C80" s="43" t="s">
        <v>42</v>
      </c>
      <c r="D80" s="43" t="s">
        <v>157</v>
      </c>
      <c r="E80" s="44">
        <v>437640</v>
      </c>
      <c r="F80" s="45">
        <v>119186.11440000001</v>
      </c>
      <c r="G80" s="45">
        <v>155508.87669999999</v>
      </c>
      <c r="H80" s="45">
        <v>855145848599.00098</v>
      </c>
      <c r="I80" s="45">
        <v>1464058047968.28</v>
      </c>
      <c r="J80" s="45">
        <v>995300416533.43701</v>
      </c>
      <c r="K80" s="45">
        <v>3251.8434999999999</v>
      </c>
      <c r="L80" s="45">
        <v>3198.1565000000001</v>
      </c>
      <c r="M80" s="45">
        <v>1807.9791</v>
      </c>
      <c r="N80" s="45">
        <v>2714.0209</v>
      </c>
      <c r="O80" s="44">
        <v>0</v>
      </c>
      <c r="P80" s="44">
        <v>0</v>
      </c>
      <c r="Q80" s="44">
        <v>27930</v>
      </c>
      <c r="R80" s="44">
        <v>21806</v>
      </c>
      <c r="S80" s="11">
        <f>(鋼床鈑!O80+鋼床鈑!W80+鋼床鈑!X80)*鋼床鈑!U80+(鋼床鈑!R80+鋼床鈑!W80+鋼床鈑!X80)*鋼床鈑!V80</f>
        <v>145044</v>
      </c>
      <c r="T80" s="11">
        <f>(鋼床鈑!T80)*鋼床鈑!W80+(鋼床鈑!T80)*鋼床鈑!X80</f>
        <v>197384</v>
      </c>
      <c r="U80" s="11">
        <f>4*((鋼床鈑!R80+鋼床鈑!W80/2+鋼床鈑!X80/2)*(鋼床鈑!T80+鋼床鈑!U80/2+鋼床鈑!V80/2))^2/((鋼床鈑!O80+鋼床鈑!W80/2+鋼床鈑!X80/2)/鋼床鈑!U80+(鋼床鈑!R80+鋼床鈑!W80/2+鋼床鈑!X80/2)/鋼床鈑!V80+(鋼床鈑!T80+鋼床鈑!U80/2+鋼床鈑!V80/2)/鋼床鈑!W80+(鋼床鈑!T80+鋼床鈑!U80/2+鋼床鈑!V80/2)/鋼床鈑!X80)</f>
        <v>971849454495.22351</v>
      </c>
      <c r="V80" s="12">
        <f t="shared" si="18"/>
        <v>0.3112106666867106</v>
      </c>
      <c r="W80" s="12">
        <f t="shared" si="19"/>
        <v>0.30607266817527873</v>
      </c>
      <c r="X80" s="12">
        <f t="shared" si="20"/>
        <v>0.80977598024682917</v>
      </c>
      <c r="Y80" s="12">
        <f t="shared" si="21"/>
        <v>0.5394424368538504</v>
      </c>
      <c r="Z80" s="12">
        <f t="shared" si="16"/>
        <v>1.508059886864145</v>
      </c>
      <c r="AA80" s="12">
        <f t="shared" si="17"/>
        <v>1.8290292190211666</v>
      </c>
      <c r="AB80" s="10">
        <f t="shared" si="22"/>
        <v>4.5220000000000002</v>
      </c>
      <c r="AC80" s="10">
        <f t="shared" si="23"/>
        <v>6.45</v>
      </c>
      <c r="AD80" s="10">
        <f t="shared" si="24"/>
        <v>0.43763999999999997</v>
      </c>
      <c r="AE80" s="12">
        <f t="shared" si="25"/>
        <v>0.97184945449522353</v>
      </c>
      <c r="AF80" s="12">
        <f t="shared" si="26"/>
        <v>0.197384</v>
      </c>
      <c r="AG80" s="12">
        <f t="shared" si="27"/>
        <v>0.14504400000000001</v>
      </c>
      <c r="AH80" s="10">
        <f t="shared" si="28"/>
        <v>0.99530041653343704</v>
      </c>
      <c r="AI80" s="10">
        <f t="shared" si="29"/>
        <v>1.4640580479682801</v>
      </c>
      <c r="AJ80" s="13">
        <f t="shared" si="30"/>
        <v>0.99530041653343704</v>
      </c>
      <c r="AK80" s="13">
        <f t="shared" si="31"/>
        <v>1.4640580479682801</v>
      </c>
    </row>
    <row r="81" spans="1:37">
      <c r="A81" s="8">
        <f>鋼床鈑!A81</f>
        <v>79</v>
      </c>
      <c r="B81" s="43" t="s">
        <v>41</v>
      </c>
      <c r="C81" s="43" t="s">
        <v>42</v>
      </c>
      <c r="D81" s="43" t="s">
        <v>158</v>
      </c>
      <c r="E81" s="44">
        <v>435280</v>
      </c>
      <c r="F81" s="45">
        <v>119490.8959</v>
      </c>
      <c r="G81" s="45">
        <v>153155.10889999999</v>
      </c>
      <c r="H81" s="45">
        <v>839445584746.64197</v>
      </c>
      <c r="I81" s="45">
        <v>1420963799528.27</v>
      </c>
      <c r="J81" s="45">
        <v>990602919244.64502</v>
      </c>
      <c r="K81" s="45">
        <v>3251.5823999999998</v>
      </c>
      <c r="L81" s="45">
        <v>3198.4176000000002</v>
      </c>
      <c r="M81" s="45">
        <v>1782.1739</v>
      </c>
      <c r="N81" s="45">
        <v>2680.8261000000002</v>
      </c>
      <c r="O81" s="44">
        <v>0</v>
      </c>
      <c r="P81" s="44">
        <v>0</v>
      </c>
      <c r="Q81" s="44">
        <v>27812</v>
      </c>
      <c r="R81" s="44">
        <v>21688</v>
      </c>
      <c r="S81" s="11">
        <f>(鋼床鈑!O81+鋼床鈑!W81+鋼床鈑!X81)*鋼床鈑!U81+(鋼床鈑!R81+鋼床鈑!W81+鋼床鈑!X81)*鋼床鈑!V81</f>
        <v>145044</v>
      </c>
      <c r="T81" s="11">
        <f>(鋼床鈑!T81)*鋼床鈑!W81+(鋼床鈑!T81)*鋼床鈑!X81</f>
        <v>194788</v>
      </c>
      <c r="U81" s="11">
        <f>4*((鋼床鈑!R81+鋼床鈑!W81/2+鋼床鈑!X81/2)*(鋼床鈑!T81+鋼床鈑!U81/2+鋼床鈑!V81/2))^2/((鋼床鈑!O81+鋼床鈑!W81/2+鋼床鈑!X81/2)/鋼床鈑!U81+(鋼床鈑!R81+鋼床鈑!W81/2+鋼床鈑!X81/2)/鋼床鈑!V81+(鋼床鈑!T81+鋼床鈑!U81/2+鋼床鈑!V81/2)/鋼床鈑!W81+(鋼床鈑!T81+鋼床鈑!U81/2+鋼床鈑!V81/2)/鋼床鈑!X81)</f>
        <v>954268652182.6333</v>
      </c>
      <c r="V81" s="12">
        <f t="shared" si="18"/>
        <v>0.30971656710638562</v>
      </c>
      <c r="W81" s="12">
        <f t="shared" si="19"/>
        <v>0.30465256523858819</v>
      </c>
      <c r="X81" s="12">
        <f t="shared" si="20"/>
        <v>0.79732050813238253</v>
      </c>
      <c r="Y81" s="12">
        <f t="shared" si="21"/>
        <v>0.53004698795206062</v>
      </c>
      <c r="Z81" s="12">
        <f t="shared" si="16"/>
        <v>1.5085699248828319</v>
      </c>
      <c r="AA81" s="12">
        <f t="shared" si="17"/>
        <v>1.8067878047272294</v>
      </c>
      <c r="AB81" s="10">
        <f t="shared" si="22"/>
        <v>4.4630000000000001</v>
      </c>
      <c r="AC81" s="10">
        <f t="shared" si="23"/>
        <v>6.45</v>
      </c>
      <c r="AD81" s="10">
        <f t="shared" si="24"/>
        <v>0.43528</v>
      </c>
      <c r="AE81" s="12">
        <f t="shared" si="25"/>
        <v>0.95426865218263335</v>
      </c>
      <c r="AF81" s="12">
        <f t="shared" si="26"/>
        <v>0.19478799999999999</v>
      </c>
      <c r="AG81" s="12">
        <f t="shared" si="27"/>
        <v>0.14504400000000001</v>
      </c>
      <c r="AH81" s="10">
        <f t="shared" si="28"/>
        <v>0.99060291924464505</v>
      </c>
      <c r="AI81" s="10">
        <f t="shared" si="29"/>
        <v>1.42096379952827</v>
      </c>
      <c r="AJ81" s="13">
        <f t="shared" si="30"/>
        <v>0.99060291924464505</v>
      </c>
      <c r="AK81" s="13">
        <f t="shared" si="31"/>
        <v>1.42096379952827</v>
      </c>
    </row>
    <row r="82" spans="1:37">
      <c r="A82" s="8">
        <f>鋼床鈑!A82</f>
        <v>80</v>
      </c>
      <c r="B82" s="43" t="s">
        <v>41</v>
      </c>
      <c r="C82" s="43" t="s">
        <v>42</v>
      </c>
      <c r="D82" s="43" t="s">
        <v>159</v>
      </c>
      <c r="E82" s="44">
        <v>433080</v>
      </c>
      <c r="F82" s="45">
        <v>119783.4856</v>
      </c>
      <c r="G82" s="45">
        <v>150961.35800000001</v>
      </c>
      <c r="H82" s="45">
        <v>824874967824.78101</v>
      </c>
      <c r="I82" s="45">
        <v>1381462763899.45</v>
      </c>
      <c r="J82" s="45">
        <v>986223842337.95105</v>
      </c>
      <c r="K82" s="45">
        <v>3251.3364999999999</v>
      </c>
      <c r="L82" s="45">
        <v>3198.6635000000001</v>
      </c>
      <c r="M82" s="45">
        <v>1758.1545000000001</v>
      </c>
      <c r="N82" s="45">
        <v>2649.8454999999999</v>
      </c>
      <c r="O82" s="44">
        <v>0</v>
      </c>
      <c r="P82" s="44">
        <v>0</v>
      </c>
      <c r="Q82" s="44">
        <v>27702</v>
      </c>
      <c r="R82" s="44">
        <v>21578</v>
      </c>
      <c r="S82" s="11">
        <f>(鋼床鈑!O82+鋼床鈑!W82+鋼床鈑!X82)*鋼床鈑!U82+(鋼床鈑!R82+鋼床鈑!W82+鋼床鈑!X82)*鋼床鈑!V82</f>
        <v>145044</v>
      </c>
      <c r="T82" s="11">
        <f>(鋼床鈑!T82)*鋼床鈑!W82+(鋼床鈑!T82)*鋼床鈑!X82</f>
        <v>192368</v>
      </c>
      <c r="U82" s="11">
        <f>4*((鋼床鈑!R82+鋼床鈑!W82/2+鋼床鈑!X82/2)*(鋼床鈑!T82+鋼床鈑!U82/2+鋼床鈑!V82/2))^2/((鋼床鈑!O82+鋼床鈑!W82/2+鋼床鈑!X82/2)/鋼床鈑!U82+(鋼床鈑!R82+鋼床鈑!W82/2+鋼床鈑!X82/2)/鋼床鈑!V82+(鋼床鈑!T82+鋼床鈑!U82/2+鋼床鈑!V82/2)/鋼床鈑!W82+(鋼床鈑!T82+鋼床鈑!U82/2+鋼床鈑!V82/2)/鋼床鈑!X82)</f>
        <v>937925264779.17188</v>
      </c>
      <c r="V82" s="12">
        <f t="shared" si="18"/>
        <v>0.30832372406098701</v>
      </c>
      <c r="W82" s="12">
        <f t="shared" si="19"/>
        <v>0.30332875183419222</v>
      </c>
      <c r="X82" s="12">
        <f t="shared" si="20"/>
        <v>0.78574594206564319</v>
      </c>
      <c r="Y82" s="12">
        <f t="shared" si="21"/>
        <v>0.52133709829476849</v>
      </c>
      <c r="Z82" s="12">
        <f t="shared" si="16"/>
        <v>1.5090501912686862</v>
      </c>
      <c r="AA82" s="12">
        <f t="shared" si="17"/>
        <v>1.786016750315754</v>
      </c>
      <c r="AB82" s="10">
        <f t="shared" si="22"/>
        <v>4.4080000000000004</v>
      </c>
      <c r="AC82" s="10">
        <f t="shared" si="23"/>
        <v>6.45</v>
      </c>
      <c r="AD82" s="10">
        <f t="shared" si="24"/>
        <v>0.43308000000000002</v>
      </c>
      <c r="AE82" s="12">
        <f t="shared" si="25"/>
        <v>0.93792526477917193</v>
      </c>
      <c r="AF82" s="12">
        <f t="shared" si="26"/>
        <v>0.19236800000000001</v>
      </c>
      <c r="AG82" s="12">
        <f t="shared" si="27"/>
        <v>0.14504400000000001</v>
      </c>
      <c r="AH82" s="10">
        <f t="shared" si="28"/>
        <v>0.98622384233795102</v>
      </c>
      <c r="AI82" s="10">
        <f t="shared" si="29"/>
        <v>1.3814627638994499</v>
      </c>
      <c r="AJ82" s="13">
        <f t="shared" si="30"/>
        <v>0.98622384233795102</v>
      </c>
      <c r="AK82" s="13">
        <f t="shared" si="31"/>
        <v>1.3814627638994499</v>
      </c>
    </row>
    <row r="83" spans="1:37">
      <c r="A83" s="8">
        <f>鋼床鈑!A83</f>
        <v>81</v>
      </c>
      <c r="B83" s="43" t="s">
        <v>41</v>
      </c>
      <c r="C83" s="43" t="s">
        <v>42</v>
      </c>
      <c r="D83" s="43" t="s">
        <v>160</v>
      </c>
      <c r="E83" s="44">
        <v>431000</v>
      </c>
      <c r="F83" s="45">
        <v>120049.72779999999</v>
      </c>
      <c r="G83" s="45">
        <v>148885.82149999999</v>
      </c>
      <c r="H83" s="45">
        <v>811115579840.25903</v>
      </c>
      <c r="I83" s="45">
        <v>1344709054007.27</v>
      </c>
      <c r="J83" s="45">
        <v>982083575504.41797</v>
      </c>
      <c r="K83" s="45">
        <v>3251.1016</v>
      </c>
      <c r="L83" s="45">
        <v>3198.8984</v>
      </c>
      <c r="M83" s="45">
        <v>1735.4780000000001</v>
      </c>
      <c r="N83" s="45">
        <v>2620.5219999999999</v>
      </c>
      <c r="O83" s="44">
        <v>0</v>
      </c>
      <c r="P83" s="44">
        <v>0</v>
      </c>
      <c r="Q83" s="44">
        <v>27598</v>
      </c>
      <c r="R83" s="44">
        <v>21474</v>
      </c>
      <c r="S83" s="11">
        <f>(鋼床鈑!O83+鋼床鈑!W83+鋼床鈑!X83)*鋼床鈑!U83+(鋼床鈑!R83+鋼床鈑!W83+鋼床鈑!X83)*鋼床鈑!V83</f>
        <v>145044</v>
      </c>
      <c r="T83" s="11">
        <f>(鋼床鈑!T83)*鋼床鈑!W83+(鋼床鈑!T83)*鋼床鈑!X83</f>
        <v>190080</v>
      </c>
      <c r="U83" s="11">
        <f>4*((鋼床鈑!R83+鋼床鈑!W83/2+鋼床鈑!X83/2)*(鋼床鈑!T83+鋼床鈑!U83/2+鋼床鈑!V83/2))^2/((鋼床鈑!O83+鋼床鈑!W83/2+鋼床鈑!X83/2)/鋼床鈑!U83+(鋼床鈑!R83+鋼床鈑!W83/2+鋼床鈑!X83/2)/鋼床鈑!V83+(鋼床鈑!T83+鋼床鈑!U83/2+鋼床鈑!V83/2)/鋼床鈑!W83+(鋼床鈑!T83+鋼床鈑!U83/2+鋼床鈑!V83/2)/鋼床鈑!X83)</f>
        <v>922514642523.16113</v>
      </c>
      <c r="V83" s="12">
        <f t="shared" si="18"/>
        <v>0.30700680443755823</v>
      </c>
      <c r="W83" s="12">
        <f t="shared" si="19"/>
        <v>0.30207717147456048</v>
      </c>
      <c r="X83" s="12">
        <f t="shared" si="20"/>
        <v>0.77483497572845628</v>
      </c>
      <c r="Y83" s="12">
        <f t="shared" si="21"/>
        <v>0.51314549315261238</v>
      </c>
      <c r="Z83" s="12">
        <f t="shared" si="16"/>
        <v>1.5095085903912593</v>
      </c>
      <c r="AA83" s="12">
        <f t="shared" si="17"/>
        <v>1.7663449842160301</v>
      </c>
      <c r="AB83" s="10">
        <f t="shared" si="22"/>
        <v>4.3559999999999999</v>
      </c>
      <c r="AC83" s="10">
        <f t="shared" si="23"/>
        <v>6.45</v>
      </c>
      <c r="AD83" s="10">
        <f t="shared" si="24"/>
        <v>0.43099999999999999</v>
      </c>
      <c r="AE83" s="12">
        <f t="shared" si="25"/>
        <v>0.92251464252316118</v>
      </c>
      <c r="AF83" s="12">
        <f t="shared" si="26"/>
        <v>0.19008</v>
      </c>
      <c r="AG83" s="12">
        <f t="shared" si="27"/>
        <v>0.14504400000000001</v>
      </c>
      <c r="AH83" s="10">
        <f t="shared" si="28"/>
        <v>0.98208357550441794</v>
      </c>
      <c r="AI83" s="10">
        <f t="shared" si="29"/>
        <v>1.3447090540072699</v>
      </c>
      <c r="AJ83" s="13">
        <f t="shared" si="30"/>
        <v>0.98208357550441794</v>
      </c>
      <c r="AK83" s="13">
        <f t="shared" si="31"/>
        <v>1.3447090540072699</v>
      </c>
    </row>
    <row r="84" spans="1:37">
      <c r="A84" s="8">
        <f>鋼床鈑!A84</f>
        <v>82</v>
      </c>
      <c r="B84" s="43" t="s">
        <v>41</v>
      </c>
      <c r="C84" s="43" t="s">
        <v>42</v>
      </c>
      <c r="D84" s="43" t="s">
        <v>161</v>
      </c>
      <c r="E84" s="44">
        <v>429080</v>
      </c>
      <c r="F84" s="45">
        <v>120294.1122</v>
      </c>
      <c r="G84" s="45">
        <v>146970.14749999999</v>
      </c>
      <c r="H84" s="45">
        <v>798451127546.25806</v>
      </c>
      <c r="I84" s="45">
        <v>1311291287205.0601</v>
      </c>
      <c r="J84" s="45">
        <v>978261748143.69897</v>
      </c>
      <c r="K84" s="45">
        <v>3250.8827999999999</v>
      </c>
      <c r="L84" s="45">
        <v>3199.1172000000001</v>
      </c>
      <c r="M84" s="45">
        <v>1714.5743</v>
      </c>
      <c r="N84" s="45">
        <v>2593.4256999999998</v>
      </c>
      <c r="O84" s="44">
        <v>0</v>
      </c>
      <c r="P84" s="44">
        <v>0</v>
      </c>
      <c r="Q84" s="44">
        <v>27502</v>
      </c>
      <c r="R84" s="44">
        <v>21378</v>
      </c>
      <c r="S84" s="11">
        <f>(鋼床鈑!O84+鋼床鈑!W84+鋼床鈑!X84)*鋼床鈑!U84+(鋼床鈑!R84+鋼床鈑!W84+鋼床鈑!X84)*鋼床鈑!V84</f>
        <v>145044</v>
      </c>
      <c r="T84" s="11">
        <f>(鋼床鈑!T84)*鋼床鈑!W84+(鋼床鈑!T84)*鋼床鈑!X84</f>
        <v>187968</v>
      </c>
      <c r="U84" s="11">
        <f>4*((鋼床鈑!R84+鋼床鈑!W84/2+鋼床鈑!X84/2)*(鋼床鈑!T84+鋼床鈑!U84/2+鋼床鈑!V84/2))^2/((鋼床鈑!O84+鋼床鈑!W84/2+鋼床鈑!X84/2)/鋼床鈑!U84+(鋼床鈑!R84+鋼床鈑!W84/2+鋼床鈑!X84/2)/鋼床鈑!V84+(鋼床鈑!T84+鋼床鈑!U84/2+鋼床鈑!V84/2)/鋼床鈑!W84+(鋼床鈑!T84+鋼床鈑!U84/2+鋼床鈑!V84/2)/鋼床鈑!X84)</f>
        <v>908325863675.87073</v>
      </c>
      <c r="V84" s="12">
        <f t="shared" si="18"/>
        <v>0.30579115643018606</v>
      </c>
      <c r="W84" s="12">
        <f t="shared" si="19"/>
        <v>0.30092187517301422</v>
      </c>
      <c r="X84" s="12">
        <f t="shared" si="20"/>
        <v>0.76479117131585383</v>
      </c>
      <c r="Y84" s="12">
        <f t="shared" si="21"/>
        <v>0.50562130513515791</v>
      </c>
      <c r="Z84" s="12">
        <f t="shared" si="16"/>
        <v>1.5099355145487805</v>
      </c>
      <c r="AA84" s="12">
        <f t="shared" si="17"/>
        <v>1.7481570735308771</v>
      </c>
      <c r="AB84" s="10">
        <f t="shared" si="22"/>
        <v>4.3079999999999998</v>
      </c>
      <c r="AC84" s="10">
        <f t="shared" si="23"/>
        <v>6.45</v>
      </c>
      <c r="AD84" s="10">
        <f t="shared" si="24"/>
        <v>0.42908000000000002</v>
      </c>
      <c r="AE84" s="12">
        <f t="shared" si="25"/>
        <v>0.90832586367587076</v>
      </c>
      <c r="AF84" s="12">
        <f t="shared" si="26"/>
        <v>0.187968</v>
      </c>
      <c r="AG84" s="12">
        <f t="shared" si="27"/>
        <v>0.14504400000000001</v>
      </c>
      <c r="AH84" s="10">
        <f t="shared" si="28"/>
        <v>0.97826174814369893</v>
      </c>
      <c r="AI84" s="10">
        <f t="shared" si="29"/>
        <v>1.3112912872050602</v>
      </c>
      <c r="AJ84" s="13">
        <f t="shared" si="30"/>
        <v>0.97826174814369893</v>
      </c>
      <c r="AK84" s="13">
        <f t="shared" si="31"/>
        <v>1.3112912872050602</v>
      </c>
    </row>
    <row r="85" spans="1:37">
      <c r="A85" s="8">
        <f>鋼床鈑!A85</f>
        <v>83</v>
      </c>
      <c r="B85" s="43" t="s">
        <v>41</v>
      </c>
      <c r="C85" s="43" t="s">
        <v>42</v>
      </c>
      <c r="D85" s="43" t="s">
        <v>162</v>
      </c>
      <c r="E85" s="44">
        <v>427320</v>
      </c>
      <c r="F85" s="45">
        <v>120528.1048</v>
      </c>
      <c r="G85" s="45">
        <v>145215.48980000001</v>
      </c>
      <c r="H85" s="45">
        <v>786899287402.29504</v>
      </c>
      <c r="I85" s="45">
        <v>1281085327181.6499</v>
      </c>
      <c r="J85" s="45">
        <v>974758369993.54102</v>
      </c>
      <c r="K85" s="45">
        <v>3250.6804999999999</v>
      </c>
      <c r="L85" s="45">
        <v>3199.3195000000001</v>
      </c>
      <c r="M85" s="45">
        <v>1695.4371000000001</v>
      </c>
      <c r="N85" s="45">
        <v>2568.5628999999999</v>
      </c>
      <c r="O85" s="44">
        <v>0</v>
      </c>
      <c r="P85" s="44">
        <v>0</v>
      </c>
      <c r="Q85" s="44">
        <v>27414</v>
      </c>
      <c r="R85" s="44">
        <v>21290</v>
      </c>
      <c r="S85" s="11">
        <f>(鋼床鈑!O85+鋼床鈑!W85+鋼床鈑!X85)*鋼床鈑!U85+(鋼床鈑!R85+鋼床鈑!W85+鋼床鈑!X85)*鋼床鈑!V85</f>
        <v>145044</v>
      </c>
      <c r="T85" s="11">
        <f>(鋼床鈑!T85)*鋼床鈑!W85+(鋼床鈑!T85)*鋼床鈑!X85</f>
        <v>186032</v>
      </c>
      <c r="U85" s="11">
        <f>4*((鋼床鈑!R85+鋼床鈑!W85/2+鋼床鈑!X85/2)*(鋼床鈑!T85+鋼床鈑!U85/2+鋼床鈑!V85/2))^2/((鋼床鈑!O85+鋼床鈑!W85/2+鋼床鈑!X85/2)/鋼床鈑!U85+(鋼床鈑!R85+鋼床鈑!W85/2+鋼床鈑!X85/2)/鋼床鈑!V85+(鋼床鈑!T85+鋼床鈑!U85/2+鋼床鈑!V85/2)/鋼床鈑!W85+(鋼床鈑!T85+鋼床鈑!U85/2+鋼床鈑!V85/2)/鋼床鈑!X85)</f>
        <v>895350814107.11218</v>
      </c>
      <c r="V85" s="12">
        <f t="shared" si="18"/>
        <v>0.30467678204491333</v>
      </c>
      <c r="W85" s="12">
        <f t="shared" si="19"/>
        <v>0.29986286563491582</v>
      </c>
      <c r="X85" s="12">
        <f t="shared" si="20"/>
        <v>0.75560769973810871</v>
      </c>
      <c r="Y85" s="12">
        <f t="shared" si="21"/>
        <v>0.49875567663990233</v>
      </c>
      <c r="Z85" s="12">
        <f t="shared" si="16"/>
        <v>1.5103300963336719</v>
      </c>
      <c r="AA85" s="12">
        <f t="shared" si="17"/>
        <v>1.7314598233476846</v>
      </c>
      <c r="AB85" s="10">
        <f t="shared" si="22"/>
        <v>4.2640000000000002</v>
      </c>
      <c r="AC85" s="10">
        <f t="shared" si="23"/>
        <v>6.45</v>
      </c>
      <c r="AD85" s="10">
        <f t="shared" si="24"/>
        <v>0.42731999999999998</v>
      </c>
      <c r="AE85" s="12">
        <f t="shared" si="25"/>
        <v>0.89535081410711215</v>
      </c>
      <c r="AF85" s="12">
        <f t="shared" si="26"/>
        <v>0.186032</v>
      </c>
      <c r="AG85" s="12">
        <f t="shared" si="27"/>
        <v>0.14504400000000001</v>
      </c>
      <c r="AH85" s="10">
        <f t="shared" si="28"/>
        <v>0.97475836999354104</v>
      </c>
      <c r="AI85" s="10">
        <f t="shared" si="29"/>
        <v>1.2810853271816498</v>
      </c>
      <c r="AJ85" s="13">
        <f t="shared" si="30"/>
        <v>0.97475836999354104</v>
      </c>
      <c r="AK85" s="13">
        <f t="shared" si="31"/>
        <v>1.2810853271816498</v>
      </c>
    </row>
    <row r="86" spans="1:37">
      <c r="A86" s="8">
        <f>鋼床鈑!A86</f>
        <v>84</v>
      </c>
      <c r="B86" s="43" t="s">
        <v>41</v>
      </c>
      <c r="C86" s="43" t="s">
        <v>42</v>
      </c>
      <c r="D86" s="43" t="s">
        <v>163</v>
      </c>
      <c r="E86" s="44">
        <v>425720</v>
      </c>
      <c r="F86" s="45">
        <v>120730.325</v>
      </c>
      <c r="G86" s="45">
        <v>143618.731</v>
      </c>
      <c r="H86" s="45">
        <v>776397566714.18799</v>
      </c>
      <c r="I86" s="45">
        <v>1253978231042.4299</v>
      </c>
      <c r="J86" s="45">
        <v>971573450175.58704</v>
      </c>
      <c r="K86" s="45">
        <v>3250.4951999999998</v>
      </c>
      <c r="L86" s="45">
        <v>3199.5048000000002</v>
      </c>
      <c r="M86" s="45">
        <v>1678.0601999999999</v>
      </c>
      <c r="N86" s="45">
        <v>2545.9398000000001</v>
      </c>
      <c r="O86" s="44">
        <v>0</v>
      </c>
      <c r="P86" s="44">
        <v>0</v>
      </c>
      <c r="Q86" s="44">
        <v>27334</v>
      </c>
      <c r="R86" s="44">
        <v>21210</v>
      </c>
      <c r="S86" s="11">
        <f>(鋼床鈑!O86+鋼床鈑!W86+鋼床鈑!X86)*鋼床鈑!U86+(鋼床鈑!R86+鋼床鈑!W86+鋼床鈑!X86)*鋼床鈑!V86</f>
        <v>145044</v>
      </c>
      <c r="T86" s="11">
        <f>(鋼床鈑!T86)*鋼床鈑!W86+(鋼床鈑!T86)*鋼床鈑!X86</f>
        <v>184272</v>
      </c>
      <c r="U86" s="11">
        <f>4*((鋼床鈑!R86+鋼床鈑!W86/2+鋼床鈑!X86/2)*(鋼床鈑!T86+鋼床鈑!U86/2+鋼床鈑!V86/2))^2/((鋼床鈑!O86+鋼床鈑!W86/2+鋼床鈑!X86/2)/鋼床鈑!U86+(鋼床鈑!R86+鋼床鈑!W86/2+鋼床鈑!X86/2)/鋼床鈑!V86+(鋼床鈑!T86+鋼床鈑!U86/2+鋼床鈑!V86/2)/鋼床鈑!W86+(鋼床鈑!T86+鋼床鈑!U86/2+鋼床鈑!V86/2)/鋼床鈑!X86)</f>
        <v>883581808076.974</v>
      </c>
      <c r="V86" s="12">
        <f t="shared" si="18"/>
        <v>0.30366369513669333</v>
      </c>
      <c r="W86" s="12">
        <f t="shared" si="19"/>
        <v>0.29890013379364072</v>
      </c>
      <c r="X86" s="12">
        <f t="shared" si="20"/>
        <v>0.74727845344429833</v>
      </c>
      <c r="Y86" s="12">
        <f t="shared" si="21"/>
        <v>0.49254040925964937</v>
      </c>
      <c r="Z86" s="12">
        <f t="shared" si="16"/>
        <v>1.5106915239146212</v>
      </c>
      <c r="AA86" s="12">
        <f t="shared" si="17"/>
        <v>1.7162595698829923</v>
      </c>
      <c r="AB86" s="10">
        <f t="shared" si="22"/>
        <v>4.2240000000000002</v>
      </c>
      <c r="AC86" s="10">
        <f t="shared" si="23"/>
        <v>6.45</v>
      </c>
      <c r="AD86" s="10">
        <f t="shared" si="24"/>
        <v>0.42571999999999999</v>
      </c>
      <c r="AE86" s="12">
        <f t="shared" si="25"/>
        <v>0.88358180807697395</v>
      </c>
      <c r="AF86" s="12">
        <f t="shared" si="26"/>
        <v>0.18427199999999999</v>
      </c>
      <c r="AG86" s="12">
        <f t="shared" si="27"/>
        <v>0.14504400000000001</v>
      </c>
      <c r="AH86" s="10">
        <f t="shared" si="28"/>
        <v>0.97157345017558705</v>
      </c>
      <c r="AI86" s="10">
        <f t="shared" si="29"/>
        <v>1.2539782310424299</v>
      </c>
      <c r="AJ86" s="13">
        <f t="shared" si="30"/>
        <v>0.97157345017558705</v>
      </c>
      <c r="AK86" s="13">
        <f t="shared" si="31"/>
        <v>1.2539782310424299</v>
      </c>
    </row>
    <row r="87" spans="1:37">
      <c r="A87" s="8">
        <f>鋼床鈑!A87</f>
        <v>85</v>
      </c>
      <c r="B87" s="43" t="s">
        <v>41</v>
      </c>
      <c r="C87" s="43" t="s">
        <v>42</v>
      </c>
      <c r="D87" s="43" t="s">
        <v>164</v>
      </c>
      <c r="E87" s="44">
        <v>424280</v>
      </c>
      <c r="F87" s="45">
        <v>120911.5992</v>
      </c>
      <c r="G87" s="45">
        <v>142181.55119999999</v>
      </c>
      <c r="H87" s="45">
        <v>766966731345.10303</v>
      </c>
      <c r="I87" s="45">
        <v>1229868028661.4299</v>
      </c>
      <c r="J87" s="45">
        <v>968706997148.18396</v>
      </c>
      <c r="K87" s="45">
        <v>3250.3271</v>
      </c>
      <c r="L87" s="45">
        <v>3199.6729</v>
      </c>
      <c r="M87" s="45">
        <v>1662.4378999999999</v>
      </c>
      <c r="N87" s="45">
        <v>2525.5621000000001</v>
      </c>
      <c r="O87" s="44">
        <v>0</v>
      </c>
      <c r="P87" s="44">
        <v>0</v>
      </c>
      <c r="Q87" s="44">
        <v>27262</v>
      </c>
      <c r="R87" s="44">
        <v>21138</v>
      </c>
      <c r="S87" s="11">
        <f>(鋼床鈑!O87+鋼床鈑!W87+鋼床鈑!X87)*鋼床鈑!U87+(鋼床鈑!R87+鋼床鈑!W87+鋼床鈑!X87)*鋼床鈑!V87</f>
        <v>145044</v>
      </c>
      <c r="T87" s="11">
        <f>(鋼床鈑!T87)*鋼床鈑!W87+(鋼床鈑!T87)*鋼床鈑!X87</f>
        <v>182688</v>
      </c>
      <c r="U87" s="11">
        <f>4*((鋼床鈑!R87+鋼床鈑!W87/2+鋼床鈑!X87/2)*(鋼床鈑!T87+鋼床鈑!U87/2+鋼床鈑!V87/2))^2/((鋼床鈑!O87+鋼床鈑!W87/2+鋼床鈑!X87/2)/鋼床鈑!U87+(鋼床鈑!R87+鋼床鈑!W87/2+鋼床鈑!X87/2)/鋼床鈑!V87+(鋼床鈑!T87+鋼床鈑!U87/2+鋼床鈑!V87/2)/鋼床鈑!W87+(鋼床鈑!T87+鋼床鈑!U87/2+鋼床鈑!V87/2)/鋼床鈑!X87)</f>
        <v>873011645580.84436</v>
      </c>
      <c r="V87" s="12">
        <f t="shared" si="18"/>
        <v>0.30275188352790189</v>
      </c>
      <c r="W87" s="12">
        <f t="shared" si="19"/>
        <v>0.29803369548504333</v>
      </c>
      <c r="X87" s="12">
        <f t="shared" si="20"/>
        <v>0.73979787675764008</v>
      </c>
      <c r="Y87" s="12">
        <f t="shared" si="21"/>
        <v>0.4869680411586117</v>
      </c>
      <c r="Z87" s="12">
        <f t="shared" si="16"/>
        <v>1.5110190450837748</v>
      </c>
      <c r="AA87" s="12">
        <f t="shared" si="17"/>
        <v>1.7025621561055075</v>
      </c>
      <c r="AB87" s="10">
        <f t="shared" si="22"/>
        <v>4.1879999999999997</v>
      </c>
      <c r="AC87" s="10">
        <f t="shared" si="23"/>
        <v>6.45</v>
      </c>
      <c r="AD87" s="10">
        <f t="shared" si="24"/>
        <v>0.42427999999999999</v>
      </c>
      <c r="AE87" s="12">
        <f t="shared" si="25"/>
        <v>0.87301164558084432</v>
      </c>
      <c r="AF87" s="12">
        <f t="shared" si="26"/>
        <v>0.18268799999999999</v>
      </c>
      <c r="AG87" s="12">
        <f t="shared" si="27"/>
        <v>0.14504400000000001</v>
      </c>
      <c r="AH87" s="10">
        <f t="shared" si="28"/>
        <v>0.96870699714818398</v>
      </c>
      <c r="AI87" s="10">
        <f t="shared" si="29"/>
        <v>1.2298680286614299</v>
      </c>
      <c r="AJ87" s="13">
        <f t="shared" si="30"/>
        <v>0.96870699714818398</v>
      </c>
      <c r="AK87" s="13">
        <f t="shared" si="31"/>
        <v>1.2298680286614299</v>
      </c>
    </row>
    <row r="88" spans="1:37">
      <c r="A88" s="8">
        <f>鋼床鈑!A88</f>
        <v>86</v>
      </c>
      <c r="B88" s="43" t="s">
        <v>41</v>
      </c>
      <c r="C88" s="43" t="s">
        <v>42</v>
      </c>
      <c r="D88" s="43" t="s">
        <v>165</v>
      </c>
      <c r="E88" s="44">
        <v>423000</v>
      </c>
      <c r="F88" s="45">
        <v>121071.6912</v>
      </c>
      <c r="G88" s="45">
        <v>140904.04240000001</v>
      </c>
      <c r="H88" s="45">
        <v>758599976520.44604</v>
      </c>
      <c r="I88" s="45">
        <v>1208663521762.1699</v>
      </c>
      <c r="J88" s="45">
        <v>966159018661.84497</v>
      </c>
      <c r="K88" s="45">
        <v>3250.1768000000002</v>
      </c>
      <c r="L88" s="45">
        <v>3199.8231999999998</v>
      </c>
      <c r="M88" s="45">
        <v>1648.5650000000001</v>
      </c>
      <c r="N88" s="45">
        <v>2507.4349999999999</v>
      </c>
      <c r="O88" s="44">
        <v>0</v>
      </c>
      <c r="P88" s="44">
        <v>0</v>
      </c>
      <c r="Q88" s="44">
        <v>27198</v>
      </c>
      <c r="R88" s="44">
        <v>21074</v>
      </c>
      <c r="S88" s="11">
        <f>(鋼床鈑!O88+鋼床鈑!W88+鋼床鈑!X88)*鋼床鈑!U88+(鋼床鈑!R88+鋼床鈑!W88+鋼床鈑!X88)*鋼床鈑!V88</f>
        <v>145044</v>
      </c>
      <c r="T88" s="11">
        <f>(鋼床鈑!T88)*鋼床鈑!W88+(鋼床鈑!T88)*鋼床鈑!X88</f>
        <v>181280</v>
      </c>
      <c r="U88" s="11">
        <f>4*((鋼床鈑!R88+鋼床鈑!W88/2+鋼床鈑!X88/2)*(鋼床鈑!T88+鋼床鈑!U88/2+鋼床鈑!V88/2))^2/((鋼床鈑!O88+鋼床鈑!W88/2+鋼床鈑!X88/2)/鋼床鈑!U88+(鋼床鈑!R88+鋼床鈑!W88/2+鋼床鈑!X88/2)/鋼床鈑!V88+(鋼床鈑!T88+鋼床鈑!U88/2+鋼床鈑!V88/2)/鋼床鈑!W88+(鋼床鈑!T88+鋼床鈑!U88/2+鋼床鈑!V88/2)/鋼床鈑!X88)</f>
        <v>863633667587.13965</v>
      </c>
      <c r="V88" s="12">
        <f t="shared" si="18"/>
        <v>0.30194137559282808</v>
      </c>
      <c r="W88" s="12">
        <f t="shared" si="19"/>
        <v>0.29726352691393432</v>
      </c>
      <c r="X88" s="12">
        <f t="shared" si="20"/>
        <v>0.73316097440026318</v>
      </c>
      <c r="Y88" s="12">
        <f t="shared" si="21"/>
        <v>0.48203184599487919</v>
      </c>
      <c r="Z88" s="12">
        <f t="shared" si="16"/>
        <v>1.5113119710718468</v>
      </c>
      <c r="AA88" s="12">
        <f t="shared" si="17"/>
        <v>1.69037290901794</v>
      </c>
      <c r="AB88" s="10">
        <f t="shared" si="22"/>
        <v>4.1559999999999997</v>
      </c>
      <c r="AC88" s="10">
        <f t="shared" si="23"/>
        <v>6.45</v>
      </c>
      <c r="AD88" s="10">
        <f t="shared" si="24"/>
        <v>0.42299999999999999</v>
      </c>
      <c r="AE88" s="12">
        <f t="shared" si="25"/>
        <v>0.86363366758713966</v>
      </c>
      <c r="AF88" s="12">
        <f t="shared" si="26"/>
        <v>0.18128</v>
      </c>
      <c r="AG88" s="12">
        <f t="shared" si="27"/>
        <v>0.14504400000000001</v>
      </c>
      <c r="AH88" s="10">
        <f t="shared" si="28"/>
        <v>0.96615901866184495</v>
      </c>
      <c r="AI88" s="10">
        <f t="shared" si="29"/>
        <v>1.20866352176217</v>
      </c>
      <c r="AJ88" s="13">
        <f t="shared" si="30"/>
        <v>0.96615901866184495</v>
      </c>
      <c r="AK88" s="13">
        <f t="shared" si="31"/>
        <v>1.20866352176217</v>
      </c>
    </row>
    <row r="89" spans="1:37">
      <c r="A89" s="8">
        <f>鋼床鈑!A89</f>
        <v>87</v>
      </c>
      <c r="B89" s="43" t="s">
        <v>41</v>
      </c>
      <c r="C89" s="43" t="s">
        <v>42</v>
      </c>
      <c r="D89" s="43" t="s">
        <v>166</v>
      </c>
      <c r="E89" s="44">
        <v>421840</v>
      </c>
      <c r="F89" s="45">
        <v>121217.4097</v>
      </c>
      <c r="G89" s="45">
        <v>139747.0422</v>
      </c>
      <c r="H89" s="45">
        <v>751037681780.09204</v>
      </c>
      <c r="I89" s="45">
        <v>1189630701407.1101</v>
      </c>
      <c r="J89" s="45">
        <v>963849896553.15295</v>
      </c>
      <c r="K89" s="45">
        <v>3250.0398</v>
      </c>
      <c r="L89" s="45">
        <v>3199.9602</v>
      </c>
      <c r="M89" s="45">
        <v>1636.0038</v>
      </c>
      <c r="N89" s="45">
        <v>2490.9962</v>
      </c>
      <c r="O89" s="44">
        <v>0</v>
      </c>
      <c r="P89" s="44">
        <v>0</v>
      </c>
      <c r="Q89" s="44">
        <v>27140</v>
      </c>
      <c r="R89" s="44">
        <v>21016</v>
      </c>
      <c r="S89" s="11">
        <f>(鋼床鈑!O89+鋼床鈑!W89+鋼床鈑!X89)*鋼床鈑!U89+(鋼床鈑!R89+鋼床鈑!W89+鋼床鈑!X89)*鋼床鈑!V89</f>
        <v>145044</v>
      </c>
      <c r="T89" s="11">
        <f>(鋼床鈑!T89)*鋼床鈑!W89+(鋼床鈑!T89)*鋼床鈑!X89</f>
        <v>180004</v>
      </c>
      <c r="U89" s="11">
        <f>4*((鋼床鈑!R89+鋼床鈑!W89/2+鋼床鈑!X89/2)*(鋼床鈑!T89+鋼床鈑!U89/2+鋼床鈑!V89/2))^2/((鋼床鈑!O89+鋼床鈑!W89/2+鋼床鈑!X89/2)/鋼床鈑!U89+(鋼床鈑!R89+鋼床鈑!W89/2+鋼床鈑!X89/2)/鋼床鈑!V89+(鋼床鈑!T89+鋼床鈑!U89/2+鋼床鈑!V89/2)/鋼床鈑!W89+(鋼床鈑!T89+鋼床鈑!U89/2+鋼床鈑!V89/2)/鋼床鈑!X89)</f>
        <v>855149483568.97144</v>
      </c>
      <c r="V89" s="12">
        <f t="shared" si="18"/>
        <v>0.30120683893291955</v>
      </c>
      <c r="W89" s="12">
        <f t="shared" si="19"/>
        <v>0.29656556715187088</v>
      </c>
      <c r="X89" s="12">
        <f t="shared" si="20"/>
        <v>0.72715644145026448</v>
      </c>
      <c r="Y89" s="12">
        <f t="shared" si="21"/>
        <v>0.47757226663256658</v>
      </c>
      <c r="Z89" s="12">
        <f t="shared" si="16"/>
        <v>1.5115789082695477</v>
      </c>
      <c r="AA89" s="12">
        <f t="shared" si="17"/>
        <v>1.6793151372195183</v>
      </c>
      <c r="AB89" s="10">
        <f t="shared" si="22"/>
        <v>4.1269999999999998</v>
      </c>
      <c r="AC89" s="10">
        <f t="shared" si="23"/>
        <v>6.45</v>
      </c>
      <c r="AD89" s="10">
        <f t="shared" si="24"/>
        <v>0.42183999999999999</v>
      </c>
      <c r="AE89" s="12">
        <f t="shared" si="25"/>
        <v>0.85514948356897147</v>
      </c>
      <c r="AF89" s="12">
        <f t="shared" si="26"/>
        <v>0.180004</v>
      </c>
      <c r="AG89" s="12">
        <f t="shared" si="27"/>
        <v>0.14504400000000001</v>
      </c>
      <c r="AH89" s="10">
        <f t="shared" si="28"/>
        <v>0.96384989655315301</v>
      </c>
      <c r="AI89" s="10">
        <f t="shared" si="29"/>
        <v>1.1896307014071101</v>
      </c>
      <c r="AJ89" s="13">
        <f t="shared" si="30"/>
        <v>0.96384989655315301</v>
      </c>
      <c r="AK89" s="13">
        <f t="shared" si="31"/>
        <v>1.1896307014071101</v>
      </c>
    </row>
    <row r="90" spans="1:37">
      <c r="A90" s="8">
        <f>鋼床鈑!A90</f>
        <v>88</v>
      </c>
      <c r="B90" s="43" t="s">
        <v>41</v>
      </c>
      <c r="C90" s="43" t="s">
        <v>42</v>
      </c>
      <c r="D90" s="43" t="s">
        <v>167</v>
      </c>
      <c r="E90" s="44">
        <v>420880</v>
      </c>
      <c r="F90" s="45">
        <v>121337.2001</v>
      </c>
      <c r="G90" s="45">
        <v>138788.35209999999</v>
      </c>
      <c r="H90" s="45">
        <v>744782060983.80298</v>
      </c>
      <c r="I90" s="45">
        <v>1174011157663.96</v>
      </c>
      <c r="J90" s="45">
        <v>961938886909.35303</v>
      </c>
      <c r="K90" s="45">
        <v>3249.9259000000002</v>
      </c>
      <c r="L90" s="45">
        <v>3200.0740999999998</v>
      </c>
      <c r="M90" s="45">
        <v>1625.6165000000001</v>
      </c>
      <c r="N90" s="45">
        <v>2477.3834999999999</v>
      </c>
      <c r="O90" s="44">
        <v>0</v>
      </c>
      <c r="P90" s="44">
        <v>0</v>
      </c>
      <c r="Q90" s="44">
        <v>27092</v>
      </c>
      <c r="R90" s="44">
        <v>20968</v>
      </c>
      <c r="S90" s="11">
        <f>(鋼床鈑!O90+鋼床鈑!W90+鋼床鈑!X90)*鋼床鈑!U90+(鋼床鈑!R90+鋼床鈑!W90+鋼床鈑!X90)*鋼床鈑!V90</f>
        <v>160720</v>
      </c>
      <c r="T90" s="11">
        <f>(鋼床鈑!T90)*鋼床鈑!W90+(鋼床鈑!T90)*鋼床鈑!X90</f>
        <v>284690</v>
      </c>
      <c r="U90" s="11">
        <f>4*((鋼床鈑!R90+鋼床鈑!W90/2+鋼床鈑!X90/2)*(鋼床鈑!T90+鋼床鈑!U90/2+鋼床鈑!V90/2))^2/((鋼床鈑!O90+鋼床鈑!W90/2+鋼床鈑!X90/2)/鋼床鈑!U90+(鋼床鈑!R90+鋼床鈑!W90/2+鋼床鈑!X90/2)/鋼床鈑!V90+(鋼床鈑!T90+鋼床鈑!U90/2+鋼床鈑!V90/2)/鋼床鈑!W90+(鋼床鈑!T90+鋼床鈑!U90/2+鋼床鈑!V90/2)/鋼床鈑!X90)</f>
        <v>1118331560373.3955</v>
      </c>
      <c r="V90" s="12">
        <f t="shared" si="18"/>
        <v>0.30059894141493571</v>
      </c>
      <c r="W90" s="12">
        <f t="shared" si="19"/>
        <v>0.29598794449724314</v>
      </c>
      <c r="X90" s="12">
        <f t="shared" si="20"/>
        <v>0.72219441526581452</v>
      </c>
      <c r="Y90" s="12">
        <f t="shared" si="21"/>
        <v>0.47389157054770087</v>
      </c>
      <c r="Z90" s="12">
        <f t="shared" si="16"/>
        <v>1.5118008892048054</v>
      </c>
      <c r="AA90" s="12">
        <f t="shared" si="17"/>
        <v>1.6701557297803729</v>
      </c>
      <c r="AB90" s="10">
        <f t="shared" si="22"/>
        <v>4.1029999999999998</v>
      </c>
      <c r="AC90" s="10">
        <f t="shared" si="23"/>
        <v>6.45</v>
      </c>
      <c r="AD90" s="10">
        <f t="shared" si="24"/>
        <v>0.42087999999999998</v>
      </c>
      <c r="AE90" s="12">
        <f t="shared" si="25"/>
        <v>1.1183315603733954</v>
      </c>
      <c r="AF90" s="12">
        <f t="shared" si="26"/>
        <v>0.28469</v>
      </c>
      <c r="AG90" s="12">
        <f t="shared" si="27"/>
        <v>0.16072</v>
      </c>
      <c r="AH90" s="10">
        <f t="shared" si="28"/>
        <v>0.96193888690935303</v>
      </c>
      <c r="AI90" s="10">
        <f t="shared" si="29"/>
        <v>1.17401115766396</v>
      </c>
      <c r="AJ90" s="13">
        <f t="shared" si="30"/>
        <v>0.96193888690935303</v>
      </c>
      <c r="AK90" s="13">
        <f t="shared" si="31"/>
        <v>1.17401115766396</v>
      </c>
    </row>
    <row r="91" spans="1:37">
      <c r="A91" s="8">
        <f>鋼床鈑!A91</f>
        <v>89</v>
      </c>
      <c r="B91" s="43" t="s">
        <v>41</v>
      </c>
      <c r="C91" s="43" t="s">
        <v>42</v>
      </c>
      <c r="D91" s="43" t="s">
        <v>168</v>
      </c>
      <c r="E91" s="44">
        <v>420040</v>
      </c>
      <c r="F91" s="45">
        <v>121452.56819999999</v>
      </c>
      <c r="G91" s="45">
        <v>137951.10449999999</v>
      </c>
      <c r="H91" s="45">
        <v>739342045362.58606</v>
      </c>
      <c r="I91" s="45">
        <v>1160441695830.02</v>
      </c>
      <c r="J91" s="45">
        <v>960266744465.72205</v>
      </c>
      <c r="K91" s="45">
        <v>3249.8256999999999</v>
      </c>
      <c r="L91" s="45">
        <v>3200.1743000000001</v>
      </c>
      <c r="M91" s="45">
        <v>1616.5336</v>
      </c>
      <c r="N91" s="45">
        <v>2465.4663999999998</v>
      </c>
      <c r="O91" s="44">
        <v>0</v>
      </c>
      <c r="P91" s="44">
        <v>0</v>
      </c>
      <c r="Q91" s="44">
        <v>27050</v>
      </c>
      <c r="R91" s="44">
        <v>20926</v>
      </c>
      <c r="S91" s="11">
        <f>(鋼床鈑!O91+鋼床鈑!W91+鋼床鈑!X91)*鋼床鈑!U91+(鋼床鈑!R91+鋼床鈑!W91+鋼床鈑!X91)*鋼床鈑!V91</f>
        <v>160720</v>
      </c>
      <c r="T91" s="11">
        <f>(鋼床鈑!T91)*鋼床鈑!W91+(鋼床鈑!T91)*鋼床鈑!X91</f>
        <v>283220</v>
      </c>
      <c r="U91" s="11">
        <f>4*((鋼床鈑!R91+鋼床鈑!W91/2+鋼床鈑!X91/2)*(鋼床鈑!T91+鋼床鈑!U91/2+鋼床鈑!V91/2))^2/((鋼床鈑!O91+鋼床鈑!W91/2+鋼床鈑!X91/2)/鋼床鈑!U91+(鋼床鈑!R91+鋼床鈑!W91/2+鋼床鈑!X91/2)/鋼床鈑!V91+(鋼床鈑!T91+鋼床鈑!U91/2+鋼床鈑!V91/2)/鋼床鈑!W91+(鋼床鈑!T91+鋼床鈑!U91/2+鋼床鈑!V91/2)/鋼床鈑!X91)</f>
        <v>1109653167332.4497</v>
      </c>
      <c r="V91" s="12">
        <f t="shared" si="18"/>
        <v>0.30006701337040359</v>
      </c>
      <c r="W91" s="12">
        <f t="shared" si="19"/>
        <v>0.29548253756062121</v>
      </c>
      <c r="X91" s="12">
        <f t="shared" si="20"/>
        <v>0.7178580734913399</v>
      </c>
      <c r="Y91" s="12">
        <f t="shared" si="21"/>
        <v>0.47067836569584565</v>
      </c>
      <c r="Z91" s="12">
        <f t="shared" si="16"/>
        <v>1.5119959208806872</v>
      </c>
      <c r="AA91" s="12">
        <f t="shared" si="17"/>
        <v>1.662135164478151</v>
      </c>
      <c r="AB91" s="10">
        <f t="shared" si="22"/>
        <v>4.0819999999999999</v>
      </c>
      <c r="AC91" s="10">
        <f t="shared" si="23"/>
        <v>6.45</v>
      </c>
      <c r="AD91" s="10">
        <f t="shared" si="24"/>
        <v>0.42004000000000002</v>
      </c>
      <c r="AE91" s="12">
        <f t="shared" si="25"/>
        <v>1.1096531673324497</v>
      </c>
      <c r="AF91" s="12">
        <f t="shared" si="26"/>
        <v>0.28322000000000003</v>
      </c>
      <c r="AG91" s="12">
        <f t="shared" si="27"/>
        <v>0.16072</v>
      </c>
      <c r="AH91" s="10">
        <f t="shared" si="28"/>
        <v>0.96026674446572202</v>
      </c>
      <c r="AI91" s="10">
        <f t="shared" si="29"/>
        <v>1.1604416958300201</v>
      </c>
      <c r="AJ91" s="13">
        <f t="shared" si="30"/>
        <v>0.96026674446572202</v>
      </c>
      <c r="AK91" s="13">
        <f t="shared" si="31"/>
        <v>1.1604416958300201</v>
      </c>
    </row>
    <row r="92" spans="1:37">
      <c r="A92" s="8">
        <f>鋼床鈑!A92</f>
        <v>90</v>
      </c>
      <c r="B92" s="43" t="s">
        <v>41</v>
      </c>
      <c r="C92" s="43" t="s">
        <v>42</v>
      </c>
      <c r="D92" s="43" t="s">
        <v>169</v>
      </c>
      <c r="E92" s="44">
        <v>419360</v>
      </c>
      <c r="F92" s="45">
        <v>121537.3821</v>
      </c>
      <c r="G92" s="45">
        <v>137272.83559999999</v>
      </c>
      <c r="H92" s="45">
        <v>734927297506.32397</v>
      </c>
      <c r="I92" s="45">
        <v>1149523498369.46</v>
      </c>
      <c r="J92" s="45">
        <v>958913099152.27405</v>
      </c>
      <c r="K92" s="45">
        <v>3249.7444</v>
      </c>
      <c r="L92" s="45">
        <v>3200.2556</v>
      </c>
      <c r="M92" s="45">
        <v>1609.1849</v>
      </c>
      <c r="N92" s="45">
        <v>2455.8150999999998</v>
      </c>
      <c r="O92" s="44">
        <v>0</v>
      </c>
      <c r="P92" s="44">
        <v>0</v>
      </c>
      <c r="Q92" s="44">
        <v>27016</v>
      </c>
      <c r="R92" s="44">
        <v>20892</v>
      </c>
      <c r="S92" s="11">
        <f>(鋼床鈑!O92+鋼床鈑!W92+鋼床鈑!X92)*鋼床鈑!U92+(鋼床鈑!R92+鋼床鈑!W92+鋼床鈑!X92)*鋼床鈑!V92</f>
        <v>160720</v>
      </c>
      <c r="T92" s="11">
        <f>(鋼床鈑!T92)*鋼床鈑!W92+(鋼床鈑!T92)*鋼床鈑!X92</f>
        <v>282030</v>
      </c>
      <c r="U92" s="11">
        <f>4*((鋼床鈑!R92+鋼床鈑!W92/2+鋼床鈑!X92/2)*(鋼床鈑!T92+鋼床鈑!U92/2+鋼床鈑!V92/2))^2/((鋼床鈑!O92+鋼床鈑!W92/2+鋼床鈑!X92/2)/鋼床鈑!U92+(鋼床鈑!R92+鋼床鈑!W92/2+鋼床鈑!X92/2)/鋼床鈑!V92+(鋼床鈑!T92+鋼床鈑!U92/2+鋼床鈑!V92/2)/鋼床鈑!W92+(鋼床鈑!T92+鋼床鈑!U92/2+鋼床鈑!V92/2)/鋼床鈑!X92)</f>
        <v>1102639289789.0369</v>
      </c>
      <c r="V92" s="12">
        <f t="shared" si="18"/>
        <v>0.29963641002683478</v>
      </c>
      <c r="W92" s="12">
        <f t="shared" si="19"/>
        <v>0.29507339074183003</v>
      </c>
      <c r="X92" s="12">
        <f t="shared" si="20"/>
        <v>0.71435140757874371</v>
      </c>
      <c r="Y92" s="12">
        <f t="shared" si="21"/>
        <v>0.46808226660446062</v>
      </c>
      <c r="Z92" s="12">
        <f t="shared" si="16"/>
        <v>1.5121543525201886</v>
      </c>
      <c r="AA92" s="12">
        <f t="shared" si="17"/>
        <v>1.6556381495089885</v>
      </c>
      <c r="AB92" s="10">
        <f t="shared" si="22"/>
        <v>4.0650000000000004</v>
      </c>
      <c r="AC92" s="10">
        <f t="shared" si="23"/>
        <v>6.45</v>
      </c>
      <c r="AD92" s="10">
        <f t="shared" si="24"/>
        <v>0.41936000000000001</v>
      </c>
      <c r="AE92" s="12">
        <f t="shared" si="25"/>
        <v>1.1026392897890369</v>
      </c>
      <c r="AF92" s="12">
        <f t="shared" si="26"/>
        <v>0.28203</v>
      </c>
      <c r="AG92" s="12">
        <f t="shared" si="27"/>
        <v>0.16072</v>
      </c>
      <c r="AH92" s="10">
        <f t="shared" si="28"/>
        <v>0.95891309915227407</v>
      </c>
      <c r="AI92" s="10">
        <f t="shared" si="29"/>
        <v>1.14952349836946</v>
      </c>
      <c r="AJ92" s="13">
        <f t="shared" si="30"/>
        <v>0.95891309915227407</v>
      </c>
      <c r="AK92" s="13">
        <f t="shared" si="31"/>
        <v>1.14952349836946</v>
      </c>
    </row>
    <row r="93" spans="1:37">
      <c r="A93" s="8">
        <f>鋼床鈑!A93</f>
        <v>91</v>
      </c>
      <c r="B93" s="43" t="s">
        <v>41</v>
      </c>
      <c r="C93" s="43" t="s">
        <v>42</v>
      </c>
      <c r="D93" s="43" t="s">
        <v>170</v>
      </c>
      <c r="E93" s="44">
        <v>418840</v>
      </c>
      <c r="F93" s="45">
        <v>121601.2522</v>
      </c>
      <c r="G93" s="45">
        <v>136753.8535</v>
      </c>
      <c r="H93" s="45">
        <v>731551312482.86096</v>
      </c>
      <c r="I93" s="45">
        <v>1141214429034.9099</v>
      </c>
      <c r="J93" s="45">
        <v>957877954861.797</v>
      </c>
      <c r="K93" s="45">
        <v>3249.6819999999998</v>
      </c>
      <c r="L93" s="45">
        <v>3200.3180000000002</v>
      </c>
      <c r="M93" s="45">
        <v>1603.5679</v>
      </c>
      <c r="N93" s="45">
        <v>2448.4321</v>
      </c>
      <c r="O93" s="44">
        <v>0</v>
      </c>
      <c r="P93" s="44">
        <v>0</v>
      </c>
      <c r="Q93" s="44">
        <v>26990</v>
      </c>
      <c r="R93" s="44">
        <v>20866</v>
      </c>
      <c r="S93" s="11">
        <f>(鋼床鈑!O93+鋼床鈑!W93+鋼床鈑!X93)*鋼床鈑!U93+(鋼床鈑!R93+鋼床鈑!W93+鋼床鈑!X93)*鋼床鈑!V93</f>
        <v>160720</v>
      </c>
      <c r="T93" s="11">
        <f>(鋼床鈑!T93)*鋼床鈑!W93+(鋼床鈑!T93)*鋼床鈑!X93</f>
        <v>281120</v>
      </c>
      <c r="U93" s="11">
        <f>4*((鋼床鈑!R93+鋼床鈑!W93/2+鋼床鈑!X93/2)*(鋼床鈑!T93+鋼床鈑!U93/2+鋼床鈑!V93/2))^2/((鋼床鈑!O93+鋼床鈑!W93/2+鋼床鈑!X93/2)/鋼床鈑!U93+(鋼床鈑!R93+鋼床鈑!W93/2+鋼床鈑!X93/2)/鋼床鈑!V93+(鋼床鈑!T93+鋼床鈑!U93/2+鋼床鈑!V93/2)/鋼床鈑!W93+(鋼床鈑!T93+鋼床鈑!U93/2+鋼床鈑!V93/2)/鋼床鈑!X93)</f>
        <v>1097282714189.3315</v>
      </c>
      <c r="V93" s="12">
        <f t="shared" si="18"/>
        <v>0.29930711724953485</v>
      </c>
      <c r="W93" s="12">
        <f t="shared" si="19"/>
        <v>0.29476051960216321</v>
      </c>
      <c r="X93" s="12">
        <f t="shared" si="20"/>
        <v>0.71167203399052203</v>
      </c>
      <c r="Y93" s="12">
        <f t="shared" si="21"/>
        <v>0.46610009280425219</v>
      </c>
      <c r="Z93" s="12">
        <f t="shared" si="16"/>
        <v>1.5122758390279532</v>
      </c>
      <c r="AA93" s="12">
        <f t="shared" si="17"/>
        <v>1.6506673138525454</v>
      </c>
      <c r="AB93" s="10">
        <f t="shared" si="22"/>
        <v>4.0519999999999996</v>
      </c>
      <c r="AC93" s="10">
        <f t="shared" si="23"/>
        <v>6.45</v>
      </c>
      <c r="AD93" s="10">
        <f t="shared" si="24"/>
        <v>0.41883999999999999</v>
      </c>
      <c r="AE93" s="12">
        <f t="shared" si="25"/>
        <v>1.0972827141893315</v>
      </c>
      <c r="AF93" s="12">
        <f t="shared" si="26"/>
        <v>0.28111999999999998</v>
      </c>
      <c r="AG93" s="12">
        <f t="shared" si="27"/>
        <v>0.16072</v>
      </c>
      <c r="AH93" s="10">
        <f t="shared" si="28"/>
        <v>0.95787795486179694</v>
      </c>
      <c r="AI93" s="10">
        <f t="shared" si="29"/>
        <v>1.14121442903491</v>
      </c>
      <c r="AJ93" s="13">
        <f t="shared" si="30"/>
        <v>0.95787795486179694</v>
      </c>
      <c r="AK93" s="13">
        <f t="shared" si="31"/>
        <v>1.14121442903491</v>
      </c>
    </row>
    <row r="94" spans="1:37">
      <c r="A94" s="8">
        <f>鋼床鈑!A94</f>
        <v>92</v>
      </c>
      <c r="B94" s="43" t="s">
        <v>41</v>
      </c>
      <c r="C94" s="43" t="s">
        <v>42</v>
      </c>
      <c r="D94" s="43" t="s">
        <v>171</v>
      </c>
      <c r="E94" s="44">
        <v>418480</v>
      </c>
      <c r="F94" s="45">
        <v>121646.23020000001</v>
      </c>
      <c r="G94" s="45">
        <v>136394.22010000001</v>
      </c>
      <c r="H94" s="45">
        <v>729215379955.453</v>
      </c>
      <c r="I94" s="45">
        <v>1135482348272.01</v>
      </c>
      <c r="J94" s="45">
        <v>957161314592.51404</v>
      </c>
      <c r="K94" s="45">
        <v>3249.6387</v>
      </c>
      <c r="L94" s="45">
        <v>3200.3613</v>
      </c>
      <c r="M94" s="45">
        <v>1599.6804</v>
      </c>
      <c r="N94" s="45">
        <v>2443.3195999999998</v>
      </c>
      <c r="O94" s="44">
        <v>0</v>
      </c>
      <c r="P94" s="44">
        <v>0</v>
      </c>
      <c r="Q94" s="44">
        <v>26972</v>
      </c>
      <c r="R94" s="44">
        <v>20848</v>
      </c>
      <c r="S94" s="11">
        <f>(鋼床鈑!O94+鋼床鈑!W94+鋼床鈑!X94)*鋼床鈑!U94+(鋼床鈑!R94+鋼床鈑!W94+鋼床鈑!X94)*鋼床鈑!V94</f>
        <v>166808</v>
      </c>
      <c r="T94" s="11">
        <f>(鋼床鈑!T94)*鋼床鈑!W94+(鋼床鈑!T94)*鋼床鈑!X94</f>
        <v>304532</v>
      </c>
      <c r="U94" s="11">
        <f>4*((鋼床鈑!R94+鋼床鈑!W94/2+鋼床鈑!X94/2)*(鋼床鈑!T94+鋼床鈑!U94/2+鋼床鈑!V94/2))^2/((鋼床鈑!O94+鋼床鈑!W94/2+鋼床鈑!X94/2)/鋼床鈑!U94+(鋼床鈑!R94+鋼床鈑!W94/2+鋼床鈑!X94/2)/鋼床鈑!V94+(鋼床鈑!T94+鋼床鈑!U94/2+鋼床鈑!V94/2)/鋼床鈑!W94+(鋼床鈑!T94+鋼床鈑!U94/2+鋼床鈑!V94/2)/鋼床鈑!X94)</f>
        <v>1147418388619.46</v>
      </c>
      <c r="V94" s="12">
        <f t="shared" si="18"/>
        <v>0.29907914290568194</v>
      </c>
      <c r="W94" s="12">
        <f t="shared" si="19"/>
        <v>0.29454391794155887</v>
      </c>
      <c r="X94" s="12">
        <f t="shared" si="20"/>
        <v>0.709818253866216</v>
      </c>
      <c r="Y94" s="12">
        <f t="shared" si="21"/>
        <v>0.46472935766242374</v>
      </c>
      <c r="Z94" s="12">
        <f t="shared" si="16"/>
        <v>1.5123601146879766</v>
      </c>
      <c r="AA94" s="12">
        <f t="shared" si="17"/>
        <v>1.6472246781765474</v>
      </c>
      <c r="AB94" s="10">
        <f t="shared" si="22"/>
        <v>4.0430000000000001</v>
      </c>
      <c r="AC94" s="10">
        <f t="shared" si="23"/>
        <v>6.45</v>
      </c>
      <c r="AD94" s="10">
        <f t="shared" si="24"/>
        <v>0.41848000000000002</v>
      </c>
      <c r="AE94" s="12">
        <f t="shared" si="25"/>
        <v>1.14741838861946</v>
      </c>
      <c r="AF94" s="12">
        <f t="shared" si="26"/>
        <v>0.30453200000000002</v>
      </c>
      <c r="AG94" s="12">
        <f t="shared" si="27"/>
        <v>0.16680800000000001</v>
      </c>
      <c r="AH94" s="10">
        <f t="shared" si="28"/>
        <v>0.95716131459251408</v>
      </c>
      <c r="AI94" s="10">
        <f t="shared" si="29"/>
        <v>1.13548234827201</v>
      </c>
      <c r="AJ94" s="13">
        <f t="shared" si="30"/>
        <v>0.95716131459251408</v>
      </c>
      <c r="AK94" s="13">
        <f t="shared" si="31"/>
        <v>1.13548234827201</v>
      </c>
    </row>
    <row r="95" spans="1:37">
      <c r="A95" s="8">
        <f>鋼床鈑!A95</f>
        <v>93</v>
      </c>
      <c r="B95" s="43" t="s">
        <v>41</v>
      </c>
      <c r="C95" s="43" t="s">
        <v>42</v>
      </c>
      <c r="D95" s="43" t="s">
        <v>172</v>
      </c>
      <c r="E95" s="44">
        <v>418280</v>
      </c>
      <c r="F95" s="45">
        <v>121670.73330000001</v>
      </c>
      <c r="G95" s="45">
        <v>136195.32860000001</v>
      </c>
      <c r="H95" s="45">
        <v>727922338441.48999</v>
      </c>
      <c r="I95" s="45">
        <v>1132305047408.99</v>
      </c>
      <c r="J95" s="45">
        <v>956763180431.04602</v>
      </c>
      <c r="K95" s="45">
        <v>3249.6145999999999</v>
      </c>
      <c r="L95" s="45">
        <v>3200.3854000000001</v>
      </c>
      <c r="M95" s="45">
        <v>1597.5211999999999</v>
      </c>
      <c r="N95" s="45">
        <v>2440.4787999999999</v>
      </c>
      <c r="O95" s="44">
        <v>0</v>
      </c>
      <c r="P95" s="44">
        <v>0</v>
      </c>
      <c r="Q95" s="44">
        <v>26962</v>
      </c>
      <c r="R95" s="44">
        <v>20838</v>
      </c>
      <c r="S95" s="11">
        <f>(鋼床鈑!O95+鋼床鈑!W95+鋼床鈑!X95)*鋼床鈑!U95+(鋼床鈑!R95+鋼床鈑!W95+鋼床鈑!X95)*鋼床鈑!V95</f>
        <v>166808</v>
      </c>
      <c r="T95" s="11">
        <f>(鋼床鈑!T95)*鋼床鈑!W95+(鋼床鈑!T95)*鋼床鈑!X95</f>
        <v>304152</v>
      </c>
      <c r="U95" s="11">
        <f>4*((鋼床鈑!R95+鋼床鈑!W95/2+鋼床鈑!X95/2)*(鋼床鈑!T95+鋼床鈑!U95/2+鋼床鈑!V95/2))^2/((鋼床鈑!O95+鋼床鈑!W95/2+鋼床鈑!X95/2)/鋼床鈑!U95+(鋼床鈑!R95+鋼床鈑!W95/2+鋼床鈑!X95/2)/鋼床鈑!V95+(鋼床鈑!T95+鋼床鈑!U95/2+鋼床鈑!V95/2)/鋼床鈑!W95+(鋼床鈑!T95+鋼床鈑!U95/2+鋼床鈑!V95/2)/鋼床鈑!X95)</f>
        <v>1145236130722.1619</v>
      </c>
      <c r="V95" s="12">
        <f t="shared" si="18"/>
        <v>0.29895248879433273</v>
      </c>
      <c r="W95" s="12">
        <f t="shared" si="19"/>
        <v>0.29442358500944887</v>
      </c>
      <c r="X95" s="12">
        <f t="shared" si="20"/>
        <v>0.70878874559473137</v>
      </c>
      <c r="Y95" s="12">
        <f t="shared" si="21"/>
        <v>0.46396840136820289</v>
      </c>
      <c r="Z95" s="12">
        <f t="shared" si="16"/>
        <v>1.5124069946130618</v>
      </c>
      <c r="AA95" s="12">
        <f t="shared" si="17"/>
        <v>1.6453116466421602</v>
      </c>
      <c r="AB95" s="10">
        <f t="shared" si="22"/>
        <v>4.0380000000000003</v>
      </c>
      <c r="AC95" s="10">
        <f t="shared" si="23"/>
        <v>6.45</v>
      </c>
      <c r="AD95" s="10">
        <f t="shared" si="24"/>
        <v>0.41827999999999999</v>
      </c>
      <c r="AE95" s="12">
        <f t="shared" si="25"/>
        <v>1.1452361307221619</v>
      </c>
      <c r="AF95" s="12">
        <f t="shared" si="26"/>
        <v>0.30415199999999998</v>
      </c>
      <c r="AG95" s="12">
        <f t="shared" si="27"/>
        <v>0.16680800000000001</v>
      </c>
      <c r="AH95" s="10">
        <f t="shared" si="28"/>
        <v>0.95676318043104602</v>
      </c>
      <c r="AI95" s="10">
        <f t="shared" si="29"/>
        <v>1.13230504740899</v>
      </c>
      <c r="AJ95" s="13">
        <f t="shared" si="30"/>
        <v>0.95676318043104602</v>
      </c>
      <c r="AK95" s="13">
        <f t="shared" si="31"/>
        <v>1.13230504740899</v>
      </c>
    </row>
    <row r="96" spans="1:37">
      <c r="A96" s="8">
        <f>鋼床鈑!A96</f>
        <v>94</v>
      </c>
      <c r="B96" s="43" t="s">
        <v>41</v>
      </c>
      <c r="C96" s="43" t="s">
        <v>42</v>
      </c>
      <c r="D96" s="43" t="s">
        <v>173</v>
      </c>
      <c r="E96" s="44">
        <v>418200</v>
      </c>
      <c r="F96" s="45">
        <v>121680.8575</v>
      </c>
      <c r="G96" s="45">
        <v>136115.51930000001</v>
      </c>
      <c r="H96" s="45">
        <v>727404217233.58801</v>
      </c>
      <c r="I96" s="45">
        <v>1131035563965.47</v>
      </c>
      <c r="J96" s="45">
        <v>956603926630.54297</v>
      </c>
      <c r="K96" s="45">
        <v>3249.605</v>
      </c>
      <c r="L96" s="45">
        <v>3200.395</v>
      </c>
      <c r="M96" s="45">
        <v>1596.6576</v>
      </c>
      <c r="N96" s="45">
        <v>2439.3424</v>
      </c>
      <c r="O96" s="44">
        <v>0</v>
      </c>
      <c r="P96" s="44">
        <v>0</v>
      </c>
      <c r="Q96" s="44">
        <v>26958</v>
      </c>
      <c r="R96" s="44">
        <v>20834</v>
      </c>
      <c r="S96" s="11">
        <f>(鋼床鈑!O96+鋼床鈑!W96+鋼床鈑!X96)*鋼床鈑!U96+(鋼床鈑!R96+鋼床鈑!W96+鋼床鈑!X96)*鋼床鈑!V96</f>
        <v>166808</v>
      </c>
      <c r="T96" s="11">
        <f>(鋼床鈑!T96)*鋼床鈑!W96+(鋼床鈑!T96)*鋼床鈑!X96</f>
        <v>304000</v>
      </c>
      <c r="U96" s="11">
        <f>4*((鋼床鈑!R96+鋼床鈑!W96/2+鋼床鈑!X96/2)*(鋼床鈑!T96+鋼床鈑!U96/2+鋼床鈑!V96/2))^2/((鋼床鈑!O96+鋼床鈑!W96/2+鋼床鈑!X96/2)/鋼床鈑!U96+(鋼床鈑!R96+鋼床鈑!W96/2+鋼床鈑!X96/2)/鋼床鈑!V96+(鋼床鈑!T96+鋼床鈑!U96/2+鋼床鈑!V96/2)/鋼床鈑!W96+(鋼床鈑!T96+鋼床鈑!U96/2+鋼床鈑!V96/2)/鋼床鈑!X96)</f>
        <v>1144363510806.1956</v>
      </c>
      <c r="V96" s="12">
        <f t="shared" si="18"/>
        <v>0.29890183137723403</v>
      </c>
      <c r="W96" s="12">
        <f t="shared" si="19"/>
        <v>0.29437544767149948</v>
      </c>
      <c r="X96" s="12">
        <f t="shared" si="20"/>
        <v>0.70837702708800554</v>
      </c>
      <c r="Y96" s="12">
        <f t="shared" si="21"/>
        <v>0.46366412684232844</v>
      </c>
      <c r="Z96" s="12">
        <f t="shared" si="16"/>
        <v>1.5124257586235506</v>
      </c>
      <c r="AA96" s="12">
        <f t="shared" si="17"/>
        <v>1.6445463426974198</v>
      </c>
      <c r="AB96" s="10">
        <f t="shared" si="22"/>
        <v>4.0359999999999996</v>
      </c>
      <c r="AC96" s="10">
        <f t="shared" si="23"/>
        <v>6.45</v>
      </c>
      <c r="AD96" s="10">
        <f t="shared" si="24"/>
        <v>0.41820000000000002</v>
      </c>
      <c r="AE96" s="12">
        <f t="shared" si="25"/>
        <v>1.1443635108061956</v>
      </c>
      <c r="AF96" s="12">
        <f t="shared" si="26"/>
        <v>0.30399999999999999</v>
      </c>
      <c r="AG96" s="12">
        <f t="shared" si="27"/>
        <v>0.16680800000000001</v>
      </c>
      <c r="AH96" s="10">
        <f t="shared" si="28"/>
        <v>0.95660392663054294</v>
      </c>
      <c r="AI96" s="10">
        <f t="shared" si="29"/>
        <v>1.1310355639654699</v>
      </c>
      <c r="AJ96" s="13">
        <f t="shared" si="30"/>
        <v>0.95660392663054294</v>
      </c>
      <c r="AK96" s="13">
        <f t="shared" si="31"/>
        <v>1.1310355639654699</v>
      </c>
    </row>
    <row r="97" spans="1:37">
      <c r="A97" s="8">
        <f>鋼床鈑!A97</f>
        <v>95</v>
      </c>
      <c r="B97" s="43" t="s">
        <v>41</v>
      </c>
      <c r="C97" s="43" t="s">
        <v>42</v>
      </c>
      <c r="D97" s="43" t="s">
        <v>174</v>
      </c>
      <c r="E97" s="44">
        <v>418280</v>
      </c>
      <c r="F97" s="45">
        <v>121670.73330000001</v>
      </c>
      <c r="G97" s="45">
        <v>136195.32860000001</v>
      </c>
      <c r="H97" s="45">
        <v>727922338441.48999</v>
      </c>
      <c r="I97" s="45">
        <v>1132305047408.99</v>
      </c>
      <c r="J97" s="45">
        <v>956763180431.04602</v>
      </c>
      <c r="K97" s="45">
        <v>3249.6145999999999</v>
      </c>
      <c r="L97" s="45">
        <v>3200.3854000000001</v>
      </c>
      <c r="M97" s="45">
        <v>1597.5211999999999</v>
      </c>
      <c r="N97" s="45">
        <v>2440.4787999999999</v>
      </c>
      <c r="O97" s="44">
        <v>0</v>
      </c>
      <c r="P97" s="44">
        <v>0</v>
      </c>
      <c r="Q97" s="44">
        <v>26962</v>
      </c>
      <c r="R97" s="44">
        <v>20838</v>
      </c>
      <c r="S97" s="11">
        <f>(鋼床鈑!O97+鋼床鈑!W97+鋼床鈑!X97)*鋼床鈑!U97+(鋼床鈑!R97+鋼床鈑!W97+鋼床鈑!X97)*鋼床鈑!V97</f>
        <v>166808</v>
      </c>
      <c r="T97" s="11">
        <f>(鋼床鈑!T97)*鋼床鈑!W97+(鋼床鈑!T97)*鋼床鈑!X97</f>
        <v>304152</v>
      </c>
      <c r="U97" s="11">
        <f>4*((鋼床鈑!R97+鋼床鈑!W97/2+鋼床鈑!X97/2)*(鋼床鈑!T97+鋼床鈑!U97/2+鋼床鈑!V97/2))^2/((鋼床鈑!O97+鋼床鈑!W97/2+鋼床鈑!X97/2)/鋼床鈑!U97+(鋼床鈑!R97+鋼床鈑!W97/2+鋼床鈑!X97/2)/鋼床鈑!V97+(鋼床鈑!T97+鋼床鈑!U97/2+鋼床鈑!V97/2)/鋼床鈑!W97+(鋼床鈑!T97+鋼床鈑!U97/2+鋼床鈑!V97/2)/鋼床鈑!X97)</f>
        <v>1145236130722.1619</v>
      </c>
      <c r="V97" s="12">
        <f t="shared" si="18"/>
        <v>0.29895248879433273</v>
      </c>
      <c r="W97" s="12">
        <f t="shared" si="19"/>
        <v>0.29442358500944887</v>
      </c>
      <c r="X97" s="12">
        <f t="shared" si="20"/>
        <v>0.70878874559473137</v>
      </c>
      <c r="Y97" s="12">
        <f t="shared" si="21"/>
        <v>0.46396840136820289</v>
      </c>
      <c r="Z97" s="12">
        <f t="shared" si="16"/>
        <v>1.5124069946130618</v>
      </c>
      <c r="AA97" s="12">
        <f t="shared" si="17"/>
        <v>1.6453116466421602</v>
      </c>
      <c r="AB97" s="10">
        <f t="shared" si="22"/>
        <v>4.0380000000000003</v>
      </c>
      <c r="AC97" s="10">
        <f t="shared" si="23"/>
        <v>6.45</v>
      </c>
      <c r="AD97" s="10">
        <f t="shared" si="24"/>
        <v>0.41827999999999999</v>
      </c>
      <c r="AE97" s="12">
        <f t="shared" si="25"/>
        <v>1.1452361307221619</v>
      </c>
      <c r="AF97" s="12">
        <f t="shared" si="26"/>
        <v>0.30415199999999998</v>
      </c>
      <c r="AG97" s="12">
        <f t="shared" si="27"/>
        <v>0.16680800000000001</v>
      </c>
      <c r="AH97" s="10">
        <f t="shared" si="28"/>
        <v>0.95676318043104602</v>
      </c>
      <c r="AI97" s="10">
        <f t="shared" si="29"/>
        <v>1.13230504740899</v>
      </c>
      <c r="AJ97" s="13">
        <f t="shared" si="30"/>
        <v>0.95676318043104602</v>
      </c>
      <c r="AK97" s="13">
        <f t="shared" si="31"/>
        <v>1.13230504740899</v>
      </c>
    </row>
    <row r="98" spans="1:37">
      <c r="A98" s="8">
        <f>鋼床鈑!A98</f>
        <v>96</v>
      </c>
      <c r="B98" s="43" t="s">
        <v>41</v>
      </c>
      <c r="C98" s="43" t="s">
        <v>42</v>
      </c>
      <c r="D98" s="43" t="s">
        <v>175</v>
      </c>
      <c r="E98" s="44">
        <v>418480</v>
      </c>
      <c r="F98" s="45">
        <v>121646.23020000001</v>
      </c>
      <c r="G98" s="45">
        <v>136394.22010000001</v>
      </c>
      <c r="H98" s="45">
        <v>729215379955.453</v>
      </c>
      <c r="I98" s="45">
        <v>1135482348272.01</v>
      </c>
      <c r="J98" s="45">
        <v>957161314592.51404</v>
      </c>
      <c r="K98" s="45">
        <v>3249.6387</v>
      </c>
      <c r="L98" s="45">
        <v>3200.3613</v>
      </c>
      <c r="M98" s="45">
        <v>1599.6804</v>
      </c>
      <c r="N98" s="45">
        <v>2443.3195999999998</v>
      </c>
      <c r="O98" s="44">
        <v>0</v>
      </c>
      <c r="P98" s="44">
        <v>0</v>
      </c>
      <c r="Q98" s="44">
        <v>26972</v>
      </c>
      <c r="R98" s="44">
        <v>20848</v>
      </c>
      <c r="S98" s="11">
        <f>(鋼床鈑!O98+鋼床鈑!W98+鋼床鈑!X98)*鋼床鈑!U98+(鋼床鈑!R98+鋼床鈑!W98+鋼床鈑!X98)*鋼床鈑!V98</f>
        <v>166808</v>
      </c>
      <c r="T98" s="11">
        <f>(鋼床鈑!T98)*鋼床鈑!W98+(鋼床鈑!T98)*鋼床鈑!X98</f>
        <v>304532</v>
      </c>
      <c r="U98" s="11">
        <f>4*((鋼床鈑!R98+鋼床鈑!W98/2+鋼床鈑!X98/2)*(鋼床鈑!T98+鋼床鈑!U98/2+鋼床鈑!V98/2))^2/((鋼床鈑!O98+鋼床鈑!W98/2+鋼床鈑!X98/2)/鋼床鈑!U98+(鋼床鈑!R98+鋼床鈑!W98/2+鋼床鈑!X98/2)/鋼床鈑!V98+(鋼床鈑!T98+鋼床鈑!U98/2+鋼床鈑!V98/2)/鋼床鈑!W98+(鋼床鈑!T98+鋼床鈑!U98/2+鋼床鈑!V98/2)/鋼床鈑!X98)</f>
        <v>1147418388619.46</v>
      </c>
      <c r="V98" s="12">
        <f t="shared" si="18"/>
        <v>0.29907914290568194</v>
      </c>
      <c r="W98" s="12">
        <f t="shared" si="19"/>
        <v>0.29454391794155887</v>
      </c>
      <c r="X98" s="12">
        <f t="shared" si="20"/>
        <v>0.709818253866216</v>
      </c>
      <c r="Y98" s="12">
        <f t="shared" si="21"/>
        <v>0.46472935766242374</v>
      </c>
      <c r="Z98" s="12">
        <f t="shared" si="16"/>
        <v>1.5123601146879766</v>
      </c>
      <c r="AA98" s="12">
        <f t="shared" si="17"/>
        <v>1.6472246781765474</v>
      </c>
      <c r="AB98" s="10">
        <f t="shared" si="22"/>
        <v>4.0430000000000001</v>
      </c>
      <c r="AC98" s="10">
        <f t="shared" si="23"/>
        <v>6.45</v>
      </c>
      <c r="AD98" s="10">
        <f t="shared" si="24"/>
        <v>0.41848000000000002</v>
      </c>
      <c r="AE98" s="12">
        <f t="shared" si="25"/>
        <v>1.14741838861946</v>
      </c>
      <c r="AF98" s="12">
        <f t="shared" si="26"/>
        <v>0.30453200000000002</v>
      </c>
      <c r="AG98" s="12">
        <f t="shared" si="27"/>
        <v>0.16680800000000001</v>
      </c>
      <c r="AH98" s="10">
        <f t="shared" si="28"/>
        <v>0.95716131459251408</v>
      </c>
      <c r="AI98" s="10">
        <f t="shared" si="29"/>
        <v>1.13548234827201</v>
      </c>
      <c r="AJ98" s="13">
        <f t="shared" si="30"/>
        <v>0.95716131459251408</v>
      </c>
      <c r="AK98" s="13">
        <f t="shared" si="31"/>
        <v>1.13548234827201</v>
      </c>
    </row>
    <row r="99" spans="1:37">
      <c r="A99" s="8">
        <f>鋼床鈑!A99</f>
        <v>97</v>
      </c>
      <c r="B99" s="43" t="s">
        <v>41</v>
      </c>
      <c r="C99" s="43" t="s">
        <v>42</v>
      </c>
      <c r="D99" s="43" t="s">
        <v>176</v>
      </c>
      <c r="E99" s="44">
        <v>418840</v>
      </c>
      <c r="F99" s="45">
        <v>121601.2522</v>
      </c>
      <c r="G99" s="45">
        <v>136753.8535</v>
      </c>
      <c r="H99" s="45">
        <v>731551312482.86096</v>
      </c>
      <c r="I99" s="45">
        <v>1141214429034.9099</v>
      </c>
      <c r="J99" s="45">
        <v>957877954861.797</v>
      </c>
      <c r="K99" s="45">
        <v>3249.6819999999998</v>
      </c>
      <c r="L99" s="45">
        <v>3200.3180000000002</v>
      </c>
      <c r="M99" s="45">
        <v>1603.5679</v>
      </c>
      <c r="N99" s="45">
        <v>2448.4321</v>
      </c>
      <c r="O99" s="44">
        <v>0</v>
      </c>
      <c r="P99" s="44">
        <v>0</v>
      </c>
      <c r="Q99" s="44">
        <v>26990</v>
      </c>
      <c r="R99" s="44">
        <v>20866</v>
      </c>
      <c r="S99" s="11">
        <f>(鋼床鈑!O99+鋼床鈑!W99+鋼床鈑!X99)*鋼床鈑!U99+(鋼床鈑!R99+鋼床鈑!W99+鋼床鈑!X99)*鋼床鈑!V99</f>
        <v>166808</v>
      </c>
      <c r="T99" s="11">
        <f>(鋼床鈑!T99)*鋼床鈑!W99+(鋼床鈑!T99)*鋼床鈑!X99</f>
        <v>305216</v>
      </c>
      <c r="U99" s="11">
        <f>4*((鋼床鈑!R99+鋼床鈑!W99/2+鋼床鈑!X99/2)*(鋼床鈑!T99+鋼床鈑!U99/2+鋼床鈑!V99/2))^2/((鋼床鈑!O99+鋼床鈑!W99/2+鋼床鈑!X99/2)/鋼床鈑!U99+(鋼床鈑!R99+鋼床鈑!W99/2+鋼床鈑!X99/2)/鋼床鈑!V99+(鋼床鈑!T99+鋼床鈑!U99/2+鋼床鈑!V99/2)/鋼床鈑!W99+(鋼床鈑!T99+鋼床鈑!U99/2+鋼床鈑!V99/2)/鋼床鈑!X99)</f>
        <v>1151348997332.4663</v>
      </c>
      <c r="V99" s="12">
        <f t="shared" si="18"/>
        <v>0.29930711724953485</v>
      </c>
      <c r="W99" s="12">
        <f t="shared" si="19"/>
        <v>0.29476051960216321</v>
      </c>
      <c r="X99" s="12">
        <f t="shared" si="20"/>
        <v>0.71167203399052203</v>
      </c>
      <c r="Y99" s="12">
        <f t="shared" si="21"/>
        <v>0.46610009280425219</v>
      </c>
      <c r="Z99" s="12">
        <f t="shared" si="16"/>
        <v>1.5122758390279532</v>
      </c>
      <c r="AA99" s="12">
        <f t="shared" si="17"/>
        <v>1.6506673138525454</v>
      </c>
      <c r="AB99" s="10">
        <f t="shared" si="22"/>
        <v>4.0519999999999996</v>
      </c>
      <c r="AC99" s="10">
        <f t="shared" si="23"/>
        <v>6.45</v>
      </c>
      <c r="AD99" s="10">
        <f t="shared" si="24"/>
        <v>0.41883999999999999</v>
      </c>
      <c r="AE99" s="12">
        <f t="shared" si="25"/>
        <v>1.1513489973324662</v>
      </c>
      <c r="AF99" s="12">
        <f t="shared" si="26"/>
        <v>0.30521599999999999</v>
      </c>
      <c r="AG99" s="12">
        <f t="shared" si="27"/>
        <v>0.16680800000000001</v>
      </c>
      <c r="AH99" s="10">
        <f t="shared" si="28"/>
        <v>0.95787795486179694</v>
      </c>
      <c r="AI99" s="10">
        <f t="shared" si="29"/>
        <v>1.14121442903491</v>
      </c>
      <c r="AJ99" s="13">
        <f t="shared" si="30"/>
        <v>0.95787795486179694</v>
      </c>
      <c r="AK99" s="13">
        <f t="shared" si="31"/>
        <v>1.14121442903491</v>
      </c>
    </row>
    <row r="100" spans="1:37">
      <c r="A100" s="8">
        <f>鋼床鈑!A100</f>
        <v>98</v>
      </c>
      <c r="B100" s="43" t="s">
        <v>41</v>
      </c>
      <c r="C100" s="43" t="s">
        <v>42</v>
      </c>
      <c r="D100" s="43" t="s">
        <v>177</v>
      </c>
      <c r="E100" s="44">
        <v>419360</v>
      </c>
      <c r="F100" s="45">
        <v>121537.3821</v>
      </c>
      <c r="G100" s="45">
        <v>137272.83559999999</v>
      </c>
      <c r="H100" s="45">
        <v>734927297506.32397</v>
      </c>
      <c r="I100" s="45">
        <v>1149523498369.46</v>
      </c>
      <c r="J100" s="45">
        <v>958913099152.27405</v>
      </c>
      <c r="K100" s="45">
        <v>3249.7444</v>
      </c>
      <c r="L100" s="45">
        <v>3200.2556</v>
      </c>
      <c r="M100" s="45">
        <v>1609.1849</v>
      </c>
      <c r="N100" s="45">
        <v>2455.8150999999998</v>
      </c>
      <c r="O100" s="44">
        <v>0</v>
      </c>
      <c r="P100" s="44">
        <v>0</v>
      </c>
      <c r="Q100" s="44">
        <v>27016</v>
      </c>
      <c r="R100" s="44">
        <v>20892</v>
      </c>
      <c r="S100" s="11">
        <f>(鋼床鈑!O100+鋼床鈑!W100+鋼床鈑!X100)*鋼床鈑!U100+(鋼床鈑!R100+鋼床鈑!W100+鋼床鈑!X100)*鋼床鈑!V100</f>
        <v>166808</v>
      </c>
      <c r="T100" s="11">
        <f>(鋼床鈑!T100)*鋼床鈑!W100+(鋼床鈑!T100)*鋼床鈑!X100</f>
        <v>306204</v>
      </c>
      <c r="U100" s="11">
        <f>4*((鋼床鈑!R100+鋼床鈑!W100/2+鋼床鈑!X100/2)*(鋼床鈑!T100+鋼床鈑!U100/2+鋼床鈑!V100/2))^2/((鋼床鈑!O100+鋼床鈑!W100/2+鋼床鈑!X100/2)/鋼床鈑!U100+(鋼床鈑!R100+鋼床鈑!W100/2+鋼床鈑!X100/2)/鋼床鈑!V100+(鋼床鈑!T100+鋼床鈑!U100/2+鋼床鈑!V100/2)/鋼床鈑!W100+(鋼床鈑!T100+鋼床鈑!U100/2+鋼床鈑!V100/2)/鋼床鈑!X100)</f>
        <v>1157032300957.8862</v>
      </c>
      <c r="V100" s="12">
        <f t="shared" si="18"/>
        <v>0.29963641002683478</v>
      </c>
      <c r="W100" s="12">
        <f t="shared" si="19"/>
        <v>0.29507339074183003</v>
      </c>
      <c r="X100" s="12">
        <f t="shared" si="20"/>
        <v>0.71435140757874371</v>
      </c>
      <c r="Y100" s="12">
        <f t="shared" si="21"/>
        <v>0.46808226660446062</v>
      </c>
      <c r="Z100" s="12">
        <f t="shared" si="16"/>
        <v>1.5121543525201886</v>
      </c>
      <c r="AA100" s="12">
        <f t="shared" si="17"/>
        <v>1.6556381495089885</v>
      </c>
      <c r="AB100" s="10">
        <f t="shared" si="22"/>
        <v>4.0650000000000004</v>
      </c>
      <c r="AC100" s="10">
        <f t="shared" si="23"/>
        <v>6.45</v>
      </c>
      <c r="AD100" s="10">
        <f t="shared" si="24"/>
        <v>0.41936000000000001</v>
      </c>
      <c r="AE100" s="12">
        <f t="shared" si="25"/>
        <v>1.1570323009578862</v>
      </c>
      <c r="AF100" s="12">
        <f t="shared" si="26"/>
        <v>0.30620399999999998</v>
      </c>
      <c r="AG100" s="12">
        <f t="shared" si="27"/>
        <v>0.16680800000000001</v>
      </c>
      <c r="AH100" s="10">
        <f t="shared" si="28"/>
        <v>0.95891309915227407</v>
      </c>
      <c r="AI100" s="10">
        <f t="shared" si="29"/>
        <v>1.14952349836946</v>
      </c>
      <c r="AJ100" s="13">
        <f t="shared" si="30"/>
        <v>0.95891309915227407</v>
      </c>
      <c r="AK100" s="13">
        <f t="shared" si="31"/>
        <v>1.14952349836946</v>
      </c>
    </row>
    <row r="101" spans="1:37">
      <c r="A101" s="8">
        <f>鋼床鈑!A101</f>
        <v>99</v>
      </c>
      <c r="B101" s="43" t="s">
        <v>41</v>
      </c>
      <c r="C101" s="43" t="s">
        <v>42</v>
      </c>
      <c r="D101" s="43" t="s">
        <v>178</v>
      </c>
      <c r="E101" s="44">
        <v>420040</v>
      </c>
      <c r="F101" s="45">
        <v>121452.56819999999</v>
      </c>
      <c r="G101" s="45">
        <v>137951.10449999999</v>
      </c>
      <c r="H101" s="45">
        <v>739342045362.58606</v>
      </c>
      <c r="I101" s="45">
        <v>1160441695830.02</v>
      </c>
      <c r="J101" s="45">
        <v>960266744465.72205</v>
      </c>
      <c r="K101" s="45">
        <v>3249.8256999999999</v>
      </c>
      <c r="L101" s="45">
        <v>3200.1743000000001</v>
      </c>
      <c r="M101" s="45">
        <v>1616.5336</v>
      </c>
      <c r="N101" s="45">
        <v>2465.4663999999998</v>
      </c>
      <c r="O101" s="44">
        <v>0</v>
      </c>
      <c r="P101" s="44">
        <v>0</v>
      </c>
      <c r="Q101" s="44">
        <v>27050</v>
      </c>
      <c r="R101" s="44">
        <v>20926</v>
      </c>
      <c r="S101" s="11">
        <f>(鋼床鈑!O101+鋼床鈑!W101+鋼床鈑!X101)*鋼床鈑!U101+(鋼床鈑!R101+鋼床鈑!W101+鋼床鈑!X101)*鋼床鈑!V101</f>
        <v>166808</v>
      </c>
      <c r="T101" s="11">
        <f>(鋼床鈑!T101)*鋼床鈑!W101+(鋼床鈑!T101)*鋼床鈑!X101</f>
        <v>307496</v>
      </c>
      <c r="U101" s="11">
        <f>4*((鋼床鈑!R101+鋼床鈑!W101/2+鋼床鈑!X101/2)*(鋼床鈑!T101+鋼床鈑!U101/2+鋼床鈑!V101/2))^2/((鋼床鈑!O101+鋼床鈑!W101/2+鋼床鈑!X101/2)/鋼床鈑!U101+(鋼床鈑!R101+鋼床鈑!W101/2+鋼床鈑!X101/2)/鋼床鈑!V101+(鋼床鈑!T101+鋼床鈑!U101/2+鋼床鈑!V101/2)/鋼床鈑!W101+(鋼床鈑!T101+鋼床鈑!U101/2+鋼床鈑!V101/2)/鋼床鈑!X101)</f>
        <v>1164474534757.4888</v>
      </c>
      <c r="V101" s="12">
        <f t="shared" si="18"/>
        <v>0.30006701337040359</v>
      </c>
      <c r="W101" s="12">
        <f t="shared" si="19"/>
        <v>0.29548253756062121</v>
      </c>
      <c r="X101" s="12">
        <f t="shared" si="20"/>
        <v>0.7178580734913399</v>
      </c>
      <c r="Y101" s="12">
        <f t="shared" si="21"/>
        <v>0.47067836569584565</v>
      </c>
      <c r="Z101" s="12">
        <f t="shared" si="16"/>
        <v>1.5119959208806872</v>
      </c>
      <c r="AA101" s="12">
        <f t="shared" si="17"/>
        <v>1.662135164478151</v>
      </c>
      <c r="AB101" s="10">
        <f t="shared" si="22"/>
        <v>4.0819999999999999</v>
      </c>
      <c r="AC101" s="10">
        <f t="shared" si="23"/>
        <v>6.45</v>
      </c>
      <c r="AD101" s="10">
        <f t="shared" si="24"/>
        <v>0.42004000000000002</v>
      </c>
      <c r="AE101" s="12">
        <f t="shared" si="25"/>
        <v>1.1644745347574887</v>
      </c>
      <c r="AF101" s="12">
        <f t="shared" si="26"/>
        <v>0.30749599999999999</v>
      </c>
      <c r="AG101" s="12">
        <f t="shared" si="27"/>
        <v>0.16680800000000001</v>
      </c>
      <c r="AH101" s="10">
        <f t="shared" si="28"/>
        <v>0.96026674446572202</v>
      </c>
      <c r="AI101" s="10">
        <f t="shared" si="29"/>
        <v>1.1604416958300201</v>
      </c>
      <c r="AJ101" s="13">
        <f t="shared" si="30"/>
        <v>0.96026674446572202</v>
      </c>
      <c r="AK101" s="13">
        <f t="shared" si="31"/>
        <v>1.1604416958300201</v>
      </c>
    </row>
    <row r="102" spans="1:37">
      <c r="A102" s="8">
        <f>鋼床鈑!A102</f>
        <v>100</v>
      </c>
      <c r="B102" s="43" t="s">
        <v>41</v>
      </c>
      <c r="C102" s="43" t="s">
        <v>42</v>
      </c>
      <c r="D102" s="43" t="s">
        <v>179</v>
      </c>
      <c r="E102" s="44">
        <v>420880</v>
      </c>
      <c r="F102" s="45">
        <v>121337.2001</v>
      </c>
      <c r="G102" s="45">
        <v>138788.35209999999</v>
      </c>
      <c r="H102" s="45">
        <v>744782060983.80298</v>
      </c>
      <c r="I102" s="45">
        <v>1174011157663.96</v>
      </c>
      <c r="J102" s="45">
        <v>961938886909.35303</v>
      </c>
      <c r="K102" s="45">
        <v>3249.9259000000002</v>
      </c>
      <c r="L102" s="45">
        <v>3200.0740999999998</v>
      </c>
      <c r="M102" s="45">
        <v>1625.6165000000001</v>
      </c>
      <c r="N102" s="45">
        <v>2477.3834999999999</v>
      </c>
      <c r="O102" s="44">
        <v>0</v>
      </c>
      <c r="P102" s="44">
        <v>0</v>
      </c>
      <c r="Q102" s="44">
        <v>27092</v>
      </c>
      <c r="R102" s="44">
        <v>20968</v>
      </c>
      <c r="S102" s="11">
        <f>(鋼床鈑!O102+鋼床鈑!W102+鋼床鈑!X102)*鋼床鈑!U102+(鋼床鈑!R102+鋼床鈑!W102+鋼床鈑!X102)*鋼床鈑!V102</f>
        <v>166808</v>
      </c>
      <c r="T102" s="11">
        <f>(鋼床鈑!T102)*鋼床鈑!W102+(鋼床鈑!T102)*鋼床鈑!X102</f>
        <v>309092</v>
      </c>
      <c r="U102" s="11">
        <f>4*((鋼床鈑!R102+鋼床鈑!W102/2+鋼床鈑!X102/2)*(鋼床鈑!T102+鋼床鈑!U102/2+鋼床鈑!V102/2))^2/((鋼床鈑!O102+鋼床鈑!W102/2+鋼床鈑!X102/2)/鋼床鈑!U102+(鋼床鈑!R102+鋼床鈑!W102/2+鋼床鈑!X102/2)/鋼床鈑!V102+(鋼床鈑!T102+鋼床鈑!U102/2+鋼床鈑!V102/2)/鋼床鈑!W102+(鋼床鈑!T102+鋼床鈑!U102/2+鋼床鈑!V102/2)/鋼床鈑!X102)</f>
        <v>1173683782605.312</v>
      </c>
      <c r="V102" s="12">
        <f t="shared" si="18"/>
        <v>0.30059894141493571</v>
      </c>
      <c r="W102" s="12">
        <f t="shared" si="19"/>
        <v>0.29598794449724314</v>
      </c>
      <c r="X102" s="12">
        <f t="shared" si="20"/>
        <v>0.72219441526581452</v>
      </c>
      <c r="Y102" s="12">
        <f t="shared" si="21"/>
        <v>0.47389157054770087</v>
      </c>
      <c r="Z102" s="12">
        <f t="shared" si="16"/>
        <v>1.5118008892048054</v>
      </c>
      <c r="AA102" s="12">
        <f t="shared" si="17"/>
        <v>1.6701557297803729</v>
      </c>
      <c r="AB102" s="10">
        <f t="shared" si="22"/>
        <v>4.1029999999999998</v>
      </c>
      <c r="AC102" s="10">
        <f t="shared" si="23"/>
        <v>6.45</v>
      </c>
      <c r="AD102" s="10">
        <f t="shared" si="24"/>
        <v>0.42087999999999998</v>
      </c>
      <c r="AE102" s="12">
        <f t="shared" si="25"/>
        <v>1.1736837826053119</v>
      </c>
      <c r="AF102" s="12">
        <f t="shared" si="26"/>
        <v>0.30909199999999998</v>
      </c>
      <c r="AG102" s="12">
        <f t="shared" si="27"/>
        <v>0.16680800000000001</v>
      </c>
      <c r="AH102" s="10">
        <f t="shared" si="28"/>
        <v>0.96193888690935303</v>
      </c>
      <c r="AI102" s="10">
        <f t="shared" si="29"/>
        <v>1.17401115766396</v>
      </c>
      <c r="AJ102" s="13">
        <f t="shared" si="30"/>
        <v>0.96193888690935303</v>
      </c>
      <c r="AK102" s="13">
        <f t="shared" si="31"/>
        <v>1.17401115766396</v>
      </c>
    </row>
    <row r="103" spans="1:37">
      <c r="A103" s="8">
        <f>鋼床鈑!A103</f>
        <v>101</v>
      </c>
      <c r="B103" s="43" t="s">
        <v>41</v>
      </c>
      <c r="C103" s="43" t="s">
        <v>42</v>
      </c>
      <c r="D103" s="43" t="s">
        <v>180</v>
      </c>
      <c r="E103" s="44">
        <v>421840</v>
      </c>
      <c r="F103" s="45">
        <v>121217.4097</v>
      </c>
      <c r="G103" s="45">
        <v>139747.0422</v>
      </c>
      <c r="H103" s="45">
        <v>751037681780.09204</v>
      </c>
      <c r="I103" s="45">
        <v>1189630701407.1101</v>
      </c>
      <c r="J103" s="45">
        <v>963849896553.15295</v>
      </c>
      <c r="K103" s="45">
        <v>3250.0398</v>
      </c>
      <c r="L103" s="45">
        <v>3199.9602</v>
      </c>
      <c r="M103" s="45">
        <v>1636.0038</v>
      </c>
      <c r="N103" s="45">
        <v>2490.9962</v>
      </c>
      <c r="O103" s="44">
        <v>0</v>
      </c>
      <c r="P103" s="44">
        <v>0</v>
      </c>
      <c r="Q103" s="44">
        <v>27140</v>
      </c>
      <c r="R103" s="44">
        <v>21016</v>
      </c>
      <c r="S103" s="11">
        <f>(鋼床鈑!O103+鋼床鈑!W103+鋼床鈑!X103)*鋼床鈑!U103+(鋼床鈑!R103+鋼床鈑!W103+鋼床鈑!X103)*鋼床鈑!V103</f>
        <v>160720</v>
      </c>
      <c r="T103" s="11">
        <f>(鋼床鈑!T103)*鋼床鈑!W103+(鋼床鈑!T103)*鋼床鈑!X103</f>
        <v>286370</v>
      </c>
      <c r="U103" s="11">
        <f>4*((鋼床鈑!R103+鋼床鈑!W103/2+鋼床鈑!X103/2)*(鋼床鈑!T103+鋼床鈑!U103/2+鋼床鈑!V103/2))^2/((鋼床鈑!O103+鋼床鈑!W103/2+鋼床鈑!X103/2)/鋼床鈑!U103+(鋼床鈑!R103+鋼床鈑!W103/2+鋼床鈑!X103/2)/鋼床鈑!V103+(鋼床鈑!T103+鋼床鈑!U103/2+鋼床鈑!V103/2)/鋼床鈑!W103+(鋼床鈑!T103+鋼床鈑!U103/2+鋼床鈑!V103/2)/鋼床鈑!X103)</f>
        <v>1128268789459.4253</v>
      </c>
      <c r="V103" s="12">
        <f t="shared" si="18"/>
        <v>0.30120683893291955</v>
      </c>
      <c r="W103" s="12">
        <f t="shared" si="19"/>
        <v>0.29656556715187088</v>
      </c>
      <c r="X103" s="12">
        <f t="shared" si="20"/>
        <v>0.72715644145026448</v>
      </c>
      <c r="Y103" s="12">
        <f t="shared" si="21"/>
        <v>0.47757226663256658</v>
      </c>
      <c r="Z103" s="12">
        <f t="shared" si="16"/>
        <v>1.5115789082695477</v>
      </c>
      <c r="AA103" s="12">
        <f t="shared" si="17"/>
        <v>1.6793151372195183</v>
      </c>
      <c r="AB103" s="10">
        <f t="shared" si="22"/>
        <v>4.1269999999999998</v>
      </c>
      <c r="AC103" s="10">
        <f t="shared" si="23"/>
        <v>6.45</v>
      </c>
      <c r="AD103" s="10">
        <f t="shared" si="24"/>
        <v>0.42183999999999999</v>
      </c>
      <c r="AE103" s="12">
        <f t="shared" si="25"/>
        <v>1.1282687894594252</v>
      </c>
      <c r="AF103" s="12">
        <f t="shared" si="26"/>
        <v>0.28637000000000001</v>
      </c>
      <c r="AG103" s="12">
        <f t="shared" si="27"/>
        <v>0.16072</v>
      </c>
      <c r="AH103" s="10">
        <f t="shared" si="28"/>
        <v>0.96384989655315301</v>
      </c>
      <c r="AI103" s="10">
        <f t="shared" si="29"/>
        <v>1.1896307014071101</v>
      </c>
      <c r="AJ103" s="13">
        <f t="shared" si="30"/>
        <v>0.96384989655315301</v>
      </c>
      <c r="AK103" s="13">
        <f t="shared" si="31"/>
        <v>1.1896307014071101</v>
      </c>
    </row>
    <row r="104" spans="1:37">
      <c r="A104" s="8">
        <f>鋼床鈑!A104</f>
        <v>102</v>
      </c>
      <c r="B104" s="43" t="s">
        <v>41</v>
      </c>
      <c r="C104" s="43" t="s">
        <v>42</v>
      </c>
      <c r="D104" s="43" t="s">
        <v>181</v>
      </c>
      <c r="E104" s="44">
        <v>423000</v>
      </c>
      <c r="F104" s="45">
        <v>121071.6912</v>
      </c>
      <c r="G104" s="45">
        <v>140904.04240000001</v>
      </c>
      <c r="H104" s="45">
        <v>758599976520.44604</v>
      </c>
      <c r="I104" s="45">
        <v>1208663521762.1699</v>
      </c>
      <c r="J104" s="45">
        <v>966159018661.84497</v>
      </c>
      <c r="K104" s="45">
        <v>3250.1768000000002</v>
      </c>
      <c r="L104" s="45">
        <v>3199.8231999999998</v>
      </c>
      <c r="M104" s="45">
        <v>1648.5650000000001</v>
      </c>
      <c r="N104" s="45">
        <v>2507.4349999999999</v>
      </c>
      <c r="O104" s="44">
        <v>0</v>
      </c>
      <c r="P104" s="44">
        <v>0</v>
      </c>
      <c r="Q104" s="44">
        <v>27198</v>
      </c>
      <c r="R104" s="44">
        <v>21074</v>
      </c>
      <c r="S104" s="11">
        <f>(鋼床鈑!O104+鋼床鈑!W104+鋼床鈑!X104)*鋼床鈑!U104+(鋼床鈑!R104+鋼床鈑!W104+鋼床鈑!X104)*鋼床鈑!V104</f>
        <v>160720</v>
      </c>
      <c r="T104" s="11">
        <f>(鋼床鈑!T104)*鋼床鈑!W104+(鋼床鈑!T104)*鋼床鈑!X104</f>
        <v>288400</v>
      </c>
      <c r="U104" s="11">
        <f>4*((鋼床鈑!R104+鋼床鈑!W104/2+鋼床鈑!X104/2)*(鋼床鈑!T104+鋼床鈑!U104/2+鋼床鈑!V104/2))^2/((鋼床鈑!O104+鋼床鈑!W104/2+鋼床鈑!X104/2)/鋼床鈑!U104+(鋼床鈑!R104+鋼床鈑!W104/2+鋼床鈑!X104/2)/鋼床鈑!V104+(鋼床鈑!T104+鋼床鈑!U104/2+鋼床鈑!V104/2)/鋼床鈑!W104+(鋼床鈑!T104+鋼床鈑!U104/2+鋼床鈑!V104/2)/鋼床鈑!X104)</f>
        <v>1140303171271.7273</v>
      </c>
      <c r="V104" s="12">
        <f t="shared" si="18"/>
        <v>0.30194137559282808</v>
      </c>
      <c r="W104" s="12">
        <f t="shared" si="19"/>
        <v>0.29726352691393432</v>
      </c>
      <c r="X104" s="12">
        <f t="shared" si="20"/>
        <v>0.73316097440026318</v>
      </c>
      <c r="Y104" s="12">
        <f t="shared" si="21"/>
        <v>0.48203184599487919</v>
      </c>
      <c r="Z104" s="12">
        <f t="shared" si="16"/>
        <v>1.5113119710718468</v>
      </c>
      <c r="AA104" s="12">
        <f t="shared" si="17"/>
        <v>1.69037290901794</v>
      </c>
      <c r="AB104" s="10">
        <f t="shared" si="22"/>
        <v>4.1559999999999997</v>
      </c>
      <c r="AC104" s="10">
        <f t="shared" si="23"/>
        <v>6.45</v>
      </c>
      <c r="AD104" s="10">
        <f t="shared" si="24"/>
        <v>0.42299999999999999</v>
      </c>
      <c r="AE104" s="12">
        <f t="shared" si="25"/>
        <v>1.1403031712717273</v>
      </c>
      <c r="AF104" s="12">
        <f t="shared" si="26"/>
        <v>0.28839999999999999</v>
      </c>
      <c r="AG104" s="12">
        <f t="shared" si="27"/>
        <v>0.16072</v>
      </c>
      <c r="AH104" s="10">
        <f t="shared" si="28"/>
        <v>0.96615901866184495</v>
      </c>
      <c r="AI104" s="10">
        <f t="shared" si="29"/>
        <v>1.20866352176217</v>
      </c>
      <c r="AJ104" s="13">
        <f t="shared" si="30"/>
        <v>0.96615901866184495</v>
      </c>
      <c r="AK104" s="13">
        <f t="shared" si="31"/>
        <v>1.20866352176217</v>
      </c>
    </row>
    <row r="105" spans="1:37">
      <c r="A105" s="8">
        <f>鋼床鈑!A105</f>
        <v>103</v>
      </c>
      <c r="B105" s="43" t="s">
        <v>41</v>
      </c>
      <c r="C105" s="43" t="s">
        <v>42</v>
      </c>
      <c r="D105" s="43" t="s">
        <v>182</v>
      </c>
      <c r="E105" s="44">
        <v>424280</v>
      </c>
      <c r="F105" s="45">
        <v>120911.5992</v>
      </c>
      <c r="G105" s="45">
        <v>142181.55119999999</v>
      </c>
      <c r="H105" s="45">
        <v>766966731345.10303</v>
      </c>
      <c r="I105" s="45">
        <v>1229868028661.4299</v>
      </c>
      <c r="J105" s="45">
        <v>968706997148.18396</v>
      </c>
      <c r="K105" s="45">
        <v>3250.3271</v>
      </c>
      <c r="L105" s="45">
        <v>3199.6729</v>
      </c>
      <c r="M105" s="45">
        <v>1662.4378999999999</v>
      </c>
      <c r="N105" s="45">
        <v>2525.5621000000001</v>
      </c>
      <c r="O105" s="44">
        <v>0</v>
      </c>
      <c r="P105" s="44">
        <v>0</v>
      </c>
      <c r="Q105" s="44">
        <v>27262</v>
      </c>
      <c r="R105" s="44">
        <v>21138</v>
      </c>
      <c r="S105" s="11">
        <f>(鋼床鈑!O105+鋼床鈑!W105+鋼床鈑!X105)*鋼床鈑!U105+(鋼床鈑!R105+鋼床鈑!W105+鋼床鈑!X105)*鋼床鈑!V105</f>
        <v>160720</v>
      </c>
      <c r="T105" s="11">
        <f>(鋼床鈑!T105)*鋼床鈑!W105+(鋼床鈑!T105)*鋼床鈑!X105</f>
        <v>290640</v>
      </c>
      <c r="U105" s="11">
        <f>4*((鋼床鈑!R105+鋼床鈑!W105/2+鋼床鈑!X105/2)*(鋼床鈑!T105+鋼床鈑!U105/2+鋼床鈑!V105/2))^2/((鋼床鈑!O105+鋼床鈑!W105/2+鋼床鈑!X105/2)/鋼床鈑!U105+(鋼床鈑!R105+鋼床鈑!W105/2+鋼床鈑!X105/2)/鋼床鈑!V105+(鋼床鈑!T105+鋼床鈑!U105/2+鋼床鈑!V105/2)/鋼床鈑!W105+(鋼床鈑!T105+鋼床鈑!U105/2+鋼床鈑!V105/2)/鋼床鈑!X105)</f>
        <v>1153616307331.4385</v>
      </c>
      <c r="V105" s="12">
        <f t="shared" si="18"/>
        <v>0.30275188352790189</v>
      </c>
      <c r="W105" s="12">
        <f t="shared" si="19"/>
        <v>0.29803369548504333</v>
      </c>
      <c r="X105" s="12">
        <f t="shared" si="20"/>
        <v>0.73979787675764008</v>
      </c>
      <c r="Y105" s="12">
        <f t="shared" si="21"/>
        <v>0.4869680411586117</v>
      </c>
      <c r="Z105" s="12">
        <f t="shared" si="16"/>
        <v>1.5110190450837748</v>
      </c>
      <c r="AA105" s="12">
        <f t="shared" si="17"/>
        <v>1.7025621561055075</v>
      </c>
      <c r="AB105" s="10">
        <f t="shared" si="22"/>
        <v>4.1879999999999997</v>
      </c>
      <c r="AC105" s="10">
        <f t="shared" si="23"/>
        <v>6.45</v>
      </c>
      <c r="AD105" s="10">
        <f t="shared" si="24"/>
        <v>0.42427999999999999</v>
      </c>
      <c r="AE105" s="12">
        <f t="shared" si="25"/>
        <v>1.1536163073314385</v>
      </c>
      <c r="AF105" s="12">
        <f t="shared" si="26"/>
        <v>0.29064000000000001</v>
      </c>
      <c r="AG105" s="12">
        <f t="shared" si="27"/>
        <v>0.16072</v>
      </c>
      <c r="AH105" s="10">
        <f t="shared" si="28"/>
        <v>0.96870699714818398</v>
      </c>
      <c r="AI105" s="10">
        <f t="shared" si="29"/>
        <v>1.2298680286614299</v>
      </c>
      <c r="AJ105" s="13">
        <f t="shared" si="30"/>
        <v>0.96870699714818398</v>
      </c>
      <c r="AK105" s="13">
        <f t="shared" si="31"/>
        <v>1.2298680286614299</v>
      </c>
    </row>
    <row r="106" spans="1:37">
      <c r="A106" s="8">
        <f>鋼床鈑!A106</f>
        <v>104</v>
      </c>
      <c r="B106" s="43" t="s">
        <v>41</v>
      </c>
      <c r="C106" s="43" t="s">
        <v>42</v>
      </c>
      <c r="D106" s="43" t="s">
        <v>183</v>
      </c>
      <c r="E106" s="44">
        <v>425720</v>
      </c>
      <c r="F106" s="45">
        <v>120730.325</v>
      </c>
      <c r="G106" s="45">
        <v>143618.731</v>
      </c>
      <c r="H106" s="45">
        <v>776397566714.18799</v>
      </c>
      <c r="I106" s="45">
        <v>1253978231042.4299</v>
      </c>
      <c r="J106" s="45">
        <v>971573450175.58704</v>
      </c>
      <c r="K106" s="45">
        <v>3250.4951999999998</v>
      </c>
      <c r="L106" s="45">
        <v>3199.5048000000002</v>
      </c>
      <c r="M106" s="45">
        <v>1678.0601999999999</v>
      </c>
      <c r="N106" s="45">
        <v>2545.9398000000001</v>
      </c>
      <c r="O106" s="44">
        <v>0</v>
      </c>
      <c r="P106" s="44">
        <v>0</v>
      </c>
      <c r="Q106" s="44">
        <v>27334</v>
      </c>
      <c r="R106" s="44">
        <v>21210</v>
      </c>
      <c r="S106" s="11">
        <f>(鋼床鈑!O106+鋼床鈑!W106+鋼床鈑!X106)*鋼床鈑!U106+(鋼床鈑!R106+鋼床鈑!W106+鋼床鈑!X106)*鋼床鈑!V106</f>
        <v>160720</v>
      </c>
      <c r="T106" s="11">
        <f>(鋼床鈑!T106)*鋼床鈑!W106+(鋼床鈑!T106)*鋼床鈑!X106</f>
        <v>293160</v>
      </c>
      <c r="U106" s="11">
        <f>4*((鋼床鈑!R106+鋼床鈑!W106/2+鋼床鈑!X106/2)*(鋼床鈑!T106+鋼床鈑!U106/2+鋼床鈑!V106/2))^2/((鋼床鈑!O106+鋼床鈑!W106/2+鋼床鈑!X106/2)/鋼床鈑!U106+(鋼床鈑!R106+鋼床鈑!W106/2+鋼床鈑!X106/2)/鋼床鈑!V106+(鋼床鈑!T106+鋼床鈑!U106/2+鋼床鈑!V106/2)/鋼床鈑!W106+(鋼床鈑!T106+鋼床鈑!U106/2+鋼床鈑!V106/2)/鋼床鈑!X106)</f>
        <v>1168635515986.0203</v>
      </c>
      <c r="V106" s="12">
        <f t="shared" si="18"/>
        <v>0.30366369513669333</v>
      </c>
      <c r="W106" s="12">
        <f t="shared" si="19"/>
        <v>0.29890013379364072</v>
      </c>
      <c r="X106" s="12">
        <f t="shared" si="20"/>
        <v>0.74727845344429833</v>
      </c>
      <c r="Y106" s="12">
        <f t="shared" si="21"/>
        <v>0.49254040925964937</v>
      </c>
      <c r="Z106" s="12">
        <f t="shared" si="16"/>
        <v>1.5106915239146212</v>
      </c>
      <c r="AA106" s="12">
        <f t="shared" si="17"/>
        <v>1.7162595698829923</v>
      </c>
      <c r="AB106" s="10">
        <f t="shared" si="22"/>
        <v>4.2240000000000002</v>
      </c>
      <c r="AC106" s="10">
        <f t="shared" si="23"/>
        <v>6.45</v>
      </c>
      <c r="AD106" s="10">
        <f t="shared" si="24"/>
        <v>0.42571999999999999</v>
      </c>
      <c r="AE106" s="12">
        <f t="shared" si="25"/>
        <v>1.1686355159860202</v>
      </c>
      <c r="AF106" s="12">
        <f t="shared" si="26"/>
        <v>0.29315999999999998</v>
      </c>
      <c r="AG106" s="12">
        <f t="shared" si="27"/>
        <v>0.16072</v>
      </c>
      <c r="AH106" s="10">
        <f t="shared" si="28"/>
        <v>0.97157345017558705</v>
      </c>
      <c r="AI106" s="10">
        <f t="shared" si="29"/>
        <v>1.2539782310424299</v>
      </c>
      <c r="AJ106" s="13">
        <f t="shared" si="30"/>
        <v>0.97157345017558705</v>
      </c>
      <c r="AK106" s="13">
        <f t="shared" si="31"/>
        <v>1.2539782310424299</v>
      </c>
    </row>
    <row r="107" spans="1:37">
      <c r="A107" s="8">
        <f>鋼床鈑!A107</f>
        <v>105</v>
      </c>
      <c r="B107" s="43" t="s">
        <v>41</v>
      </c>
      <c r="C107" s="43" t="s">
        <v>42</v>
      </c>
      <c r="D107" s="43" t="s">
        <v>184</v>
      </c>
      <c r="E107" s="44">
        <v>427320</v>
      </c>
      <c r="F107" s="45">
        <v>120528.1048</v>
      </c>
      <c r="G107" s="45">
        <v>145215.48980000001</v>
      </c>
      <c r="H107" s="45">
        <v>786899287402.29504</v>
      </c>
      <c r="I107" s="45">
        <v>1281085327181.6499</v>
      </c>
      <c r="J107" s="45">
        <v>974758369993.54102</v>
      </c>
      <c r="K107" s="45">
        <v>3250.6804999999999</v>
      </c>
      <c r="L107" s="45">
        <v>3199.3195000000001</v>
      </c>
      <c r="M107" s="45">
        <v>1695.4371000000001</v>
      </c>
      <c r="N107" s="45">
        <v>2568.5628999999999</v>
      </c>
      <c r="O107" s="44">
        <v>0</v>
      </c>
      <c r="P107" s="44">
        <v>0</v>
      </c>
      <c r="Q107" s="44">
        <v>27414</v>
      </c>
      <c r="R107" s="44">
        <v>21290</v>
      </c>
      <c r="S107" s="11">
        <f>(鋼床鈑!O107+鋼床鈑!W107+鋼床鈑!X107)*鋼床鈑!U107+(鋼床鈑!R107+鋼床鈑!W107+鋼床鈑!X107)*鋼床鈑!V107</f>
        <v>145656</v>
      </c>
      <c r="T107" s="11">
        <f>(鋼床鈑!T107)*鋼床鈑!W107+(鋼床鈑!T107)*鋼床鈑!X107</f>
        <v>236768</v>
      </c>
      <c r="U107" s="11">
        <f>4*((鋼床鈑!R107+鋼床鈑!W107/2+鋼床鈑!X107/2)*(鋼床鈑!T107+鋼床鈑!U107/2+鋼床鈑!V107/2))^2/((鋼床鈑!O107+鋼床鈑!W107/2+鋼床鈑!X107/2)/鋼床鈑!U107+(鋼床鈑!R107+鋼床鈑!W107/2+鋼床鈑!X107/2)/鋼床鈑!V107+(鋼床鈑!T107+鋼床鈑!U107/2+鋼床鈑!V107/2)/鋼床鈑!W107+(鋼床鈑!T107+鋼床鈑!U107/2+鋼床鈑!V107/2)/鋼床鈑!X107)</f>
        <v>1031006422700.3541</v>
      </c>
      <c r="V107" s="12">
        <f t="shared" si="18"/>
        <v>0.30467678204491333</v>
      </c>
      <c r="W107" s="12">
        <f t="shared" si="19"/>
        <v>0.29986286563491582</v>
      </c>
      <c r="X107" s="12">
        <f t="shared" si="20"/>
        <v>0.75560769973810871</v>
      </c>
      <c r="Y107" s="12">
        <f t="shared" si="21"/>
        <v>0.49875567663990233</v>
      </c>
      <c r="Z107" s="12">
        <f t="shared" si="16"/>
        <v>1.5103300963336719</v>
      </c>
      <c r="AA107" s="12">
        <f t="shared" si="17"/>
        <v>1.7314598233476846</v>
      </c>
      <c r="AB107" s="10">
        <f t="shared" si="22"/>
        <v>4.2640000000000002</v>
      </c>
      <c r="AC107" s="10">
        <f t="shared" si="23"/>
        <v>6.45</v>
      </c>
      <c r="AD107" s="10">
        <f t="shared" si="24"/>
        <v>0.42731999999999998</v>
      </c>
      <c r="AE107" s="12">
        <f t="shared" si="25"/>
        <v>1.0310064227003541</v>
      </c>
      <c r="AF107" s="12">
        <f t="shared" si="26"/>
        <v>0.23676800000000001</v>
      </c>
      <c r="AG107" s="12">
        <f t="shared" si="27"/>
        <v>0.14565600000000001</v>
      </c>
      <c r="AH107" s="10">
        <f t="shared" si="28"/>
        <v>0.97475836999354104</v>
      </c>
      <c r="AI107" s="10">
        <f t="shared" si="29"/>
        <v>1.2810853271816498</v>
      </c>
      <c r="AJ107" s="13">
        <f t="shared" si="30"/>
        <v>0.97475836999354104</v>
      </c>
      <c r="AK107" s="13">
        <f t="shared" si="31"/>
        <v>1.2810853271816498</v>
      </c>
    </row>
    <row r="108" spans="1:37">
      <c r="A108" s="8">
        <f>鋼床鈑!A108</f>
        <v>106</v>
      </c>
      <c r="B108" s="43" t="s">
        <v>41</v>
      </c>
      <c r="C108" s="43" t="s">
        <v>42</v>
      </c>
      <c r="D108" s="43" t="s">
        <v>185</v>
      </c>
      <c r="E108" s="44">
        <v>429080</v>
      </c>
      <c r="F108" s="45">
        <v>120294.1122</v>
      </c>
      <c r="G108" s="45">
        <v>146970.14749999999</v>
      </c>
      <c r="H108" s="45">
        <v>798451127546.25806</v>
      </c>
      <c r="I108" s="45">
        <v>1311291287205.0601</v>
      </c>
      <c r="J108" s="45">
        <v>978261748143.69897</v>
      </c>
      <c r="K108" s="45">
        <v>3250.8827999999999</v>
      </c>
      <c r="L108" s="45">
        <v>3199.1172000000001</v>
      </c>
      <c r="M108" s="45">
        <v>1714.5743</v>
      </c>
      <c r="N108" s="45">
        <v>2593.4256999999998</v>
      </c>
      <c r="O108" s="44">
        <v>0</v>
      </c>
      <c r="P108" s="44">
        <v>0</v>
      </c>
      <c r="Q108" s="44">
        <v>27502</v>
      </c>
      <c r="R108" s="44">
        <v>21378</v>
      </c>
      <c r="S108" s="11">
        <f>(鋼床鈑!O108+鋼床鈑!W108+鋼床鈑!X108)*鋼床鈑!U108+(鋼床鈑!R108+鋼床鈑!W108+鋼床鈑!X108)*鋼床鈑!V108</f>
        <v>145656</v>
      </c>
      <c r="T108" s="11">
        <f>(鋼床鈑!T108)*鋼床鈑!W108+(鋼床鈑!T108)*鋼床鈑!X108</f>
        <v>239232</v>
      </c>
      <c r="U108" s="11">
        <f>4*((鋼床鈑!R108+鋼床鈑!W108/2+鋼床鈑!X108/2)*(鋼床鈑!T108+鋼床鈑!U108/2+鋼床鈑!V108/2))^2/((鋼床鈑!O108+鋼床鈑!W108/2+鋼床鈑!X108/2)/鋼床鈑!U108+(鋼床鈑!R108+鋼床鈑!W108/2+鋼床鈑!X108/2)/鋼床鈑!V108+(鋼床鈑!T108+鋼床鈑!U108/2+鋼床鈑!V108/2)/鋼床鈑!W108+(鋼床鈑!T108+鋼床鈑!U108/2+鋼床鈑!V108/2)/鋼床鈑!X108)</f>
        <v>1046587722059.2164</v>
      </c>
      <c r="V108" s="12">
        <f t="shared" si="18"/>
        <v>0.30579115643018606</v>
      </c>
      <c r="W108" s="12">
        <f t="shared" si="19"/>
        <v>0.30092187517301422</v>
      </c>
      <c r="X108" s="12">
        <f t="shared" si="20"/>
        <v>0.76479117131585383</v>
      </c>
      <c r="Y108" s="12">
        <f t="shared" si="21"/>
        <v>0.50562130513515791</v>
      </c>
      <c r="Z108" s="12">
        <f t="shared" si="16"/>
        <v>1.5099355145487805</v>
      </c>
      <c r="AA108" s="12">
        <f t="shared" si="17"/>
        <v>1.7481570735308771</v>
      </c>
      <c r="AB108" s="10">
        <f t="shared" si="22"/>
        <v>4.3079999999999998</v>
      </c>
      <c r="AC108" s="10">
        <f t="shared" si="23"/>
        <v>6.45</v>
      </c>
      <c r="AD108" s="10">
        <f t="shared" si="24"/>
        <v>0.42908000000000002</v>
      </c>
      <c r="AE108" s="12">
        <f t="shared" si="25"/>
        <v>1.0465877220592164</v>
      </c>
      <c r="AF108" s="12">
        <f t="shared" si="26"/>
        <v>0.239232</v>
      </c>
      <c r="AG108" s="12">
        <f t="shared" si="27"/>
        <v>0.14565600000000001</v>
      </c>
      <c r="AH108" s="10">
        <f t="shared" si="28"/>
        <v>0.97826174814369893</v>
      </c>
      <c r="AI108" s="10">
        <f t="shared" si="29"/>
        <v>1.3112912872050602</v>
      </c>
      <c r="AJ108" s="13">
        <f t="shared" si="30"/>
        <v>0.97826174814369893</v>
      </c>
      <c r="AK108" s="13">
        <f t="shared" si="31"/>
        <v>1.3112912872050602</v>
      </c>
    </row>
    <row r="109" spans="1:37">
      <c r="A109" s="8">
        <f>鋼床鈑!A109</f>
        <v>107</v>
      </c>
      <c r="B109" s="43" t="s">
        <v>41</v>
      </c>
      <c r="C109" s="43" t="s">
        <v>42</v>
      </c>
      <c r="D109" s="43" t="s">
        <v>186</v>
      </c>
      <c r="E109" s="44">
        <v>431000</v>
      </c>
      <c r="F109" s="45">
        <v>120049.72779999999</v>
      </c>
      <c r="G109" s="45">
        <v>148885.82149999999</v>
      </c>
      <c r="H109" s="45">
        <v>811115579840.25903</v>
      </c>
      <c r="I109" s="45">
        <v>1344709054007.27</v>
      </c>
      <c r="J109" s="45">
        <v>982083575504.41797</v>
      </c>
      <c r="K109" s="45">
        <v>3251.1016</v>
      </c>
      <c r="L109" s="45">
        <v>3198.8984</v>
      </c>
      <c r="M109" s="45">
        <v>1735.4780000000001</v>
      </c>
      <c r="N109" s="45">
        <v>2620.5219999999999</v>
      </c>
      <c r="O109" s="44">
        <v>0</v>
      </c>
      <c r="P109" s="44">
        <v>0</v>
      </c>
      <c r="Q109" s="44">
        <v>27598</v>
      </c>
      <c r="R109" s="44">
        <v>21474</v>
      </c>
      <c r="S109" s="11">
        <f>(鋼床鈑!O109+鋼床鈑!W109+鋼床鈑!X109)*鋼床鈑!U109+(鋼床鈑!R109+鋼床鈑!W109+鋼床鈑!X109)*鋼床鈑!V109</f>
        <v>145656</v>
      </c>
      <c r="T109" s="11">
        <f>(鋼床鈑!T109)*鋼床鈑!W109+(鋼床鈑!T109)*鋼床鈑!X109</f>
        <v>241920</v>
      </c>
      <c r="U109" s="11">
        <f>4*((鋼床鈑!R109+鋼床鈑!W109/2+鋼床鈑!X109/2)*(鋼床鈑!T109+鋼床鈑!U109/2+鋼床鈑!V109/2))^2/((鋼床鈑!O109+鋼床鈑!W109/2+鋼床鈑!X109/2)/鋼床鈑!U109+(鋼床鈑!R109+鋼床鈑!W109/2+鋼床鈑!X109/2)/鋼床鈑!V109+(鋼床鈑!T109+鋼床鈑!U109/2+鋼床鈑!V109/2)/鋼床鈑!W109+(鋼床鈑!T109+鋼床鈑!U109/2+鋼床鈑!V109/2)/鋼床鈑!X109)</f>
        <v>1063637567604.7207</v>
      </c>
      <c r="V109" s="12">
        <f t="shared" si="18"/>
        <v>0.30700680443755823</v>
      </c>
      <c r="W109" s="12">
        <f t="shared" si="19"/>
        <v>0.30207717147456048</v>
      </c>
      <c r="X109" s="12">
        <f t="shared" si="20"/>
        <v>0.77483497572845628</v>
      </c>
      <c r="Y109" s="12">
        <f t="shared" si="21"/>
        <v>0.51314549315261238</v>
      </c>
      <c r="Z109" s="12">
        <f t="shared" si="16"/>
        <v>1.5095085903912593</v>
      </c>
      <c r="AA109" s="12">
        <f t="shared" si="17"/>
        <v>1.7663449842160301</v>
      </c>
      <c r="AB109" s="10">
        <f t="shared" si="22"/>
        <v>4.3559999999999999</v>
      </c>
      <c r="AC109" s="10">
        <f t="shared" si="23"/>
        <v>6.45</v>
      </c>
      <c r="AD109" s="10">
        <f t="shared" si="24"/>
        <v>0.43099999999999999</v>
      </c>
      <c r="AE109" s="12">
        <f t="shared" si="25"/>
        <v>1.0636375676047207</v>
      </c>
      <c r="AF109" s="12">
        <f t="shared" si="26"/>
        <v>0.24192</v>
      </c>
      <c r="AG109" s="12">
        <f t="shared" si="27"/>
        <v>0.14565600000000001</v>
      </c>
      <c r="AH109" s="10">
        <f t="shared" si="28"/>
        <v>0.98208357550441794</v>
      </c>
      <c r="AI109" s="10">
        <f t="shared" si="29"/>
        <v>1.3447090540072699</v>
      </c>
      <c r="AJ109" s="13">
        <f t="shared" si="30"/>
        <v>0.98208357550441794</v>
      </c>
      <c r="AK109" s="13">
        <f t="shared" si="31"/>
        <v>1.3447090540072699</v>
      </c>
    </row>
    <row r="110" spans="1:37">
      <c r="A110" s="8">
        <f>鋼床鈑!A110</f>
        <v>108</v>
      </c>
      <c r="B110" s="43" t="s">
        <v>41</v>
      </c>
      <c r="C110" s="43" t="s">
        <v>42</v>
      </c>
      <c r="D110" s="43" t="s">
        <v>187</v>
      </c>
      <c r="E110" s="44">
        <v>433080</v>
      </c>
      <c r="F110" s="45">
        <v>119783.4856</v>
      </c>
      <c r="G110" s="45">
        <v>150961.35800000001</v>
      </c>
      <c r="H110" s="45">
        <v>824874967824.78101</v>
      </c>
      <c r="I110" s="45">
        <v>1381462763899.45</v>
      </c>
      <c r="J110" s="45">
        <v>986223842337.95105</v>
      </c>
      <c r="K110" s="45">
        <v>3251.3364999999999</v>
      </c>
      <c r="L110" s="45">
        <v>3198.6635000000001</v>
      </c>
      <c r="M110" s="45">
        <v>1758.1545000000001</v>
      </c>
      <c r="N110" s="45">
        <v>2649.8454999999999</v>
      </c>
      <c r="O110" s="44">
        <v>0</v>
      </c>
      <c r="P110" s="44">
        <v>0</v>
      </c>
      <c r="Q110" s="44">
        <v>27702</v>
      </c>
      <c r="R110" s="44">
        <v>21578</v>
      </c>
      <c r="S110" s="11">
        <f>(鋼床鈑!O110+鋼床鈑!W110+鋼床鈑!X110)*鋼床鈑!U110+(鋼床鈑!R110+鋼床鈑!W110+鋼床鈑!X110)*鋼床鈑!V110</f>
        <v>145656</v>
      </c>
      <c r="T110" s="11">
        <f>(鋼床鈑!T110)*鋼床鈑!W110+(鋼床鈑!T110)*鋼床鈑!X110</f>
        <v>244832</v>
      </c>
      <c r="U110" s="11">
        <f>4*((鋼床鈑!R110+鋼床鈑!W110/2+鋼床鈑!X110/2)*(鋼床鈑!T110+鋼床鈑!U110/2+鋼床鈑!V110/2))^2/((鋼床鈑!O110+鋼床鈑!W110/2+鋼床鈑!X110/2)/鋼床鈑!U110+(鋼床鈑!R110+鋼床鈑!W110/2+鋼床鈑!X110/2)/鋼床鈑!V110+(鋼床鈑!T110+鋼床鈑!U110/2+鋼床鈑!V110/2)/鋼床鈑!W110+(鋼床鈑!T110+鋼床鈑!U110/2+鋼床鈑!V110/2)/鋼床鈑!X110)</f>
        <v>1082168438262.9949</v>
      </c>
      <c r="V110" s="12">
        <f t="shared" si="18"/>
        <v>0.30832372406098701</v>
      </c>
      <c r="W110" s="12">
        <f t="shared" si="19"/>
        <v>0.30332875183419222</v>
      </c>
      <c r="X110" s="12">
        <f t="shared" si="20"/>
        <v>0.78574594206564319</v>
      </c>
      <c r="Y110" s="12">
        <f t="shared" si="21"/>
        <v>0.52133709829476849</v>
      </c>
      <c r="Z110" s="12">
        <f t="shared" si="16"/>
        <v>1.5090501912686862</v>
      </c>
      <c r="AA110" s="12">
        <f t="shared" si="17"/>
        <v>1.786016750315754</v>
      </c>
      <c r="AB110" s="10">
        <f t="shared" si="22"/>
        <v>4.4080000000000004</v>
      </c>
      <c r="AC110" s="10">
        <f t="shared" si="23"/>
        <v>6.45</v>
      </c>
      <c r="AD110" s="10">
        <f t="shared" si="24"/>
        <v>0.43308000000000002</v>
      </c>
      <c r="AE110" s="12">
        <f t="shared" si="25"/>
        <v>1.0821684382629948</v>
      </c>
      <c r="AF110" s="12">
        <f t="shared" si="26"/>
        <v>0.24483199999999999</v>
      </c>
      <c r="AG110" s="12">
        <f t="shared" si="27"/>
        <v>0.14565600000000001</v>
      </c>
      <c r="AH110" s="10">
        <f t="shared" si="28"/>
        <v>0.98622384233795102</v>
      </c>
      <c r="AI110" s="10">
        <f t="shared" si="29"/>
        <v>1.3814627638994499</v>
      </c>
      <c r="AJ110" s="13">
        <f t="shared" si="30"/>
        <v>0.98622384233795102</v>
      </c>
      <c r="AK110" s="13">
        <f t="shared" si="31"/>
        <v>1.3814627638994499</v>
      </c>
    </row>
    <row r="111" spans="1:37">
      <c r="A111" s="8">
        <f>鋼床鈑!A111</f>
        <v>109</v>
      </c>
      <c r="B111" s="43" t="s">
        <v>41</v>
      </c>
      <c r="C111" s="43" t="s">
        <v>42</v>
      </c>
      <c r="D111" s="43" t="s">
        <v>188</v>
      </c>
      <c r="E111" s="44">
        <v>435280</v>
      </c>
      <c r="F111" s="45">
        <v>119490.8959</v>
      </c>
      <c r="G111" s="45">
        <v>153155.10889999999</v>
      </c>
      <c r="H111" s="45">
        <v>839445584746.64197</v>
      </c>
      <c r="I111" s="45">
        <v>1420963799528.27</v>
      </c>
      <c r="J111" s="45">
        <v>990602919244.64502</v>
      </c>
      <c r="K111" s="45">
        <v>3251.5823999999998</v>
      </c>
      <c r="L111" s="45">
        <v>3198.4176000000002</v>
      </c>
      <c r="M111" s="45">
        <v>1782.1739</v>
      </c>
      <c r="N111" s="45">
        <v>2680.8261000000002</v>
      </c>
      <c r="O111" s="44">
        <v>0</v>
      </c>
      <c r="P111" s="44">
        <v>0</v>
      </c>
      <c r="Q111" s="44">
        <v>27812</v>
      </c>
      <c r="R111" s="44">
        <v>21688</v>
      </c>
      <c r="S111" s="11">
        <f>(鋼床鈑!O111+鋼床鈑!W111+鋼床鈑!X111)*鋼床鈑!U111+(鋼床鈑!R111+鋼床鈑!W111+鋼床鈑!X111)*鋼床鈑!V111</f>
        <v>145656</v>
      </c>
      <c r="T111" s="11">
        <f>(鋼床鈑!T111)*鋼床鈑!W111+(鋼床鈑!T111)*鋼床鈑!X111</f>
        <v>247912</v>
      </c>
      <c r="U111" s="11">
        <f>4*((鋼床鈑!R111+鋼床鈑!W111/2+鋼床鈑!X111/2)*(鋼床鈑!T111+鋼床鈑!U111/2+鋼床鈑!V111/2))^2/((鋼床鈑!O111+鋼床鈑!W111/2+鋼床鈑!X111/2)/鋼床鈑!U111+(鋼床鈑!R111+鋼床鈑!W111/2+鋼床鈑!X111/2)/鋼床鈑!V111+(鋼床鈑!T111+鋼床鈑!U111/2+鋼床鈑!V111/2)/鋼床鈑!W111+(鋼床鈑!T111+鋼床鈑!U111/2+鋼床鈑!V111/2)/鋼床鈑!X111)</f>
        <v>1101835222478.7668</v>
      </c>
      <c r="V111" s="12">
        <f t="shared" si="18"/>
        <v>0.30971656710638562</v>
      </c>
      <c r="W111" s="12">
        <f t="shared" si="19"/>
        <v>0.30465256523858819</v>
      </c>
      <c r="X111" s="12">
        <f t="shared" si="20"/>
        <v>0.79732050813238253</v>
      </c>
      <c r="Y111" s="12">
        <f t="shared" si="21"/>
        <v>0.53004698795206062</v>
      </c>
      <c r="Z111" s="12">
        <f t="shared" si="16"/>
        <v>1.5085699248828319</v>
      </c>
      <c r="AA111" s="12">
        <f t="shared" si="17"/>
        <v>1.8067878047272294</v>
      </c>
      <c r="AB111" s="10">
        <f t="shared" si="22"/>
        <v>4.4630000000000001</v>
      </c>
      <c r="AC111" s="10">
        <f t="shared" si="23"/>
        <v>6.45</v>
      </c>
      <c r="AD111" s="10">
        <f t="shared" si="24"/>
        <v>0.43528</v>
      </c>
      <c r="AE111" s="12">
        <f t="shared" si="25"/>
        <v>1.1018352224787669</v>
      </c>
      <c r="AF111" s="12">
        <f t="shared" si="26"/>
        <v>0.24791199999999999</v>
      </c>
      <c r="AG111" s="12">
        <f t="shared" si="27"/>
        <v>0.14565600000000001</v>
      </c>
      <c r="AH111" s="10">
        <f t="shared" si="28"/>
        <v>0.99060291924464505</v>
      </c>
      <c r="AI111" s="10">
        <f t="shared" si="29"/>
        <v>1.42096379952827</v>
      </c>
      <c r="AJ111" s="13">
        <f t="shared" si="30"/>
        <v>0.99060291924464505</v>
      </c>
      <c r="AK111" s="13">
        <f t="shared" si="31"/>
        <v>1.42096379952827</v>
      </c>
    </row>
    <row r="112" spans="1:37">
      <c r="A112" s="8">
        <f>鋼床鈑!A112</f>
        <v>110</v>
      </c>
      <c r="B112" s="43" t="s">
        <v>41</v>
      </c>
      <c r="C112" s="43" t="s">
        <v>42</v>
      </c>
      <c r="D112" s="43" t="s">
        <v>189</v>
      </c>
      <c r="E112" s="44">
        <v>437640</v>
      </c>
      <c r="F112" s="45">
        <v>119186.11440000001</v>
      </c>
      <c r="G112" s="45">
        <v>155508.87669999999</v>
      </c>
      <c r="H112" s="45">
        <v>855145848599.00098</v>
      </c>
      <c r="I112" s="45">
        <v>1464058047968.28</v>
      </c>
      <c r="J112" s="45">
        <v>995300416533.43701</v>
      </c>
      <c r="K112" s="45">
        <v>3251.8434999999999</v>
      </c>
      <c r="L112" s="45">
        <v>3198.1565000000001</v>
      </c>
      <c r="M112" s="45">
        <v>1807.9791</v>
      </c>
      <c r="N112" s="45">
        <v>2714.0209</v>
      </c>
      <c r="O112" s="44">
        <v>0</v>
      </c>
      <c r="P112" s="44">
        <v>0</v>
      </c>
      <c r="Q112" s="44">
        <v>27930</v>
      </c>
      <c r="R112" s="44">
        <v>21806</v>
      </c>
      <c r="S112" s="11">
        <f>(鋼床鈑!O112+鋼床鈑!W112+鋼床鈑!X112)*鋼床鈑!U112+(鋼床鈑!R112+鋼床鈑!W112+鋼床鈑!X112)*鋼床鈑!V112</f>
        <v>145656</v>
      </c>
      <c r="T112" s="11">
        <f>(鋼床鈑!T112)*鋼床鈑!W112+(鋼床鈑!T112)*鋼床鈑!X112</f>
        <v>251216</v>
      </c>
      <c r="U112" s="11">
        <f>4*((鋼床鈑!R112+鋼床鈑!W112/2+鋼床鈑!X112/2)*(鋼床鈑!T112+鋼床鈑!U112/2+鋼床鈑!V112/2))^2/((鋼床鈑!O112+鋼床鈑!W112/2+鋼床鈑!X112/2)/鋼床鈑!U112+(鋼床鈑!R112+鋼床鈑!W112/2+鋼床鈑!X112/2)/鋼床鈑!V112+(鋼床鈑!T112+鋼床鈑!U112/2+鋼床鈑!V112/2)/鋼床鈑!W112+(鋼床鈑!T112+鋼床鈑!U112/2+鋼床鈑!V112/2)/鋼床鈑!X112)</f>
        <v>1123007130903.6497</v>
      </c>
      <c r="V112" s="12">
        <f t="shared" si="18"/>
        <v>0.3112106666867106</v>
      </c>
      <c r="W112" s="12">
        <f t="shared" si="19"/>
        <v>0.30607266817527873</v>
      </c>
      <c r="X112" s="12">
        <f t="shared" si="20"/>
        <v>0.80977598024682917</v>
      </c>
      <c r="Y112" s="12">
        <f t="shared" si="21"/>
        <v>0.5394424368538504</v>
      </c>
      <c r="Z112" s="12">
        <f t="shared" si="16"/>
        <v>1.508059886864145</v>
      </c>
      <c r="AA112" s="12">
        <f t="shared" si="17"/>
        <v>1.8290292190211666</v>
      </c>
      <c r="AB112" s="10">
        <f t="shared" si="22"/>
        <v>4.5220000000000002</v>
      </c>
      <c r="AC112" s="10">
        <f t="shared" si="23"/>
        <v>6.45</v>
      </c>
      <c r="AD112" s="10">
        <f t="shared" si="24"/>
        <v>0.43763999999999997</v>
      </c>
      <c r="AE112" s="12">
        <f t="shared" si="25"/>
        <v>1.1230071309036496</v>
      </c>
      <c r="AF112" s="12">
        <f t="shared" si="26"/>
        <v>0.25121599999999999</v>
      </c>
      <c r="AG112" s="12">
        <f t="shared" si="27"/>
        <v>0.14565600000000001</v>
      </c>
      <c r="AH112" s="10">
        <f t="shared" si="28"/>
        <v>0.99530041653343704</v>
      </c>
      <c r="AI112" s="10">
        <f t="shared" si="29"/>
        <v>1.4640580479682801</v>
      </c>
      <c r="AJ112" s="13">
        <f t="shared" si="30"/>
        <v>0.99530041653343704</v>
      </c>
      <c r="AK112" s="13">
        <f t="shared" si="31"/>
        <v>1.4640580479682801</v>
      </c>
    </row>
    <row r="113" spans="1:37">
      <c r="A113" s="8">
        <f>鋼床鈑!A113</f>
        <v>111</v>
      </c>
      <c r="B113" s="43" t="s">
        <v>41</v>
      </c>
      <c r="C113" s="43" t="s">
        <v>42</v>
      </c>
      <c r="D113" s="43" t="s">
        <v>190</v>
      </c>
      <c r="E113" s="44">
        <v>440200</v>
      </c>
      <c r="F113" s="45">
        <v>118853.4262</v>
      </c>
      <c r="G113" s="45">
        <v>158063.15359999999</v>
      </c>
      <c r="H113" s="45">
        <v>872238703413.37</v>
      </c>
      <c r="I113" s="45">
        <v>1511652398022.02</v>
      </c>
      <c r="J113" s="45">
        <v>1000395940099.46</v>
      </c>
      <c r="K113" s="45">
        <v>3252.1235999999999</v>
      </c>
      <c r="L113" s="45">
        <v>3197.8764000000001</v>
      </c>
      <c r="M113" s="45">
        <v>1836.0159000000001</v>
      </c>
      <c r="N113" s="45">
        <v>2749.9841000000001</v>
      </c>
      <c r="O113" s="44">
        <v>0</v>
      </c>
      <c r="P113" s="44">
        <v>0</v>
      </c>
      <c r="Q113" s="44">
        <v>28058</v>
      </c>
      <c r="R113" s="44">
        <v>21934</v>
      </c>
      <c r="S113" s="11">
        <f>(鋼床鈑!O113+鋼床鈑!W113+鋼床鈑!X113)*鋼床鈑!U113+(鋼床鈑!R113+鋼床鈑!W113+鋼床鈑!X113)*鋼床鈑!V113</f>
        <v>145656</v>
      </c>
      <c r="T113" s="11">
        <f>(鋼床鈑!T113)*鋼床鈑!W113+(鋼床鈑!T113)*鋼床鈑!X113</f>
        <v>254800</v>
      </c>
      <c r="U113" s="11">
        <f>4*((鋼床鈑!R113+鋼床鈑!W113/2+鋼床鈑!X113/2)*(鋼床鈑!T113+鋼床鈑!U113/2+鋼床鈑!V113/2))^2/((鋼床鈑!O113+鋼床鈑!W113/2+鋼床鈑!X113/2)/鋼床鈑!U113+(鋼床鈑!R113+鋼床鈑!W113/2+鋼床鈑!X113/2)/鋼床鈑!V113+(鋼床鈑!T113+鋼床鈑!U113/2+鋼床鈑!V113/2)/鋼床鈑!W113+(鋼床鈑!T113+鋼床鈑!U113/2+鋼床鈑!V113/2)/鋼床鈑!X113)</f>
        <v>1146058923281.0559</v>
      </c>
      <c r="V113" s="12">
        <f t="shared" si="18"/>
        <v>0.31283133397509044</v>
      </c>
      <c r="W113" s="12">
        <f t="shared" si="19"/>
        <v>0.30761313625947673</v>
      </c>
      <c r="X113" s="12">
        <f t="shared" si="20"/>
        <v>0.82333295589761502</v>
      </c>
      <c r="Y113" s="12">
        <f t="shared" si="21"/>
        <v>0.54969495933522661</v>
      </c>
      <c r="Z113" s="12">
        <f t="shared" si="16"/>
        <v>1.5075125668642557</v>
      </c>
      <c r="AA113" s="12">
        <f t="shared" si="17"/>
        <v>1.8531089328468699</v>
      </c>
      <c r="AB113" s="10">
        <f t="shared" si="22"/>
        <v>4.5860000000000003</v>
      </c>
      <c r="AC113" s="10">
        <f t="shared" si="23"/>
        <v>6.45</v>
      </c>
      <c r="AD113" s="10">
        <f t="shared" si="24"/>
        <v>0.44019999999999998</v>
      </c>
      <c r="AE113" s="12">
        <f t="shared" si="25"/>
        <v>1.1460589232810559</v>
      </c>
      <c r="AF113" s="12">
        <f t="shared" si="26"/>
        <v>0.25480000000000003</v>
      </c>
      <c r="AG113" s="12">
        <f t="shared" si="27"/>
        <v>0.14565600000000001</v>
      </c>
      <c r="AH113" s="10">
        <f t="shared" si="28"/>
        <v>1.00039594009946</v>
      </c>
      <c r="AI113" s="10">
        <f t="shared" si="29"/>
        <v>1.51165239802202</v>
      </c>
      <c r="AJ113" s="13">
        <f t="shared" si="30"/>
        <v>1.00039594009946</v>
      </c>
      <c r="AK113" s="13">
        <f t="shared" si="31"/>
        <v>1.51165239802202</v>
      </c>
    </row>
    <row r="114" spans="1:37">
      <c r="A114" s="8">
        <f>鋼床鈑!A114</f>
        <v>112</v>
      </c>
      <c r="B114" s="43" t="s">
        <v>41</v>
      </c>
      <c r="C114" s="43" t="s">
        <v>42</v>
      </c>
      <c r="D114" s="43" t="s">
        <v>191</v>
      </c>
      <c r="E114" s="44">
        <v>442840</v>
      </c>
      <c r="F114" s="45">
        <v>118499.1859</v>
      </c>
      <c r="G114" s="45">
        <v>160694.514</v>
      </c>
      <c r="H114" s="45">
        <v>889891602692.92505</v>
      </c>
      <c r="I114" s="45">
        <v>1561664044656.55</v>
      </c>
      <c r="J114" s="45">
        <v>1005650627304.78</v>
      </c>
      <c r="K114" s="45">
        <v>3252.4090000000001</v>
      </c>
      <c r="L114" s="45">
        <v>3197.5909999999999</v>
      </c>
      <c r="M114" s="45">
        <v>1864.9768999999999</v>
      </c>
      <c r="N114" s="45">
        <v>2787.0230999999999</v>
      </c>
      <c r="O114" s="44">
        <v>0</v>
      </c>
      <c r="P114" s="44">
        <v>0</v>
      </c>
      <c r="Q114" s="44">
        <v>28190</v>
      </c>
      <c r="R114" s="44">
        <v>22066</v>
      </c>
      <c r="S114" s="11">
        <f>(鋼床鈑!O114+鋼床鈑!W114+鋼床鈑!X114)*鋼床鈑!U114+(鋼床鈑!R114+鋼床鈑!W114+鋼床鈑!X114)*鋼床鈑!V114</f>
        <v>145656</v>
      </c>
      <c r="T114" s="11">
        <f>(鋼床鈑!T114)*鋼床鈑!W114+(鋼床鈑!T114)*鋼床鈑!X114</f>
        <v>258496</v>
      </c>
      <c r="U114" s="11">
        <f>4*((鋼床鈑!R114+鋼床鈑!W114/2+鋼床鈑!X114/2)*(鋼床鈑!T114+鋼床鈑!U114/2+鋼床鈑!V114/2))^2/((鋼床鈑!O114+鋼床鈑!W114/2+鋼床鈑!X114/2)/鋼床鈑!U114+(鋼床鈑!R114+鋼床鈑!W114/2+鋼床鈑!X114/2)/鋼床鈑!V114+(鋼床鈑!T114+鋼床鈑!U114/2+鋼床鈑!V114/2)/鋼床鈑!W114+(鋼床鈑!T114+鋼床鈑!U114/2+鋼床鈑!V114/2)/鋼床鈑!X114)</f>
        <v>1169922302795.3323</v>
      </c>
      <c r="V114" s="12">
        <f t="shared" si="18"/>
        <v>0.31450258250813817</v>
      </c>
      <c r="W114" s="12">
        <f t="shared" si="19"/>
        <v>0.30920177238003588</v>
      </c>
      <c r="X114" s="12">
        <f t="shared" si="20"/>
        <v>0.83736374678772163</v>
      </c>
      <c r="Y114" s="12">
        <f t="shared" si="21"/>
        <v>0.56033408716868904</v>
      </c>
      <c r="Z114" s="12">
        <f t="shared" si="16"/>
        <v>1.5069545127199608</v>
      </c>
      <c r="AA114" s="12">
        <f t="shared" si="17"/>
        <v>1.8778910176180512</v>
      </c>
      <c r="AB114" s="10">
        <f t="shared" si="22"/>
        <v>4.6520000000000001</v>
      </c>
      <c r="AC114" s="10">
        <f t="shared" si="23"/>
        <v>6.45</v>
      </c>
      <c r="AD114" s="10">
        <f t="shared" si="24"/>
        <v>0.44284000000000001</v>
      </c>
      <c r="AE114" s="12">
        <f t="shared" si="25"/>
        <v>1.1699223027953323</v>
      </c>
      <c r="AF114" s="12">
        <f t="shared" si="26"/>
        <v>0.258496</v>
      </c>
      <c r="AG114" s="12">
        <f t="shared" si="27"/>
        <v>0.14565600000000001</v>
      </c>
      <c r="AH114" s="10">
        <f t="shared" si="28"/>
        <v>1.0056506273047801</v>
      </c>
      <c r="AI114" s="10">
        <f t="shared" si="29"/>
        <v>1.56166404465655</v>
      </c>
      <c r="AJ114" s="13">
        <f t="shared" si="30"/>
        <v>1.0056506273047801</v>
      </c>
      <c r="AK114" s="13">
        <f t="shared" si="31"/>
        <v>1.56166404465655</v>
      </c>
    </row>
    <row r="115" spans="1:37">
      <c r="A115" s="8">
        <f>鋼床鈑!A115</f>
        <v>113</v>
      </c>
      <c r="B115" s="43" t="s">
        <v>41</v>
      </c>
      <c r="C115" s="43" t="s">
        <v>42</v>
      </c>
      <c r="D115" s="43" t="s">
        <v>192</v>
      </c>
      <c r="E115" s="44">
        <v>445680</v>
      </c>
      <c r="F115" s="45">
        <v>118126.1808</v>
      </c>
      <c r="G115" s="45">
        <v>163526.33059999999</v>
      </c>
      <c r="H115" s="45">
        <v>908974428909.33301</v>
      </c>
      <c r="I115" s="45">
        <v>1616525556938.76</v>
      </c>
      <c r="J115" s="45">
        <v>1011303317309.1</v>
      </c>
      <c r="K115" s="45">
        <v>3252.7123000000001</v>
      </c>
      <c r="L115" s="45">
        <v>3197.2876999999999</v>
      </c>
      <c r="M115" s="45">
        <v>1896.1853000000001</v>
      </c>
      <c r="N115" s="45">
        <v>2826.8146999999999</v>
      </c>
      <c r="O115" s="44">
        <v>0</v>
      </c>
      <c r="P115" s="44">
        <v>0</v>
      </c>
      <c r="Q115" s="44">
        <v>28332</v>
      </c>
      <c r="R115" s="44">
        <v>22208</v>
      </c>
      <c r="S115" s="11">
        <f>(鋼床鈑!O115+鋼床鈑!W115+鋼床鈑!X115)*鋼床鈑!U115+(鋼床鈑!R115+鋼床鈑!W115+鋼床鈑!X115)*鋼床鈑!V115</f>
        <v>145656</v>
      </c>
      <c r="T115" s="11">
        <f>(鋼床鈑!T115)*鋼床鈑!W115+(鋼床鈑!T115)*鋼床鈑!X115</f>
        <v>262472</v>
      </c>
      <c r="U115" s="11">
        <f>4*((鋼床鈑!R115+鋼床鈑!W115/2+鋼床鈑!X115/2)*(鋼床鈑!T115+鋼床鈑!U115/2+鋼床鈑!V115/2))^2/((鋼床鈑!O115+鋼床鈑!W115/2+鋼床鈑!X115/2)/鋼床鈑!U115+(鋼床鈑!R115+鋼床鈑!W115/2+鋼床鈑!X115/2)/鋼床鈑!V115+(鋼床鈑!T115+鋼床鈑!U115/2+鋼床鈑!V115/2)/鋼床鈑!W115+(鋼床鈑!T115+鋼床鈑!U115/2+鋼床鈑!V115/2)/鋼床鈑!X115)</f>
        <v>1195694428234.4739</v>
      </c>
      <c r="V115" s="12">
        <f t="shared" si="18"/>
        <v>0.31630038088505452</v>
      </c>
      <c r="W115" s="12">
        <f t="shared" si="19"/>
        <v>0.3109107796927198</v>
      </c>
      <c r="X115" s="12">
        <f t="shared" si="20"/>
        <v>0.85251454957422135</v>
      </c>
      <c r="Y115" s="12">
        <f t="shared" si="21"/>
        <v>0.57185409320913749</v>
      </c>
      <c r="Z115" s="12">
        <f t="shared" si="16"/>
        <v>1.5063612775147712</v>
      </c>
      <c r="AA115" s="12">
        <f t="shared" si="17"/>
        <v>1.9044944650554287</v>
      </c>
      <c r="AB115" s="10">
        <f t="shared" si="22"/>
        <v>4.7229999999999999</v>
      </c>
      <c r="AC115" s="10">
        <f t="shared" si="23"/>
        <v>6.45</v>
      </c>
      <c r="AD115" s="10">
        <f t="shared" si="24"/>
        <v>0.44568000000000002</v>
      </c>
      <c r="AE115" s="12">
        <f t="shared" si="25"/>
        <v>1.1956944282344739</v>
      </c>
      <c r="AF115" s="12">
        <f t="shared" si="26"/>
        <v>0.26247199999999998</v>
      </c>
      <c r="AG115" s="12">
        <f t="shared" si="27"/>
        <v>0.14565600000000001</v>
      </c>
      <c r="AH115" s="10">
        <f t="shared" si="28"/>
        <v>1.0113033173090999</v>
      </c>
      <c r="AI115" s="10">
        <f t="shared" si="29"/>
        <v>1.61652555693876</v>
      </c>
      <c r="AJ115" s="13">
        <f t="shared" si="30"/>
        <v>1.0113033173090999</v>
      </c>
      <c r="AK115" s="13">
        <f t="shared" si="31"/>
        <v>1.61652555693876</v>
      </c>
    </row>
    <row r="116" spans="1:37">
      <c r="A116" s="8">
        <f>鋼床鈑!A116</f>
        <v>114</v>
      </c>
      <c r="B116" s="43" t="s">
        <v>41</v>
      </c>
      <c r="C116" s="43" t="s">
        <v>42</v>
      </c>
      <c r="D116" s="43" t="s">
        <v>193</v>
      </c>
      <c r="E116" s="44">
        <v>448680</v>
      </c>
      <c r="F116" s="45">
        <v>117721.04399999999</v>
      </c>
      <c r="G116" s="45">
        <v>166515.53</v>
      </c>
      <c r="H116" s="45">
        <v>929175241594.32898</v>
      </c>
      <c r="I116" s="45">
        <v>1675680455517.6001</v>
      </c>
      <c r="J116" s="45">
        <v>1017274380846.01</v>
      </c>
      <c r="K116" s="45">
        <v>3253.0284000000001</v>
      </c>
      <c r="L116" s="45">
        <v>3196.9715999999999</v>
      </c>
      <c r="M116" s="45">
        <v>1929.2109</v>
      </c>
      <c r="N116" s="45">
        <v>2868.7891</v>
      </c>
      <c r="O116" s="44">
        <v>0</v>
      </c>
      <c r="P116" s="44">
        <v>0</v>
      </c>
      <c r="Q116" s="44">
        <v>28482</v>
      </c>
      <c r="R116" s="44">
        <v>22358</v>
      </c>
      <c r="S116" s="11">
        <f>(鋼床鈑!O116+鋼床鈑!W116+鋼床鈑!X116)*鋼床鈑!U116+(鋼床鈑!R116+鋼床鈑!W116+鋼床鈑!X116)*鋼床鈑!V116</f>
        <v>145656</v>
      </c>
      <c r="T116" s="11">
        <f>(鋼床鈑!T116)*鋼床鈑!W116+(鋼床鈑!T116)*鋼床鈑!X116</f>
        <v>266672</v>
      </c>
      <c r="U116" s="11">
        <f>4*((鋼床鈑!R116+鋼床鈑!W116/2+鋼床鈑!X116/2)*(鋼床鈑!T116+鋼床鈑!U116/2+鋼床鈑!V116/2))^2/((鋼床鈑!O116+鋼床鈑!W116/2+鋼床鈑!X116/2)/鋼床鈑!U116+(鋼床鈑!R116+鋼床鈑!W116/2+鋼床鈑!X116/2)/鋼床鈑!V116+(鋼床鈑!T116+鋼床鈑!U116/2+鋼床鈑!V116/2)/鋼床鈑!W116+(鋼床鈑!T116+鋼床鈑!U116/2+鋼床鈑!V116/2)/鋼床鈑!X116)</f>
        <v>1223029237304.0081</v>
      </c>
      <c r="V116" s="12">
        <f t="shared" si="18"/>
        <v>0.3181993799525808</v>
      </c>
      <c r="W116" s="12">
        <f t="shared" si="19"/>
        <v>0.31271610811821071</v>
      </c>
      <c r="X116" s="12">
        <f t="shared" si="20"/>
        <v>0.86858334437028129</v>
      </c>
      <c r="Y116" s="12">
        <f t="shared" si="21"/>
        <v>0.58410723030061718</v>
      </c>
      <c r="Z116" s="12">
        <f t="shared" si="16"/>
        <v>1.5057424632450171</v>
      </c>
      <c r="AA116" s="12">
        <f t="shared" si="17"/>
        <v>1.9325344588396955</v>
      </c>
      <c r="AB116" s="10">
        <f t="shared" si="22"/>
        <v>4.798</v>
      </c>
      <c r="AC116" s="10">
        <f t="shared" si="23"/>
        <v>6.45</v>
      </c>
      <c r="AD116" s="10">
        <f t="shared" si="24"/>
        <v>0.44868000000000002</v>
      </c>
      <c r="AE116" s="12">
        <f t="shared" si="25"/>
        <v>1.2230292373040081</v>
      </c>
      <c r="AF116" s="12">
        <f t="shared" si="26"/>
        <v>0.26667200000000002</v>
      </c>
      <c r="AG116" s="12">
        <f t="shared" si="27"/>
        <v>0.14565600000000001</v>
      </c>
      <c r="AH116" s="10">
        <f t="shared" si="28"/>
        <v>1.0172743808460101</v>
      </c>
      <c r="AI116" s="10">
        <f t="shared" si="29"/>
        <v>1.6756804555176001</v>
      </c>
      <c r="AJ116" s="13">
        <f t="shared" si="30"/>
        <v>1.0172743808460101</v>
      </c>
      <c r="AK116" s="13">
        <f t="shared" si="31"/>
        <v>1.6756804555176001</v>
      </c>
    </row>
    <row r="117" spans="1:37">
      <c r="A117" s="8">
        <f>鋼床鈑!A117</f>
        <v>115</v>
      </c>
      <c r="B117" s="43" t="s">
        <v>41</v>
      </c>
      <c r="C117" s="43" t="s">
        <v>42</v>
      </c>
      <c r="D117" s="43" t="s">
        <v>194</v>
      </c>
      <c r="E117" s="44">
        <v>451840</v>
      </c>
      <c r="F117" s="45">
        <v>117301.0618</v>
      </c>
      <c r="G117" s="45">
        <v>169664.72719999999</v>
      </c>
      <c r="H117" s="45">
        <v>950555198698.64197</v>
      </c>
      <c r="I117" s="45">
        <v>1739335941505.79</v>
      </c>
      <c r="J117" s="45">
        <v>1023563805414.86</v>
      </c>
      <c r="K117" s="45">
        <v>3253.3569000000002</v>
      </c>
      <c r="L117" s="45">
        <v>3196.6430999999998</v>
      </c>
      <c r="M117" s="45">
        <v>1964.0622000000001</v>
      </c>
      <c r="N117" s="45">
        <v>2912.9378000000002</v>
      </c>
      <c r="O117" s="44">
        <v>0</v>
      </c>
      <c r="P117" s="44">
        <v>0</v>
      </c>
      <c r="Q117" s="44">
        <v>28640</v>
      </c>
      <c r="R117" s="44">
        <v>22516</v>
      </c>
      <c r="S117" s="11">
        <f>(鋼床鈑!O117+鋼床鈑!W117+鋼床鈑!X117)*鋼床鈑!U117+(鋼床鈑!R117+鋼床鈑!W117+鋼床鈑!X117)*鋼床鈑!V117</f>
        <v>145656</v>
      </c>
      <c r="T117" s="11">
        <f>(鋼床鈑!T117)*鋼床鈑!W117+(鋼床鈑!T117)*鋼床鈑!X117</f>
        <v>271096</v>
      </c>
      <c r="U117" s="11">
        <f>4*((鋼床鈑!R117+鋼床鈑!W117/2+鋼床鈑!X117/2)*(鋼床鈑!T117+鋼床鈑!U117/2+鋼床鈑!V117/2))^2/((鋼床鈑!O117+鋼床鈑!W117/2+鋼床鈑!X117/2)/鋼床鈑!U117+(鋼床鈑!R117+鋼床鈑!W117/2+鋼床鈑!X117/2)/鋼床鈑!V117+(鋼床鈑!T117+鋼床鈑!U117/2+鋼床鈑!V117/2)/鋼床鈑!W117+(鋼床鈑!T117+鋼床鈑!U117/2+鋼床鈑!V117/2)/鋼床鈑!X117)</f>
        <v>1251941665314.8962</v>
      </c>
      <c r="V117" s="12">
        <f t="shared" si="18"/>
        <v>0.32019958856678743</v>
      </c>
      <c r="W117" s="12">
        <f t="shared" si="19"/>
        <v>0.31461774311169483</v>
      </c>
      <c r="X117" s="12">
        <f t="shared" si="20"/>
        <v>0.88558088511951916</v>
      </c>
      <c r="Y117" s="12">
        <f t="shared" si="21"/>
        <v>0.59710713407810834</v>
      </c>
      <c r="Z117" s="12">
        <f t="shared" si="16"/>
        <v>1.5050991920295629</v>
      </c>
      <c r="AA117" s="12">
        <f t="shared" si="17"/>
        <v>1.9620017848326949</v>
      </c>
      <c r="AB117" s="10">
        <f t="shared" si="22"/>
        <v>4.8769999999999998</v>
      </c>
      <c r="AC117" s="10">
        <f t="shared" si="23"/>
        <v>6.45</v>
      </c>
      <c r="AD117" s="10">
        <f t="shared" si="24"/>
        <v>0.45184000000000002</v>
      </c>
      <c r="AE117" s="12">
        <f t="shared" si="25"/>
        <v>1.2519416653148963</v>
      </c>
      <c r="AF117" s="12">
        <f t="shared" si="26"/>
        <v>0.271096</v>
      </c>
      <c r="AG117" s="12">
        <f t="shared" si="27"/>
        <v>0.14565600000000001</v>
      </c>
      <c r="AH117" s="10">
        <f t="shared" si="28"/>
        <v>1.0235638054148599</v>
      </c>
      <c r="AI117" s="10">
        <f t="shared" si="29"/>
        <v>1.7393359415057901</v>
      </c>
      <c r="AJ117" s="13">
        <f t="shared" si="30"/>
        <v>1.0235638054148599</v>
      </c>
      <c r="AK117" s="13">
        <f t="shared" si="31"/>
        <v>1.7393359415057901</v>
      </c>
    </row>
    <row r="118" spans="1:37">
      <c r="A118" s="8">
        <f>鋼床鈑!A118</f>
        <v>116</v>
      </c>
      <c r="B118" s="43" t="s">
        <v>41</v>
      </c>
      <c r="C118" s="43" t="s">
        <v>42</v>
      </c>
      <c r="D118" s="43" t="s">
        <v>195</v>
      </c>
      <c r="E118" s="44">
        <v>455120</v>
      </c>
      <c r="F118" s="45">
        <v>116854.56819999999</v>
      </c>
      <c r="G118" s="45">
        <v>172930.7746</v>
      </c>
      <c r="H118" s="45">
        <v>972798803191.26099</v>
      </c>
      <c r="I118" s="45">
        <v>1806879790915.1799</v>
      </c>
      <c r="J118" s="45">
        <v>1030091967206.64</v>
      </c>
      <c r="K118" s="45">
        <v>3253.6931</v>
      </c>
      <c r="L118" s="45">
        <v>3196.3069</v>
      </c>
      <c r="M118" s="45">
        <v>2000.3052</v>
      </c>
      <c r="N118" s="45">
        <v>2958.6948000000002</v>
      </c>
      <c r="O118" s="44">
        <v>0</v>
      </c>
      <c r="P118" s="44">
        <v>0</v>
      </c>
      <c r="Q118" s="44">
        <v>28804</v>
      </c>
      <c r="R118" s="44">
        <v>22680</v>
      </c>
      <c r="S118" s="11">
        <f>(鋼床鈑!O118+鋼床鈑!W118+鋼床鈑!X118)*鋼床鈑!U118+(鋼床鈑!R118+鋼床鈑!W118+鋼床鈑!X118)*鋼床鈑!V118</f>
        <v>166460</v>
      </c>
      <c r="T118" s="11">
        <f>(鋼床鈑!T118)*鋼床鈑!W118+(鋼床鈑!T118)*鋼床鈑!X118</f>
        <v>344610</v>
      </c>
      <c r="U118" s="11">
        <f>4*((鋼床鈑!R118+鋼床鈑!W118/2+鋼床鈑!X118/2)*(鋼床鈑!T118+鋼床鈑!U118/2+鋼床鈑!V118/2))^2/((鋼床鈑!O118+鋼床鈑!W118/2+鋼床鈑!X118/2)/鋼床鈑!U118+(鋼床鈑!R118+鋼床鈑!W118/2+鋼床鈑!X118/2)/鋼床鈑!V118+(鋼床鈑!T118+鋼床鈑!U118/2+鋼床鈑!V118/2)/鋼床鈑!W118+(鋼床鈑!T118+鋼床鈑!U118/2+鋼床鈑!V118/2)/鋼床鈑!X118)</f>
        <v>1494080847262.4565</v>
      </c>
      <c r="V118" s="12">
        <f t="shared" si="18"/>
        <v>0.32227567609563396</v>
      </c>
      <c r="W118" s="12">
        <f t="shared" si="19"/>
        <v>0.3165916192915183</v>
      </c>
      <c r="X118" s="12">
        <f t="shared" si="20"/>
        <v>0.90330205156452115</v>
      </c>
      <c r="Y118" s="12">
        <f t="shared" si="21"/>
        <v>0.6107016482116302</v>
      </c>
      <c r="Z118" s="12">
        <f t="shared" si="16"/>
        <v>1.5044405818256179</v>
      </c>
      <c r="AA118" s="12">
        <f t="shared" si="17"/>
        <v>1.9925153228347749</v>
      </c>
      <c r="AB118" s="10">
        <f t="shared" si="22"/>
        <v>4.9589999999999996</v>
      </c>
      <c r="AC118" s="10">
        <f t="shared" si="23"/>
        <v>6.45</v>
      </c>
      <c r="AD118" s="10">
        <f t="shared" si="24"/>
        <v>0.45512000000000002</v>
      </c>
      <c r="AE118" s="12">
        <f t="shared" si="25"/>
        <v>1.4940808472624565</v>
      </c>
      <c r="AF118" s="12">
        <f t="shared" si="26"/>
        <v>0.34461000000000003</v>
      </c>
      <c r="AG118" s="12">
        <f t="shared" si="27"/>
        <v>0.16646</v>
      </c>
      <c r="AH118" s="10">
        <f t="shared" si="28"/>
        <v>1.03009196720664</v>
      </c>
      <c r="AI118" s="10">
        <f t="shared" si="29"/>
        <v>1.8068797909151799</v>
      </c>
      <c r="AJ118" s="13">
        <f t="shared" si="30"/>
        <v>1.03009196720664</v>
      </c>
      <c r="AK118" s="13">
        <f t="shared" si="31"/>
        <v>1.8068797909151799</v>
      </c>
    </row>
    <row r="119" spans="1:37">
      <c r="A119" s="8">
        <f>鋼床鈑!A119</f>
        <v>117</v>
      </c>
      <c r="B119" s="43" t="s">
        <v>41</v>
      </c>
      <c r="C119" s="43" t="s">
        <v>42</v>
      </c>
      <c r="D119" s="43" t="s">
        <v>196</v>
      </c>
      <c r="E119" s="44">
        <v>458600</v>
      </c>
      <c r="F119" s="45">
        <v>116386.65730000001</v>
      </c>
      <c r="G119" s="45">
        <v>176396.57569999999</v>
      </c>
      <c r="H119" s="45">
        <v>996512441244.62903</v>
      </c>
      <c r="I119" s="45">
        <v>1880193132005.26</v>
      </c>
      <c r="J119" s="45">
        <v>1037018076848.1</v>
      </c>
      <c r="K119" s="45">
        <v>3254.0445</v>
      </c>
      <c r="L119" s="45">
        <v>3195.9555</v>
      </c>
      <c r="M119" s="45">
        <v>2038.8325</v>
      </c>
      <c r="N119" s="45">
        <v>3007.1675</v>
      </c>
      <c r="O119" s="44">
        <v>0</v>
      </c>
      <c r="P119" s="44">
        <v>0</v>
      </c>
      <c r="Q119" s="44">
        <v>28978</v>
      </c>
      <c r="R119" s="44">
        <v>22854</v>
      </c>
      <c r="S119" s="11">
        <f>(鋼床鈑!O119+鋼床鈑!W119+鋼床鈑!X119)*鋼床鈑!U119+(鋼床鈑!R119+鋼床鈑!W119+鋼床鈑!X119)*鋼床鈑!V119</f>
        <v>166460</v>
      </c>
      <c r="T119" s="11">
        <f>(鋼床鈑!T119)*鋼床鈑!W119+(鋼床鈑!T119)*鋼床鈑!X119</f>
        <v>350700</v>
      </c>
      <c r="U119" s="11">
        <f>4*((鋼床鈑!R119+鋼床鈑!W119/2+鋼床鈑!X119/2)*(鋼床鈑!T119+鋼床鈑!U119/2+鋼床鈑!V119/2))^2/((鋼床鈑!O119+鋼床鈑!W119/2+鋼床鈑!X119/2)/鋼床鈑!U119+(鋼床鈑!R119+鋼床鈑!W119/2+鋼床鈑!X119/2)/鋼床鈑!V119+(鋼床鈑!T119+鋼床鈑!U119/2+鋼床鈑!V119/2)/鋼床鈑!W119+(鋼床鈑!T119+鋼床鈑!U119/2+鋼床鈑!V119/2)/鋼床鈑!X119)</f>
        <v>1532600345680.1792</v>
      </c>
      <c r="V119" s="12">
        <f t="shared" si="18"/>
        <v>0.32447825911471539</v>
      </c>
      <c r="W119" s="12">
        <f t="shared" si="19"/>
        <v>0.31868589284753168</v>
      </c>
      <c r="X119" s="12">
        <f t="shared" si="20"/>
        <v>0.92219107357041852</v>
      </c>
      <c r="Y119" s="12">
        <f t="shared" si="21"/>
        <v>0.62523724801004932</v>
      </c>
      <c r="Z119" s="12">
        <f t="shared" si="16"/>
        <v>1.5037517239821196</v>
      </c>
      <c r="AA119" s="12">
        <f t="shared" si="17"/>
        <v>2.0248096678521676</v>
      </c>
      <c r="AB119" s="10">
        <f t="shared" si="22"/>
        <v>5.0460000000000003</v>
      </c>
      <c r="AC119" s="10">
        <f t="shared" si="23"/>
        <v>6.45</v>
      </c>
      <c r="AD119" s="10">
        <f t="shared" si="24"/>
        <v>0.45860000000000001</v>
      </c>
      <c r="AE119" s="12">
        <f t="shared" si="25"/>
        <v>1.5326003456801791</v>
      </c>
      <c r="AF119" s="12">
        <f t="shared" si="26"/>
        <v>0.35070000000000001</v>
      </c>
      <c r="AG119" s="12">
        <f t="shared" si="27"/>
        <v>0.16646</v>
      </c>
      <c r="AH119" s="10">
        <f t="shared" si="28"/>
        <v>1.0370180768480999</v>
      </c>
      <c r="AI119" s="10">
        <f t="shared" si="29"/>
        <v>1.8801931320052601</v>
      </c>
      <c r="AJ119" s="13">
        <f t="shared" si="30"/>
        <v>1.0370180768480999</v>
      </c>
      <c r="AK119" s="13">
        <f t="shared" si="31"/>
        <v>1.8801931320052601</v>
      </c>
    </row>
    <row r="120" spans="1:37">
      <c r="A120" s="8">
        <f>鋼床鈑!A120</f>
        <v>118</v>
      </c>
      <c r="B120" s="43" t="s">
        <v>41</v>
      </c>
      <c r="C120" s="43" t="s">
        <v>42</v>
      </c>
      <c r="D120" s="43" t="s">
        <v>197</v>
      </c>
      <c r="E120" s="44">
        <v>462200</v>
      </c>
      <c r="F120" s="45">
        <v>115891.60550000001</v>
      </c>
      <c r="G120" s="45">
        <v>179979.50880000001</v>
      </c>
      <c r="H120" s="45">
        <v>1021109175319.21</v>
      </c>
      <c r="I120" s="45">
        <v>1957837552217.4099</v>
      </c>
      <c r="J120" s="45">
        <v>1044182900504.84</v>
      </c>
      <c r="K120" s="45">
        <v>3254.4023999999999</v>
      </c>
      <c r="L120" s="45">
        <v>3195.5976000000001</v>
      </c>
      <c r="M120" s="45">
        <v>2078.7671999999998</v>
      </c>
      <c r="N120" s="45">
        <v>3057.2328000000002</v>
      </c>
      <c r="O120" s="44">
        <v>0</v>
      </c>
      <c r="P120" s="44">
        <v>0</v>
      </c>
      <c r="Q120" s="44">
        <v>29158</v>
      </c>
      <c r="R120" s="44">
        <v>23034</v>
      </c>
      <c r="S120" s="11">
        <f>(鋼床鈑!O120+鋼床鈑!W120+鋼床鈑!X120)*鋼床鈑!U120+(鋼床鈑!R120+鋼床鈑!W120+鋼床鈑!X120)*鋼床鈑!V120</f>
        <v>166460</v>
      </c>
      <c r="T120" s="11">
        <f>(鋼床鈑!T120)*鋼床鈑!W120+(鋼床鈑!T120)*鋼床鈑!X120</f>
        <v>357000</v>
      </c>
      <c r="U120" s="11">
        <f>4*((鋼床鈑!R120+鋼床鈑!W120/2+鋼床鈑!X120/2)*(鋼床鈑!T120+鋼床鈑!U120/2+鋼床鈑!V120/2))^2/((鋼床鈑!O120+鋼床鈑!W120/2+鋼床鈑!X120/2)/鋼床鈑!U120+(鋼床鈑!R120+鋼床鈑!W120/2+鋼床鈑!X120/2)/鋼床鈑!V120+(鋼床鈑!T120+鋼床鈑!U120/2+鋼床鈑!V120/2)/鋼床鈑!W120+(鋼床鈑!T120+鋼床鈑!U120/2+鋼床鈑!V120/2)/鋼床鈑!X120)</f>
        <v>1572650976988.9192</v>
      </c>
      <c r="V120" s="12">
        <f t="shared" si="18"/>
        <v>0.32675669192668061</v>
      </c>
      <c r="W120" s="12">
        <f t="shared" si="19"/>
        <v>0.32085242455107577</v>
      </c>
      <c r="X120" s="12">
        <f t="shared" si="20"/>
        <v>0.9418262671343911</v>
      </c>
      <c r="Y120" s="12">
        <f t="shared" si="21"/>
        <v>0.64039531180530629</v>
      </c>
      <c r="Z120" s="12">
        <f t="shared" si="16"/>
        <v>1.5030496191857408</v>
      </c>
      <c r="AA120" s="12">
        <f t="shared" si="17"/>
        <v>2.0581326226198597</v>
      </c>
      <c r="AB120" s="10">
        <f t="shared" si="22"/>
        <v>5.1360000000000001</v>
      </c>
      <c r="AC120" s="10">
        <f t="shared" si="23"/>
        <v>6.45</v>
      </c>
      <c r="AD120" s="10">
        <f t="shared" si="24"/>
        <v>0.4622</v>
      </c>
      <c r="AE120" s="12">
        <f t="shared" si="25"/>
        <v>1.5726509769889192</v>
      </c>
      <c r="AF120" s="12">
        <f t="shared" si="26"/>
        <v>0.35699999999999998</v>
      </c>
      <c r="AG120" s="12">
        <f t="shared" si="27"/>
        <v>0.16646</v>
      </c>
      <c r="AH120" s="10">
        <f t="shared" si="28"/>
        <v>1.04418290050484</v>
      </c>
      <c r="AI120" s="10">
        <f t="shared" si="29"/>
        <v>1.9578375522174098</v>
      </c>
      <c r="AJ120" s="13">
        <f t="shared" si="30"/>
        <v>1.04418290050484</v>
      </c>
      <c r="AK120" s="13">
        <f t="shared" si="31"/>
        <v>1.9578375522174098</v>
      </c>
    </row>
    <row r="121" spans="1:37">
      <c r="A121" s="8">
        <f>鋼床鈑!A121</f>
        <v>119</v>
      </c>
      <c r="B121" s="43" t="s">
        <v>41</v>
      </c>
      <c r="C121" s="43" t="s">
        <v>42</v>
      </c>
      <c r="D121" s="43" t="s">
        <v>198</v>
      </c>
      <c r="E121" s="44">
        <v>465960</v>
      </c>
      <c r="F121" s="45">
        <v>115380.2065</v>
      </c>
      <c r="G121" s="45">
        <v>183720.98490000001</v>
      </c>
      <c r="H121" s="45">
        <v>1046917278557.66</v>
      </c>
      <c r="I121" s="45">
        <v>2040906696435.3999</v>
      </c>
      <c r="J121" s="45">
        <v>1051666036318.11</v>
      </c>
      <c r="K121" s="45">
        <v>3254.7703999999999</v>
      </c>
      <c r="L121" s="45">
        <v>3195.2296000000001</v>
      </c>
      <c r="M121" s="45">
        <v>2120.5603000000001</v>
      </c>
      <c r="N121" s="45">
        <v>3109.4396999999999</v>
      </c>
      <c r="O121" s="44">
        <v>0</v>
      </c>
      <c r="P121" s="44">
        <v>0</v>
      </c>
      <c r="Q121" s="44">
        <v>29346</v>
      </c>
      <c r="R121" s="44">
        <v>23222</v>
      </c>
      <c r="S121" s="11">
        <f>(鋼床鈑!O121+鋼床鈑!W121+鋼床鈑!X121)*鋼床鈑!U121+(鋼床鈑!R121+鋼床鈑!W121+鋼床鈑!X121)*鋼床鈑!V121</f>
        <v>166460</v>
      </c>
      <c r="T121" s="11">
        <f>(鋼床鈑!T121)*鋼床鈑!W121+(鋼床鈑!T121)*鋼床鈑!X121</f>
        <v>363580</v>
      </c>
      <c r="U121" s="11">
        <f>4*((鋼床鈑!R121+鋼床鈑!W121/2+鋼床鈑!X121/2)*(鋼床鈑!T121+鋼床鈑!U121/2+鋼床鈑!V121/2))^2/((鋼床鈑!O121+鋼床鈑!W121/2+鋼床鈑!X121/2)/鋼床鈑!U121+(鋼床鈑!R121+鋼床鈑!W121/2+鋼床鈑!X121/2)/鋼床鈑!V121+(鋼床鈑!T121+鋼床鈑!U121/2+鋼床鈑!V121/2)/鋼床鈑!W121+(鋼床鈑!T121+鋼床鈑!U121/2+鋼床鈑!V121/2)/鋼床鈑!X121)</f>
        <v>1614695626996.6763</v>
      </c>
      <c r="V121" s="12">
        <f t="shared" si="18"/>
        <v>0.32913629628309338</v>
      </c>
      <c r="W121" s="12">
        <f t="shared" si="19"/>
        <v>0.32311527606313184</v>
      </c>
      <c r="X121" s="12">
        <f t="shared" si="20"/>
        <v>0.9624374729807964</v>
      </c>
      <c r="Y121" s="12">
        <f t="shared" si="21"/>
        <v>0.65635834534286031</v>
      </c>
      <c r="Z121" s="12">
        <f t="shared" si="16"/>
        <v>1.5023274617109035</v>
      </c>
      <c r="AA121" s="12">
        <f t="shared" si="17"/>
        <v>2.0928459259948435</v>
      </c>
      <c r="AB121" s="10">
        <f t="shared" si="22"/>
        <v>5.23</v>
      </c>
      <c r="AC121" s="10">
        <f t="shared" si="23"/>
        <v>6.45</v>
      </c>
      <c r="AD121" s="10">
        <f t="shared" si="24"/>
        <v>0.46595999999999999</v>
      </c>
      <c r="AE121" s="12">
        <f t="shared" si="25"/>
        <v>1.6146956269966763</v>
      </c>
      <c r="AF121" s="12">
        <f t="shared" si="26"/>
        <v>0.36358000000000001</v>
      </c>
      <c r="AG121" s="12">
        <f t="shared" si="27"/>
        <v>0.16646</v>
      </c>
      <c r="AH121" s="10">
        <f t="shared" si="28"/>
        <v>1.0516660363181101</v>
      </c>
      <c r="AI121" s="10">
        <f t="shared" si="29"/>
        <v>2.0409066964353997</v>
      </c>
      <c r="AJ121" s="13">
        <f t="shared" si="30"/>
        <v>1.0516660363181101</v>
      </c>
      <c r="AK121" s="13">
        <f t="shared" si="31"/>
        <v>2.0409066964353997</v>
      </c>
    </row>
    <row r="122" spans="1:37">
      <c r="A122" s="8">
        <f>鋼床鈑!A122</f>
        <v>120</v>
      </c>
      <c r="B122" s="43" t="s">
        <v>41</v>
      </c>
      <c r="C122" s="43" t="s">
        <v>42</v>
      </c>
      <c r="D122" s="43" t="s">
        <v>199</v>
      </c>
      <c r="E122" s="44">
        <v>469880</v>
      </c>
      <c r="F122" s="45">
        <v>114836.63280000001</v>
      </c>
      <c r="G122" s="45">
        <v>187619.14449999999</v>
      </c>
      <c r="H122" s="45">
        <v>1073901373482.6801</v>
      </c>
      <c r="I122" s="45">
        <v>2129676362687.1101</v>
      </c>
      <c r="J122" s="45">
        <v>1059467471305.36</v>
      </c>
      <c r="K122" s="45">
        <v>3255.1477</v>
      </c>
      <c r="L122" s="45">
        <v>3194.8523</v>
      </c>
      <c r="M122" s="45">
        <v>2164.2206000000001</v>
      </c>
      <c r="N122" s="45">
        <v>3163.7793999999999</v>
      </c>
      <c r="O122" s="44">
        <v>0</v>
      </c>
      <c r="P122" s="44">
        <v>0</v>
      </c>
      <c r="Q122" s="44">
        <v>29542</v>
      </c>
      <c r="R122" s="44">
        <v>23418</v>
      </c>
      <c r="S122" s="11">
        <f>(鋼床鈑!O122+鋼床鈑!W122+鋼床鈑!X122)*鋼床鈑!U122+(鋼床鈑!R122+鋼床鈑!W122+鋼床鈑!X122)*鋼床鈑!V122</f>
        <v>166460</v>
      </c>
      <c r="T122" s="11">
        <f>(鋼床鈑!T122)*鋼床鈑!W122+(鋼床鈑!T122)*鋼床鈑!X122</f>
        <v>370440</v>
      </c>
      <c r="U122" s="11">
        <f>4*((鋼床鈑!R122+鋼床鈑!W122/2+鋼床鈑!X122/2)*(鋼床鈑!T122+鋼床鈑!U122/2+鋼床鈑!V122/2))^2/((鋼床鈑!O122+鋼床鈑!W122/2+鋼床鈑!X122/2)/鋼床鈑!U122+(鋼床鈑!R122+鋼床鈑!W122/2+鋼床鈑!X122/2)/鋼床鈑!V122+(鋼床鈑!T122+鋼床鈑!U122/2+鋼床鈑!V122/2)/鋼床鈑!W122+(鋼床鈑!T122+鋼床鈑!U122/2+鋼床鈑!V122/2)/鋼床鈑!X122)</f>
        <v>1658755371288.1802</v>
      </c>
      <c r="V122" s="12">
        <f t="shared" si="18"/>
        <v>0.3316170426111279</v>
      </c>
      <c r="W122" s="12">
        <f t="shared" si="19"/>
        <v>0.32547446965474408</v>
      </c>
      <c r="X122" s="12">
        <f t="shared" si="20"/>
        <v>0.98403848604301702</v>
      </c>
      <c r="Y122" s="12">
        <f t="shared" si="21"/>
        <v>0.67314312833793355</v>
      </c>
      <c r="Z122" s="12">
        <f t="shared" si="16"/>
        <v>1.5015864254255857</v>
      </c>
      <c r="AA122" s="12">
        <f t="shared" si="17"/>
        <v>2.1289395265928719</v>
      </c>
      <c r="AB122" s="10">
        <f t="shared" si="22"/>
        <v>5.3280000000000003</v>
      </c>
      <c r="AC122" s="10">
        <f t="shared" si="23"/>
        <v>6.45</v>
      </c>
      <c r="AD122" s="10">
        <f t="shared" si="24"/>
        <v>0.46988000000000002</v>
      </c>
      <c r="AE122" s="12">
        <f t="shared" si="25"/>
        <v>1.6587553712881802</v>
      </c>
      <c r="AF122" s="12">
        <f t="shared" si="26"/>
        <v>0.37043999999999999</v>
      </c>
      <c r="AG122" s="12">
        <f t="shared" si="27"/>
        <v>0.16646</v>
      </c>
      <c r="AH122" s="10">
        <f t="shared" si="28"/>
        <v>1.05946747130536</v>
      </c>
      <c r="AI122" s="10">
        <f t="shared" si="29"/>
        <v>2.12967636268711</v>
      </c>
      <c r="AJ122" s="13">
        <f t="shared" si="30"/>
        <v>1.05946747130536</v>
      </c>
      <c r="AK122" s="13">
        <f t="shared" si="31"/>
        <v>2.12967636268711</v>
      </c>
    </row>
    <row r="123" spans="1:37">
      <c r="A123" s="8">
        <f>鋼床鈑!A123</f>
        <v>121</v>
      </c>
      <c r="B123" s="43" t="s">
        <v>41</v>
      </c>
      <c r="C123" s="43" t="s">
        <v>42</v>
      </c>
      <c r="D123" s="43" t="s">
        <v>200</v>
      </c>
      <c r="E123" s="44">
        <v>473920</v>
      </c>
      <c r="F123" s="45">
        <v>114281.32369999999</v>
      </c>
      <c r="G123" s="45">
        <v>191634.2647</v>
      </c>
      <c r="H123" s="45">
        <v>1101828805723.6399</v>
      </c>
      <c r="I123" s="45">
        <v>2223497131008.6201</v>
      </c>
      <c r="J123" s="45">
        <v>1067507588074.35</v>
      </c>
      <c r="K123" s="45">
        <v>3255.53</v>
      </c>
      <c r="L123" s="45">
        <v>3194.47</v>
      </c>
      <c r="M123" s="45">
        <v>2209.3098</v>
      </c>
      <c r="N123" s="45">
        <v>3219.6902</v>
      </c>
      <c r="O123" s="44">
        <v>0</v>
      </c>
      <c r="P123" s="44">
        <v>0</v>
      </c>
      <c r="Q123" s="44">
        <v>29744</v>
      </c>
      <c r="R123" s="44">
        <v>23620</v>
      </c>
      <c r="S123" s="11">
        <f>(鋼床鈑!O123+鋼床鈑!W123+鋼床鈑!X123)*鋼床鈑!U123+(鋼床鈑!R123+鋼床鈑!W123+鋼床鈑!X123)*鋼床鈑!V123</f>
        <v>166460</v>
      </c>
      <c r="T123" s="11">
        <f>(鋼床鈑!T123)*鋼床鈑!W123+(鋼床鈑!T123)*鋼床鈑!X123</f>
        <v>377510</v>
      </c>
      <c r="U123" s="11">
        <f>4*((鋼床鈑!R123+鋼床鈑!W123/2+鋼床鈑!X123/2)*(鋼床鈑!T123+鋼床鈑!U123/2+鋼床鈑!V123/2))^2/((鋼床鈑!O123+鋼床鈑!W123/2+鋼床鈑!X123/2)/鋼床鈑!U123+(鋼床鈑!R123+鋼床鈑!W123/2+鋼床鈑!X123/2)/鋼床鈑!V123+(鋼床鈑!T123+鋼床鈑!U123/2+鋼床鈑!V123/2)/鋼床鈑!W123+(鋼床鈑!T123+鋼床鈑!U123/2+鋼床鈑!V123/2)/鋼床鈑!X123)</f>
        <v>1704397963205.5493</v>
      </c>
      <c r="V123" s="12">
        <f t="shared" si="18"/>
        <v>0.33417361505174564</v>
      </c>
      <c r="W123" s="12">
        <f t="shared" si="19"/>
        <v>0.32790592870418944</v>
      </c>
      <c r="X123" s="12">
        <f t="shared" si="20"/>
        <v>1.0064216123101521</v>
      </c>
      <c r="Y123" s="12">
        <f t="shared" si="21"/>
        <v>0.69059350213527371</v>
      </c>
      <c r="Z123" s="12">
        <f t="shared" si="16"/>
        <v>1.500835061892648</v>
      </c>
      <c r="AA123" s="12">
        <f t="shared" si="17"/>
        <v>2.1660364881029452</v>
      </c>
      <c r="AB123" s="10">
        <f t="shared" si="22"/>
        <v>5.4290000000000003</v>
      </c>
      <c r="AC123" s="10">
        <f t="shared" si="23"/>
        <v>6.45</v>
      </c>
      <c r="AD123" s="10">
        <f t="shared" si="24"/>
        <v>0.47392000000000001</v>
      </c>
      <c r="AE123" s="12">
        <f t="shared" si="25"/>
        <v>1.7043979632055493</v>
      </c>
      <c r="AF123" s="12">
        <f t="shared" si="26"/>
        <v>0.37751000000000001</v>
      </c>
      <c r="AG123" s="12">
        <f t="shared" si="27"/>
        <v>0.16646</v>
      </c>
      <c r="AH123" s="10">
        <f t="shared" si="28"/>
        <v>1.0675075880743499</v>
      </c>
      <c r="AI123" s="10">
        <f t="shared" si="29"/>
        <v>2.22349713100862</v>
      </c>
      <c r="AJ123" s="13">
        <f t="shared" si="30"/>
        <v>1.0675075880743499</v>
      </c>
      <c r="AK123" s="13">
        <f t="shared" si="31"/>
        <v>2.22349713100862</v>
      </c>
    </row>
    <row r="124" spans="1:37">
      <c r="A124" s="8">
        <f>鋼床鈑!A124</f>
        <v>122</v>
      </c>
      <c r="B124" s="43" t="s">
        <v>41</v>
      </c>
      <c r="C124" s="43" t="s">
        <v>42</v>
      </c>
      <c r="D124" s="43" t="s">
        <v>201</v>
      </c>
      <c r="E124" s="44">
        <v>478160</v>
      </c>
      <c r="F124" s="45">
        <v>113687.8437</v>
      </c>
      <c r="G124" s="45">
        <v>195845.8077</v>
      </c>
      <c r="H124" s="45">
        <v>1131227829640.54</v>
      </c>
      <c r="I124" s="45">
        <v>2324533218520.8101</v>
      </c>
      <c r="J124" s="45">
        <v>1075945583981.02</v>
      </c>
      <c r="K124" s="45">
        <v>3255.9243999999999</v>
      </c>
      <c r="L124" s="45">
        <v>3194.0756000000001</v>
      </c>
      <c r="M124" s="45">
        <v>2256.7294999999999</v>
      </c>
      <c r="N124" s="45">
        <v>3278.2705000000001</v>
      </c>
      <c r="O124" s="44">
        <v>0</v>
      </c>
      <c r="P124" s="44">
        <v>0</v>
      </c>
      <c r="Q124" s="44">
        <v>29956</v>
      </c>
      <c r="R124" s="44">
        <v>23832</v>
      </c>
      <c r="S124" s="11">
        <f>(鋼床鈑!O124+鋼床鈑!W124+鋼床鈑!X124)*鋼床鈑!U124+(鋼床鈑!R124+鋼床鈑!W124+鋼床鈑!X124)*鋼床鈑!V124</f>
        <v>166460</v>
      </c>
      <c r="T124" s="11">
        <f>(鋼床鈑!T124)*鋼床鈑!W124+(鋼床鈑!T124)*鋼床鈑!X124</f>
        <v>384930</v>
      </c>
      <c r="U124" s="11">
        <f>4*((鋼床鈑!R124+鋼床鈑!W124/2+鋼床鈑!X124/2)*(鋼床鈑!T124+鋼床鈑!U124/2+鋼床鈑!V124/2))^2/((鋼床鈑!O124+鋼床鈑!W124/2+鋼床鈑!X124/2)/鋼床鈑!U124+(鋼床鈑!R124+鋼床鈑!W124/2+鋼床鈑!X124/2)/鋼床鈑!V124+(鋼床鈑!T124+鋼床鈑!U124/2+鋼床鈑!V124/2)/鋼床鈑!W124+(鋼床鈑!T124+鋼床鈑!U124/2+鋼床鈑!V124/2)/鋼床鈑!X124)</f>
        <v>1752547688510.9819</v>
      </c>
      <c r="V124" s="12">
        <f t="shared" si="18"/>
        <v>0.33685664296143142</v>
      </c>
      <c r="W124" s="12">
        <f t="shared" si="19"/>
        <v>0.33045779072174403</v>
      </c>
      <c r="X124" s="12">
        <f t="shared" si="20"/>
        <v>1.0300451243805737</v>
      </c>
      <c r="Y124" s="12">
        <f t="shared" si="21"/>
        <v>0.70907303668834221</v>
      </c>
      <c r="Z124" s="12">
        <f t="shared" si="16"/>
        <v>1.5000596608381085</v>
      </c>
      <c r="AA124" s="12">
        <f t="shared" si="17"/>
        <v>2.2048612098978442</v>
      </c>
      <c r="AB124" s="10">
        <f t="shared" si="22"/>
        <v>5.5350000000000001</v>
      </c>
      <c r="AC124" s="10">
        <f t="shared" si="23"/>
        <v>6.45</v>
      </c>
      <c r="AD124" s="10">
        <f t="shared" si="24"/>
        <v>0.47815999999999997</v>
      </c>
      <c r="AE124" s="12">
        <f t="shared" si="25"/>
        <v>1.7525476885109819</v>
      </c>
      <c r="AF124" s="12">
        <f t="shared" si="26"/>
        <v>0.38492999999999999</v>
      </c>
      <c r="AG124" s="12">
        <f t="shared" si="27"/>
        <v>0.16646</v>
      </c>
      <c r="AH124" s="10">
        <f t="shared" si="28"/>
        <v>1.0759455839810199</v>
      </c>
      <c r="AI124" s="10">
        <f t="shared" si="29"/>
        <v>2.3245332185208101</v>
      </c>
      <c r="AJ124" s="13">
        <f t="shared" si="30"/>
        <v>1.0759455839810199</v>
      </c>
      <c r="AK124" s="13">
        <f t="shared" si="31"/>
        <v>2.3245332185208101</v>
      </c>
    </row>
    <row r="125" spans="1:37">
      <c r="A125" s="8">
        <f>鋼床鈑!A125</f>
        <v>123</v>
      </c>
      <c r="B125" s="43" t="s">
        <v>41</v>
      </c>
      <c r="C125" s="43" t="s">
        <v>42</v>
      </c>
      <c r="D125" s="43" t="s">
        <v>202</v>
      </c>
      <c r="E125" s="44">
        <v>482520</v>
      </c>
      <c r="F125" s="45">
        <v>113075.18459999999</v>
      </c>
      <c r="G125" s="45">
        <v>200173.65470000001</v>
      </c>
      <c r="H125" s="45">
        <v>1161568128293.02</v>
      </c>
      <c r="I125" s="45">
        <v>2431199970047.1201</v>
      </c>
      <c r="J125" s="45">
        <v>1084622238780.38</v>
      </c>
      <c r="K125" s="45">
        <v>3256.3226</v>
      </c>
      <c r="L125" s="45">
        <v>3193.6774</v>
      </c>
      <c r="M125" s="45">
        <v>2305.5936000000002</v>
      </c>
      <c r="N125" s="45">
        <v>3338.4063999999998</v>
      </c>
      <c r="O125" s="44">
        <v>0</v>
      </c>
      <c r="P125" s="44">
        <v>0</v>
      </c>
      <c r="Q125" s="44">
        <v>30174</v>
      </c>
      <c r="R125" s="44">
        <v>24050</v>
      </c>
      <c r="S125" s="11">
        <f>(鋼床鈑!O125+鋼床鈑!W125+鋼床鈑!X125)*鋼床鈑!U125+(鋼床鈑!R125+鋼床鈑!W125+鋼床鈑!X125)*鋼床鈑!V125</f>
        <v>166460</v>
      </c>
      <c r="T125" s="11">
        <f>(鋼床鈑!T125)*鋼床鈑!W125+(鋼床鈑!T125)*鋼床鈑!X125</f>
        <v>392560</v>
      </c>
      <c r="U125" s="11">
        <f>4*((鋼床鈑!R125+鋼床鈑!W125/2+鋼床鈑!X125/2)*(鋼床鈑!T125+鋼床鈑!U125/2+鋼床鈑!V125/2))^2/((鋼床鈑!O125+鋼床鈑!W125/2+鋼床鈑!X125/2)/鋼床鈑!U125+(鋼床鈑!R125+鋼床鈑!W125/2+鋼床鈑!X125/2)/鋼床鈑!V125+(鋼床鈑!T125+鋼床鈑!U125/2+鋼床鈑!V125/2)/鋼床鈑!W125+(鋼床鈑!T125+鋼床鈑!U125/2+鋼床鈑!V125/2)/鋼床鈑!X125)</f>
        <v>1802316163695.094</v>
      </c>
      <c r="V125" s="12">
        <f t="shared" si="18"/>
        <v>0.33961546610198645</v>
      </c>
      <c r="W125" s="12">
        <f t="shared" si="19"/>
        <v>0.33308193690034893</v>
      </c>
      <c r="X125" s="12">
        <f t="shared" si="20"/>
        <v>1.0544789723770571</v>
      </c>
      <c r="Y125" s="12">
        <f t="shared" si="21"/>
        <v>0.72825165026256855</v>
      </c>
      <c r="Z125" s="12">
        <f t="shared" si="16"/>
        <v>1.499276013335747</v>
      </c>
      <c r="AA125" s="12">
        <f t="shared" si="17"/>
        <v>2.2446709253012966</v>
      </c>
      <c r="AB125" s="10">
        <f t="shared" si="22"/>
        <v>5.6440000000000001</v>
      </c>
      <c r="AC125" s="10">
        <f t="shared" si="23"/>
        <v>6.45</v>
      </c>
      <c r="AD125" s="10">
        <f t="shared" si="24"/>
        <v>0.48252</v>
      </c>
      <c r="AE125" s="12">
        <f t="shared" si="25"/>
        <v>1.802316163695094</v>
      </c>
      <c r="AF125" s="12">
        <f t="shared" si="26"/>
        <v>0.39256000000000002</v>
      </c>
      <c r="AG125" s="12">
        <f t="shared" si="27"/>
        <v>0.16646</v>
      </c>
      <c r="AH125" s="10">
        <f t="shared" si="28"/>
        <v>1.0846222387803801</v>
      </c>
      <c r="AI125" s="10">
        <f t="shared" si="29"/>
        <v>2.4311999700471203</v>
      </c>
      <c r="AJ125" s="13">
        <f t="shared" si="30"/>
        <v>1.0846222387803801</v>
      </c>
      <c r="AK125" s="13">
        <f t="shared" si="31"/>
        <v>2.4311999700471203</v>
      </c>
    </row>
    <row r="126" spans="1:37">
      <c r="A126" s="8">
        <f>鋼床鈑!A126</f>
        <v>124</v>
      </c>
      <c r="B126" s="43" t="s">
        <v>41</v>
      </c>
      <c r="C126" s="43" t="s">
        <v>42</v>
      </c>
      <c r="D126" s="43" t="s">
        <v>203</v>
      </c>
      <c r="E126" s="44">
        <v>487080</v>
      </c>
      <c r="F126" s="45">
        <v>112439.3735</v>
      </c>
      <c r="G126" s="45">
        <v>204697.84789999999</v>
      </c>
      <c r="H126" s="45">
        <v>1193439928259.3899</v>
      </c>
      <c r="I126" s="45">
        <v>2545794577019.2402</v>
      </c>
      <c r="J126" s="45">
        <v>1093696744505.46</v>
      </c>
      <c r="K126" s="45">
        <v>3256.7314999999999</v>
      </c>
      <c r="L126" s="45">
        <v>3193.2685000000001</v>
      </c>
      <c r="M126" s="45">
        <v>2356.8069999999998</v>
      </c>
      <c r="N126" s="45">
        <v>3401.1930000000002</v>
      </c>
      <c r="O126" s="44">
        <v>0</v>
      </c>
      <c r="P126" s="44">
        <v>0</v>
      </c>
      <c r="Q126" s="44">
        <v>30402</v>
      </c>
      <c r="R126" s="44">
        <v>24278</v>
      </c>
      <c r="S126" s="11">
        <f>(鋼床鈑!O126+鋼床鈑!W126+鋼床鈑!X126)*鋼床鈑!U126+(鋼床鈑!R126+鋼床鈑!W126+鋼床鈑!X126)*鋼床鈑!V126</f>
        <v>166460</v>
      </c>
      <c r="T126" s="11">
        <f>(鋼床鈑!T126)*鋼床鈑!W126+(鋼床鈑!T126)*鋼床鈑!X126</f>
        <v>400540</v>
      </c>
      <c r="U126" s="11">
        <f>4*((鋼床鈑!R126+鋼床鈑!W126/2+鋼床鈑!X126/2)*(鋼床鈑!T126+鋼床鈑!U126/2+鋼床鈑!V126/2))^2/((鋼床鈑!O126+鋼床鈑!W126/2+鋼床鈑!X126/2)/鋼床鈑!U126+(鋼床鈑!R126+鋼床鈑!W126/2+鋼床鈑!X126/2)/鋼床鈑!V126+(鋼床鈑!T126+鋼床鈑!U126/2+鋼床鈑!V126/2)/鋼床鈑!W126+(鋼床鈑!T126+鋼床鈑!U126/2+鋼床鈑!V126/2)/鋼床鈑!X126)</f>
        <v>1854636218551.1733</v>
      </c>
      <c r="V126" s="12">
        <f t="shared" si="18"/>
        <v>0.34250071502144586</v>
      </c>
      <c r="W126" s="12">
        <f t="shared" si="19"/>
        <v>0.33582650105035061</v>
      </c>
      <c r="X126" s="12">
        <f t="shared" si="20"/>
        <v>1.0801879733975843</v>
      </c>
      <c r="Y126" s="12">
        <f t="shared" si="21"/>
        <v>0.74850047528006791</v>
      </c>
      <c r="Z126" s="12">
        <f t="shared" si="16"/>
        <v>1.4984708915909677</v>
      </c>
      <c r="AA126" s="12">
        <f t="shared" si="17"/>
        <v>2.2861858363587806</v>
      </c>
      <c r="AB126" s="10">
        <f t="shared" si="22"/>
        <v>5.758</v>
      </c>
      <c r="AC126" s="10">
        <f t="shared" si="23"/>
        <v>6.45</v>
      </c>
      <c r="AD126" s="10">
        <f t="shared" si="24"/>
        <v>0.48708000000000001</v>
      </c>
      <c r="AE126" s="12">
        <f t="shared" si="25"/>
        <v>1.8546362185511733</v>
      </c>
      <c r="AF126" s="12">
        <f t="shared" si="26"/>
        <v>0.40054000000000001</v>
      </c>
      <c r="AG126" s="12">
        <f t="shared" si="27"/>
        <v>0.16646</v>
      </c>
      <c r="AH126" s="10">
        <f t="shared" si="28"/>
        <v>1.09369674450546</v>
      </c>
      <c r="AI126" s="10">
        <f t="shared" si="29"/>
        <v>2.5457945770192403</v>
      </c>
      <c r="AJ126" s="13">
        <f t="shared" si="30"/>
        <v>1.09369674450546</v>
      </c>
      <c r="AK126" s="13">
        <f t="shared" si="31"/>
        <v>2.5457945770192403</v>
      </c>
    </row>
    <row r="127" spans="1:37">
      <c r="A127" s="8">
        <f>鋼床鈑!A127</f>
        <v>125</v>
      </c>
      <c r="B127" s="43" t="s">
        <v>41</v>
      </c>
      <c r="C127" s="43" t="s">
        <v>42</v>
      </c>
      <c r="D127" s="43" t="s">
        <v>204</v>
      </c>
      <c r="E127" s="44">
        <v>491760</v>
      </c>
      <c r="F127" s="45">
        <v>111776.8349</v>
      </c>
      <c r="G127" s="45">
        <v>209337.95050000001</v>
      </c>
      <c r="H127" s="45">
        <v>1226250571400.8601</v>
      </c>
      <c r="I127" s="45">
        <v>2666662899239.0801</v>
      </c>
      <c r="J127" s="45">
        <v>1103009886827.5601</v>
      </c>
      <c r="K127" s="45">
        <v>3257.1433000000002</v>
      </c>
      <c r="L127" s="45">
        <v>3192.8566999999998</v>
      </c>
      <c r="M127" s="45">
        <v>2409.4798000000001</v>
      </c>
      <c r="N127" s="45">
        <v>3465.5201999999999</v>
      </c>
      <c r="O127" s="44">
        <v>0</v>
      </c>
      <c r="P127" s="44">
        <v>0</v>
      </c>
      <c r="Q127" s="44">
        <v>30636</v>
      </c>
      <c r="R127" s="44">
        <v>24512</v>
      </c>
      <c r="S127" s="11">
        <f>(鋼床鈑!O127+鋼床鈑!W127+鋼床鈑!X127)*鋼床鈑!U127+(鋼床鈑!R127+鋼床鈑!W127+鋼床鈑!X127)*鋼床鈑!V127</f>
        <v>166460</v>
      </c>
      <c r="T127" s="11">
        <f>(鋼床鈑!T127)*鋼床鈑!W127+(鋼床鈑!T127)*鋼床鈑!X127</f>
        <v>408730</v>
      </c>
      <c r="U127" s="11">
        <f>4*((鋼床鈑!R127+鋼床鈑!W127/2+鋼床鈑!X127/2)*(鋼床鈑!T127+鋼床鈑!U127/2+鋼床鈑!V127/2))^2/((鋼床鈑!O127+鋼床鈑!W127/2+鋼床鈑!X127/2)/鋼床鈑!U127+(鋼床鈑!R127+鋼床鈑!W127/2+鋼床鈑!X127/2)/鋼床鈑!V127+(鋼床鈑!T127+鋼床鈑!U127/2+鋼床鈑!V127/2)/鋼床鈑!W127+(鋼床鈑!T127+鋼床鈑!U127/2+鋼床鈑!V127/2)/鋼床鈑!X127)</f>
        <v>1908609132074.1501</v>
      </c>
      <c r="V127" s="12">
        <f t="shared" si="18"/>
        <v>0.34546175743733193</v>
      </c>
      <c r="W127" s="12">
        <f t="shared" si="19"/>
        <v>0.33864334026309495</v>
      </c>
      <c r="X127" s="12">
        <f t="shared" si="20"/>
        <v>1.1067380184050848</v>
      </c>
      <c r="Y127" s="12">
        <f t="shared" si="21"/>
        <v>0.76948415976310869</v>
      </c>
      <c r="Z127" s="12">
        <f t="shared" si="16"/>
        <v>1.4976595582735497</v>
      </c>
      <c r="AA127" s="12">
        <f t="shared" si="17"/>
        <v>2.3286673782790217</v>
      </c>
      <c r="AB127" s="10">
        <f t="shared" si="22"/>
        <v>5.875</v>
      </c>
      <c r="AC127" s="10">
        <f t="shared" si="23"/>
        <v>6.45</v>
      </c>
      <c r="AD127" s="10">
        <f t="shared" si="24"/>
        <v>0.49175999999999997</v>
      </c>
      <c r="AE127" s="12">
        <f t="shared" si="25"/>
        <v>1.9086091320741501</v>
      </c>
      <c r="AF127" s="12">
        <f t="shared" si="26"/>
        <v>0.40872999999999998</v>
      </c>
      <c r="AG127" s="12">
        <f t="shared" si="27"/>
        <v>0.16646</v>
      </c>
      <c r="AH127" s="10">
        <f t="shared" si="28"/>
        <v>1.10300988682756</v>
      </c>
      <c r="AI127" s="10">
        <f t="shared" si="29"/>
        <v>2.6666628992390802</v>
      </c>
      <c r="AJ127" s="13">
        <f t="shared" si="30"/>
        <v>1.10300988682756</v>
      </c>
      <c r="AK127" s="13">
        <f t="shared" si="31"/>
        <v>2.6666628992390802</v>
      </c>
    </row>
    <row r="128" spans="1:37">
      <c r="A128" s="8">
        <f>鋼床鈑!A128</f>
        <v>126</v>
      </c>
      <c r="B128" s="43" t="s">
        <v>41</v>
      </c>
      <c r="C128" s="43" t="s">
        <v>42</v>
      </c>
      <c r="D128" s="43" t="s">
        <v>205</v>
      </c>
      <c r="E128" s="44">
        <v>496600</v>
      </c>
      <c r="F128" s="45">
        <v>111089.32249999999</v>
      </c>
      <c r="G128" s="45">
        <v>214131.56940000001</v>
      </c>
      <c r="H128" s="45">
        <v>1260292149269.3201</v>
      </c>
      <c r="I128" s="45">
        <v>2795169826178.04</v>
      </c>
      <c r="J128" s="45">
        <v>1112641255123.47</v>
      </c>
      <c r="K128" s="45">
        <v>3257.5610000000001</v>
      </c>
      <c r="L128" s="45">
        <v>3192.4389999999999</v>
      </c>
      <c r="M128" s="45">
        <v>2464.0689000000002</v>
      </c>
      <c r="N128" s="45">
        <v>3531.9310999999998</v>
      </c>
      <c r="O128" s="44">
        <v>0</v>
      </c>
      <c r="P128" s="44">
        <v>0</v>
      </c>
      <c r="Q128" s="44">
        <v>30878</v>
      </c>
      <c r="R128" s="44">
        <v>24754</v>
      </c>
      <c r="S128" s="11">
        <f>(鋼床鈑!O128+鋼床鈑!W128+鋼床鈑!X128)*鋼床鈑!U128+(鋼床鈑!R128+鋼床鈑!W128+鋼床鈑!X128)*鋼床鈑!V128</f>
        <v>166460</v>
      </c>
      <c r="T128" s="11">
        <f>(鋼床鈑!T128)*鋼床鈑!W128+(鋼床鈑!T128)*鋼床鈑!X128</f>
        <v>417200</v>
      </c>
      <c r="U128" s="11">
        <f>4*((鋼床鈑!R128+鋼床鈑!W128/2+鋼床鈑!X128/2)*(鋼床鈑!T128+鋼床鈑!U128/2+鋼床鈑!V128/2))^2/((鋼床鈑!O128+鋼床鈑!W128/2+鋼床鈑!X128/2)/鋼床鈑!U128+(鋼床鈑!R128+鋼床鈑!W128/2+鋼床鈑!X128/2)/鋼床鈑!V128+(鋼床鈑!T128+鋼床鈑!U128/2+鋼床鈑!V128/2)/鋼床鈑!W128+(鋼床鈑!T128+鋼床鈑!U128/2+鋼床鈑!V128/2)/鋼床鈑!X128)</f>
        <v>1964711295790.8435</v>
      </c>
      <c r="V128" s="12">
        <f t="shared" si="18"/>
        <v>0.34852388882715379</v>
      </c>
      <c r="W128" s="12">
        <f t="shared" si="19"/>
        <v>0.34155653727542473</v>
      </c>
      <c r="X128" s="12">
        <f t="shared" si="20"/>
        <v>1.1343716184957491</v>
      </c>
      <c r="Y128" s="12">
        <f t="shared" si="21"/>
        <v>0.79139987362098885</v>
      </c>
      <c r="Z128" s="12">
        <f t="shared" si="16"/>
        <v>1.4968360073403029</v>
      </c>
      <c r="AA128" s="12">
        <f t="shared" si="17"/>
        <v>2.3724700691713809</v>
      </c>
      <c r="AB128" s="10">
        <f t="shared" si="22"/>
        <v>5.9960000000000004</v>
      </c>
      <c r="AC128" s="10">
        <f t="shared" si="23"/>
        <v>6.45</v>
      </c>
      <c r="AD128" s="10">
        <f t="shared" si="24"/>
        <v>0.49659999999999999</v>
      </c>
      <c r="AE128" s="12">
        <f t="shared" si="25"/>
        <v>1.9647112957908435</v>
      </c>
      <c r="AF128" s="12">
        <f t="shared" si="26"/>
        <v>0.41720000000000002</v>
      </c>
      <c r="AG128" s="12">
        <f t="shared" si="27"/>
        <v>0.16646</v>
      </c>
      <c r="AH128" s="10">
        <f t="shared" si="28"/>
        <v>1.1126412551234699</v>
      </c>
      <c r="AI128" s="10">
        <f t="shared" si="29"/>
        <v>2.7951698261780402</v>
      </c>
      <c r="AJ128" s="13">
        <f t="shared" si="30"/>
        <v>1.1126412551234699</v>
      </c>
      <c r="AK128" s="13">
        <f t="shared" si="31"/>
        <v>2.7951698261780402</v>
      </c>
    </row>
    <row r="129" spans="1:37">
      <c r="A129" s="8">
        <f>鋼床鈑!A129</f>
        <v>127</v>
      </c>
      <c r="B129" s="43" t="s">
        <v>41</v>
      </c>
      <c r="C129" s="43" t="s">
        <v>42</v>
      </c>
      <c r="D129" s="43" t="s">
        <v>206</v>
      </c>
      <c r="E129" s="44">
        <v>501600</v>
      </c>
      <c r="F129" s="45">
        <v>110383.7295</v>
      </c>
      <c r="G129" s="45">
        <v>219081.52059999999</v>
      </c>
      <c r="H129" s="45">
        <v>1295614471427.8301</v>
      </c>
      <c r="I129" s="45">
        <v>2931707212299.5</v>
      </c>
      <c r="J129" s="45">
        <v>1122590837361.3</v>
      </c>
      <c r="K129" s="45">
        <v>3257.9841000000001</v>
      </c>
      <c r="L129" s="45">
        <v>3192.0158999999999</v>
      </c>
      <c r="M129" s="45">
        <v>2520.5823</v>
      </c>
      <c r="N129" s="45">
        <v>3600.4177</v>
      </c>
      <c r="O129" s="44">
        <v>0</v>
      </c>
      <c r="P129" s="44">
        <v>0</v>
      </c>
      <c r="Q129" s="44">
        <v>31128</v>
      </c>
      <c r="R129" s="44">
        <v>25004</v>
      </c>
      <c r="S129" s="11">
        <f>(鋼床鈑!O129+鋼床鈑!W129+鋼床鈑!X129)*鋼床鈑!U129+(鋼床鈑!R129+鋼床鈑!W129+鋼床鈑!X129)*鋼床鈑!V129</f>
        <v>166460</v>
      </c>
      <c r="T129" s="11">
        <f>(鋼床鈑!T129)*鋼床鈑!W129+(鋼床鈑!T129)*鋼床鈑!X129</f>
        <v>425950</v>
      </c>
      <c r="U129" s="11">
        <f>4*((鋼床鈑!R129+鋼床鈑!W129/2+鋼床鈑!X129/2)*(鋼床鈑!T129+鋼床鈑!U129/2+鋼床鈑!V129/2))^2/((鋼床鈑!O129+鋼床鈑!W129/2+鋼床鈑!X129/2)/鋼床鈑!U129+(鋼床鈑!R129+鋼床鈑!W129/2+鋼床鈑!X129/2)/鋼床鈑!V129+(鋼床鈑!T129+鋼床鈑!U129/2+鋼床鈑!V129/2)/鋼床鈑!W129+(鋼床鈑!T129+鋼床鈑!U129/2+鋼床鈑!V129/2)/鋼床鈑!X129)</f>
        <v>2022960761139.2085</v>
      </c>
      <c r="V129" s="12">
        <f t="shared" si="18"/>
        <v>0.35168710699758737</v>
      </c>
      <c r="W129" s="12">
        <f t="shared" si="19"/>
        <v>0.34456608838615876</v>
      </c>
      <c r="X129" s="12">
        <f t="shared" si="20"/>
        <v>1.1631071170735032</v>
      </c>
      <c r="Y129" s="12">
        <f t="shared" si="21"/>
        <v>0.81426863674720296</v>
      </c>
      <c r="Z129" s="12">
        <f t="shared" si="16"/>
        <v>1.4960013404701205</v>
      </c>
      <c r="AA129" s="12">
        <f t="shared" si="17"/>
        <v>2.4175837830951155</v>
      </c>
      <c r="AB129" s="10">
        <f t="shared" si="22"/>
        <v>6.1210000000000004</v>
      </c>
      <c r="AC129" s="10">
        <f t="shared" si="23"/>
        <v>6.45</v>
      </c>
      <c r="AD129" s="10">
        <f t="shared" si="24"/>
        <v>0.50160000000000005</v>
      </c>
      <c r="AE129" s="12">
        <f t="shared" si="25"/>
        <v>2.0229607611392084</v>
      </c>
      <c r="AF129" s="12">
        <f t="shared" si="26"/>
        <v>0.42595</v>
      </c>
      <c r="AG129" s="12">
        <f t="shared" si="27"/>
        <v>0.16646</v>
      </c>
      <c r="AH129" s="10">
        <f t="shared" si="28"/>
        <v>1.1225908373613001</v>
      </c>
      <c r="AI129" s="10">
        <f t="shared" si="29"/>
        <v>2.9317072122995</v>
      </c>
      <c r="AJ129" s="13">
        <f t="shared" si="30"/>
        <v>1.1225908373613001</v>
      </c>
      <c r="AK129" s="13">
        <f t="shared" si="31"/>
        <v>2.9317072122995</v>
      </c>
    </row>
    <row r="130" spans="1:37">
      <c r="A130" s="8">
        <f>鋼床鈑!A130</f>
        <v>128</v>
      </c>
      <c r="B130" s="43" t="s">
        <v>41</v>
      </c>
      <c r="C130" s="43" t="s">
        <v>42</v>
      </c>
      <c r="D130" s="43" t="s">
        <v>207</v>
      </c>
      <c r="E130" s="44">
        <v>506760</v>
      </c>
      <c r="F130" s="45">
        <v>109646.79029999999</v>
      </c>
      <c r="G130" s="45">
        <v>224184.1594</v>
      </c>
      <c r="H130" s="45">
        <v>1332163957227.52</v>
      </c>
      <c r="I130" s="45">
        <v>3076686146439.8501</v>
      </c>
      <c r="J130" s="45">
        <v>1132858621763.0701</v>
      </c>
      <c r="K130" s="45">
        <v>3258.4119000000001</v>
      </c>
      <c r="L130" s="45">
        <v>3191.5880999999999</v>
      </c>
      <c r="M130" s="45">
        <v>2579.0281</v>
      </c>
      <c r="N130" s="45">
        <v>3670.9719</v>
      </c>
      <c r="O130" s="44">
        <v>0</v>
      </c>
      <c r="P130" s="44">
        <v>0</v>
      </c>
      <c r="Q130" s="44">
        <v>31386</v>
      </c>
      <c r="R130" s="44">
        <v>25262</v>
      </c>
      <c r="S130" s="11">
        <f>(鋼床鈑!O130+鋼床鈑!W130+鋼床鈑!X130)*鋼床鈑!U130+(鋼床鈑!R130+鋼床鈑!W130+鋼床鈑!X130)*鋼床鈑!V130</f>
        <v>166808</v>
      </c>
      <c r="T130" s="11">
        <f>(鋼床鈑!T130)*鋼床鈑!W130+(鋼床鈑!T130)*鋼床鈑!X130</f>
        <v>472264</v>
      </c>
      <c r="U130" s="11">
        <f>4*((鋼床鈑!R130+鋼床鈑!W130/2+鋼床鈑!X130/2)*(鋼床鈑!T130+鋼床鈑!U130/2+鋼床鈑!V130/2))^2/((鋼床鈑!O130+鋼床鈑!W130/2+鋼床鈑!X130/2)/鋼床鈑!U130+(鋼床鈑!R130+鋼床鈑!W130/2+鋼床鈑!X130/2)/鋼床鈑!V130+(鋼床鈑!T130+鋼床鈑!U130/2+鋼床鈑!V130/2)/鋼床鈑!W130+(鋼床鈑!T130+鋼床鈑!U130/2+鋼床鈑!V130/2)/鋼床鈑!X130)</f>
        <v>2189368196959.2839</v>
      </c>
      <c r="V130" s="12">
        <f t="shared" si="18"/>
        <v>0.35495138666642789</v>
      </c>
      <c r="W130" s="12">
        <f t="shared" si="19"/>
        <v>0.3476720121734978</v>
      </c>
      <c r="X130" s="12">
        <f t="shared" si="20"/>
        <v>1.1929634060365026</v>
      </c>
      <c r="Y130" s="12">
        <f t="shared" si="21"/>
        <v>0.83811214856748151</v>
      </c>
      <c r="Z130" s="12">
        <f t="shared" si="16"/>
        <v>1.4951566383230679</v>
      </c>
      <c r="AA130" s="12">
        <f t="shared" si="17"/>
        <v>2.4639984725499349</v>
      </c>
      <c r="AB130" s="10">
        <f t="shared" si="22"/>
        <v>6.25</v>
      </c>
      <c r="AC130" s="10">
        <f t="shared" si="23"/>
        <v>6.45</v>
      </c>
      <c r="AD130" s="10">
        <f t="shared" si="24"/>
        <v>0.50675999999999999</v>
      </c>
      <c r="AE130" s="12">
        <f t="shared" si="25"/>
        <v>2.189368196959284</v>
      </c>
      <c r="AF130" s="12">
        <f t="shared" si="26"/>
        <v>0.47226400000000002</v>
      </c>
      <c r="AG130" s="12">
        <f t="shared" si="27"/>
        <v>0.16680800000000001</v>
      </c>
      <c r="AH130" s="10">
        <f t="shared" si="28"/>
        <v>1.1328586217630701</v>
      </c>
      <c r="AI130" s="10">
        <f t="shared" si="29"/>
        <v>3.0766861464398501</v>
      </c>
      <c r="AJ130" s="13">
        <f t="shared" si="30"/>
        <v>1.1328586217630701</v>
      </c>
      <c r="AK130" s="13">
        <f t="shared" si="31"/>
        <v>3.0766861464398501</v>
      </c>
    </row>
    <row r="131" spans="1:37">
      <c r="A131" s="8">
        <f>鋼床鈑!A131</f>
        <v>129</v>
      </c>
      <c r="B131" s="43" t="s">
        <v>41</v>
      </c>
      <c r="C131" s="43" t="s">
        <v>42</v>
      </c>
      <c r="D131" s="43" t="s">
        <v>208</v>
      </c>
      <c r="E131" s="44">
        <v>512520</v>
      </c>
      <c r="F131" s="45">
        <v>108823.49430000001</v>
      </c>
      <c r="G131" s="45">
        <v>229875.04120000001</v>
      </c>
      <c r="H131" s="45">
        <v>1373113299617.95</v>
      </c>
      <c r="I131" s="45">
        <v>3243462553968.5</v>
      </c>
      <c r="J131" s="45">
        <v>1144320120137.7</v>
      </c>
      <c r="K131" s="45">
        <v>3258.8793000000001</v>
      </c>
      <c r="L131" s="45">
        <v>3191.1206999999999</v>
      </c>
      <c r="M131" s="45">
        <v>2644.4139</v>
      </c>
      <c r="N131" s="45">
        <v>3749.5861</v>
      </c>
      <c r="O131" s="44">
        <v>0</v>
      </c>
      <c r="P131" s="44">
        <v>0</v>
      </c>
      <c r="Q131" s="44">
        <v>31674</v>
      </c>
      <c r="R131" s="44">
        <v>25550</v>
      </c>
      <c r="S131" s="11">
        <f>(鋼床鈑!O131+鋼床鈑!W131+鋼床鈑!X131)*鋼床鈑!U131+(鋼床鈑!R131+鋼床鈑!W131+鋼床鈑!X131)*鋼床鈑!V131</f>
        <v>166808</v>
      </c>
      <c r="T131" s="11">
        <f>(鋼床鈑!T131)*鋼床鈑!W131+(鋼床鈑!T131)*鋼床鈑!X131</f>
        <v>483208</v>
      </c>
      <c r="U131" s="11">
        <f>4*((鋼床鈑!R131+鋼床鈑!W131/2+鋼床鈑!X131/2)*(鋼床鈑!T131+鋼床鈑!U131/2+鋼床鈑!V131/2))^2/((鋼床鈑!O131+鋼床鈑!W131/2+鋼床鈑!X131/2)/鋼床鈑!U131+(鋼床鈑!R131+鋼床鈑!W131/2+鋼床鈑!X131/2)/鋼床鈑!V131+(鋼床鈑!T131+鋼床鈑!U131/2+鋼床鈑!V131/2)/鋼床鈑!W131+(鋼床鈑!T131+鋼床鈑!U131/2+鋼床鈑!V131/2)/鋼床鈑!X131)</f>
        <v>2261645326161.7622</v>
      </c>
      <c r="V131" s="12">
        <f t="shared" si="18"/>
        <v>0.35859506039295225</v>
      </c>
      <c r="W131" s="12">
        <f t="shared" si="19"/>
        <v>0.3511391539225463</v>
      </c>
      <c r="X131" s="12">
        <f t="shared" si="20"/>
        <v>1.2265336201600288</v>
      </c>
      <c r="Y131" s="12">
        <f t="shared" si="21"/>
        <v>0.86501882273579478</v>
      </c>
      <c r="Z131" s="12">
        <f t="shared" si="16"/>
        <v>1.4942331195570677</v>
      </c>
      <c r="AA131" s="12">
        <f t="shared" si="17"/>
        <v>2.5156431499851091</v>
      </c>
      <c r="AB131" s="10">
        <f t="shared" si="22"/>
        <v>6.3940000000000001</v>
      </c>
      <c r="AC131" s="10">
        <f t="shared" si="23"/>
        <v>6.45</v>
      </c>
      <c r="AD131" s="10">
        <f t="shared" si="24"/>
        <v>0.51251999999999998</v>
      </c>
      <c r="AE131" s="12">
        <f t="shared" si="25"/>
        <v>2.2616453261617622</v>
      </c>
      <c r="AF131" s="12">
        <f t="shared" si="26"/>
        <v>0.48320800000000003</v>
      </c>
      <c r="AG131" s="12">
        <f t="shared" si="27"/>
        <v>0.16680800000000001</v>
      </c>
      <c r="AH131" s="10">
        <f t="shared" si="28"/>
        <v>1.1443201201377</v>
      </c>
      <c r="AI131" s="10">
        <f t="shared" si="29"/>
        <v>3.2434625539685</v>
      </c>
      <c r="AJ131" s="13">
        <f t="shared" si="30"/>
        <v>1.1443201201377</v>
      </c>
      <c r="AK131" s="13">
        <f t="shared" si="31"/>
        <v>3.2434625539685</v>
      </c>
    </row>
    <row r="132" spans="1:37">
      <c r="A132" s="8">
        <f>鋼床鈑!A132</f>
        <v>130</v>
      </c>
      <c r="B132" s="43" t="s">
        <v>41</v>
      </c>
      <c r="C132" s="43" t="s">
        <v>42</v>
      </c>
      <c r="D132" s="43" t="s">
        <v>209</v>
      </c>
      <c r="E132" s="44">
        <v>518200</v>
      </c>
      <c r="F132" s="45">
        <v>107886.01880000001</v>
      </c>
      <c r="G132" s="45">
        <v>235311.23920000001</v>
      </c>
      <c r="H132" s="45">
        <v>1411847607546.3701</v>
      </c>
      <c r="I132" s="45">
        <v>3413083023280</v>
      </c>
      <c r="J132" s="45">
        <v>1155622216594.2</v>
      </c>
      <c r="K132" s="45">
        <v>3259.33</v>
      </c>
      <c r="L132" s="45">
        <v>3190.67</v>
      </c>
      <c r="M132" s="45">
        <v>2709.0355</v>
      </c>
      <c r="N132" s="45">
        <v>3826.9645</v>
      </c>
      <c r="O132" s="44">
        <v>0</v>
      </c>
      <c r="P132" s="44">
        <v>0</v>
      </c>
      <c r="Q132" s="44">
        <v>31958</v>
      </c>
      <c r="R132" s="44">
        <v>25834</v>
      </c>
      <c r="S132" s="11">
        <f>(鋼床鈑!O132+鋼床鈑!W132+鋼床鈑!X132)*鋼床鈑!U132+(鋼床鈑!R132+鋼床鈑!W132+鋼床鈑!X132)*鋼床鈑!V132</f>
        <v>166808</v>
      </c>
      <c r="T132" s="11">
        <f>(鋼床鈑!T132)*鋼床鈑!W132+(鋼床鈑!T132)*鋼床鈑!X132</f>
        <v>494000</v>
      </c>
      <c r="U132" s="11">
        <f>4*((鋼床鈑!R132+鋼床鈑!W132/2+鋼床鈑!X132/2)*(鋼床鈑!T132+鋼床鈑!U132/2+鋼床鈑!V132/2))^2/((鋼床鈑!O132+鋼床鈑!W132/2+鋼床鈑!X132/2)/鋼床鈑!U132+(鋼床鈑!R132+鋼床鈑!W132/2+鋼床鈑!X132/2)/鋼床鈑!V132+(鋼床鈑!T132+鋼床鈑!U132/2+鋼床鈑!V132/2)/鋼床鈑!W132+(鋼床鈑!T132+鋼床鈑!U132/2+鋼床鈑!V132/2)/鋼床鈑!X132)</f>
        <v>2333318800371.5151</v>
      </c>
      <c r="V132" s="12">
        <f t="shared" si="18"/>
        <v>0.36218794691842154</v>
      </c>
      <c r="W132" s="12">
        <f t="shared" si="19"/>
        <v>0.35455821183930442</v>
      </c>
      <c r="X132" s="12">
        <f t="shared" si="20"/>
        <v>1.2598886294697873</v>
      </c>
      <c r="Y132" s="12">
        <f t="shared" si="21"/>
        <v>0.89185123699997748</v>
      </c>
      <c r="Z132" s="12">
        <f t="shared" ref="Z132:Z195" si="32">SQRT(AH132/AD132)</f>
        <v>1.493341852765389</v>
      </c>
      <c r="AA132" s="12">
        <f t="shared" ref="AA132:AA195" si="33">SQRT(AI132/AD132)</f>
        <v>2.5664022182749937</v>
      </c>
      <c r="AB132" s="10">
        <f t="shared" si="22"/>
        <v>6.5359999999999996</v>
      </c>
      <c r="AC132" s="10">
        <f t="shared" si="23"/>
        <v>6.45</v>
      </c>
      <c r="AD132" s="10">
        <f t="shared" si="24"/>
        <v>0.51819999999999999</v>
      </c>
      <c r="AE132" s="12">
        <f t="shared" si="25"/>
        <v>2.3333188003715151</v>
      </c>
      <c r="AF132" s="12">
        <f t="shared" si="26"/>
        <v>0.49399999999999999</v>
      </c>
      <c r="AG132" s="12">
        <f t="shared" si="27"/>
        <v>0.16680800000000001</v>
      </c>
      <c r="AH132" s="10">
        <f t="shared" si="28"/>
        <v>1.1556222165942001</v>
      </c>
      <c r="AI132" s="10">
        <f t="shared" si="29"/>
        <v>3.41308302328</v>
      </c>
      <c r="AJ132" s="13">
        <f t="shared" si="30"/>
        <v>1.1556222165942001</v>
      </c>
      <c r="AK132" s="13">
        <f t="shared" si="31"/>
        <v>3.41308302328</v>
      </c>
    </row>
    <row r="133" spans="1:37">
      <c r="A133" s="8">
        <f>鋼床鈑!A133</f>
        <v>131</v>
      </c>
      <c r="B133" s="43" t="s">
        <v>41</v>
      </c>
      <c r="C133" s="43" t="s">
        <v>42</v>
      </c>
      <c r="D133" s="43" t="s">
        <v>210</v>
      </c>
      <c r="E133" s="44">
        <v>518200</v>
      </c>
      <c r="F133" s="45">
        <v>107886.01880000001</v>
      </c>
      <c r="G133" s="45">
        <v>235311.23920000001</v>
      </c>
      <c r="H133" s="45">
        <v>1411847607546.3701</v>
      </c>
      <c r="I133" s="45">
        <v>3413083023280</v>
      </c>
      <c r="J133" s="45">
        <v>1155622216594.2</v>
      </c>
      <c r="K133" s="45">
        <v>3259.33</v>
      </c>
      <c r="L133" s="45">
        <v>3190.67</v>
      </c>
      <c r="M133" s="45">
        <v>2709.0355</v>
      </c>
      <c r="N133" s="45">
        <v>3826.9645</v>
      </c>
      <c r="O133" s="44">
        <v>0</v>
      </c>
      <c r="P133" s="44">
        <v>0</v>
      </c>
      <c r="Q133" s="44">
        <v>31958</v>
      </c>
      <c r="R133" s="44">
        <v>25834</v>
      </c>
      <c r="S133" s="11">
        <f>(鋼床鈑!O133+鋼床鈑!W133+鋼床鈑!X133)*鋼床鈑!U133+(鋼床鈑!R133+鋼床鈑!W133+鋼床鈑!X133)*鋼床鈑!V133</f>
        <v>166808</v>
      </c>
      <c r="T133" s="11">
        <f>(鋼床鈑!T133)*鋼床鈑!W133+(鋼床鈑!T133)*鋼床鈑!X133</f>
        <v>494000</v>
      </c>
      <c r="U133" s="11">
        <f>4*((鋼床鈑!R133+鋼床鈑!W133/2+鋼床鈑!X133/2)*(鋼床鈑!T133+鋼床鈑!U133/2+鋼床鈑!V133/2))^2/((鋼床鈑!O133+鋼床鈑!W133/2+鋼床鈑!X133/2)/鋼床鈑!U133+(鋼床鈑!R133+鋼床鈑!W133/2+鋼床鈑!X133/2)/鋼床鈑!V133+(鋼床鈑!T133+鋼床鈑!U133/2+鋼床鈑!V133/2)/鋼床鈑!W133+(鋼床鈑!T133+鋼床鈑!U133/2+鋼床鈑!V133/2)/鋼床鈑!X133)</f>
        <v>2333318800371.5151</v>
      </c>
      <c r="V133" s="12">
        <f t="shared" ref="V133:V196" si="34">AH133/(L133/1000)</f>
        <v>0.36218794691842154</v>
      </c>
      <c r="W133" s="12">
        <f t="shared" ref="W133:W196" si="35">AH133/(K133/1000)</f>
        <v>0.35455821183930442</v>
      </c>
      <c r="X133" s="12">
        <f t="shared" ref="X133:X196" si="36">AI133/(M133/1000)</f>
        <v>1.2598886294697873</v>
      </c>
      <c r="Y133" s="12">
        <f t="shared" ref="Y133:Y196" si="37">AI133/(N133/1000)</f>
        <v>0.89185123699997748</v>
      </c>
      <c r="Z133" s="12">
        <f t="shared" si="32"/>
        <v>1.493341852765389</v>
      </c>
      <c r="AA133" s="12">
        <f t="shared" si="33"/>
        <v>2.5664022182749937</v>
      </c>
      <c r="AB133" s="10">
        <f t="shared" ref="AB133:AB196" si="38">(M133+N133)/1000</f>
        <v>6.5359999999999996</v>
      </c>
      <c r="AC133" s="10">
        <f t="shared" ref="AC133:AC196" si="39">(K133+L133)/1000</f>
        <v>6.45</v>
      </c>
      <c r="AD133" s="10">
        <f t="shared" ref="AD133:AD196" si="40">E133/1000^2</f>
        <v>0.51819999999999999</v>
      </c>
      <c r="AE133" s="12">
        <f t="shared" ref="AE133:AE196" si="41">U133/(1000^4)</f>
        <v>2.3333188003715151</v>
      </c>
      <c r="AF133" s="12">
        <f t="shared" ref="AF133:AF196" si="42">T133/1000^2</f>
        <v>0.49399999999999999</v>
      </c>
      <c r="AG133" s="12">
        <f t="shared" ref="AG133:AG196" si="43">S133/1000^2</f>
        <v>0.16680800000000001</v>
      </c>
      <c r="AH133" s="10">
        <f t="shared" ref="AH133:AH196" si="44">J133/(1000^4)</f>
        <v>1.1556222165942001</v>
      </c>
      <c r="AI133" s="10">
        <f t="shared" ref="AI133:AI196" si="45">I133/(1000^4)</f>
        <v>3.41308302328</v>
      </c>
      <c r="AJ133" s="13">
        <f t="shared" ref="AJ133:AJ196" si="46">AH133</f>
        <v>1.1556222165942001</v>
      </c>
      <c r="AK133" s="13">
        <f t="shared" ref="AK133:AK196" si="47">AI133</f>
        <v>3.41308302328</v>
      </c>
    </row>
    <row r="134" spans="1:37">
      <c r="A134" s="8">
        <f>鋼床鈑!A134</f>
        <v>132</v>
      </c>
      <c r="B134" s="43" t="s">
        <v>41</v>
      </c>
      <c r="C134" s="43" t="s">
        <v>42</v>
      </c>
      <c r="D134" s="43" t="s">
        <v>211</v>
      </c>
      <c r="E134" s="44">
        <v>518200</v>
      </c>
      <c r="F134" s="45">
        <v>107886.01880000001</v>
      </c>
      <c r="G134" s="45">
        <v>235311.23920000001</v>
      </c>
      <c r="H134" s="45">
        <v>1411847607546.3701</v>
      </c>
      <c r="I134" s="45">
        <v>3413083023280</v>
      </c>
      <c r="J134" s="45">
        <v>1155622216594.2</v>
      </c>
      <c r="K134" s="45">
        <v>3259.33</v>
      </c>
      <c r="L134" s="45">
        <v>3190.67</v>
      </c>
      <c r="M134" s="45">
        <v>2709.0355</v>
      </c>
      <c r="N134" s="45">
        <v>3826.9645</v>
      </c>
      <c r="O134" s="44">
        <v>0</v>
      </c>
      <c r="P134" s="44">
        <v>0</v>
      </c>
      <c r="Q134" s="44">
        <v>31958</v>
      </c>
      <c r="R134" s="44">
        <v>25834</v>
      </c>
      <c r="S134" s="11">
        <f>(鋼床鈑!O134+鋼床鈑!W134+鋼床鈑!X134)*鋼床鈑!U134+(鋼床鈑!R134+鋼床鈑!W134+鋼床鈑!X134)*鋼床鈑!V134</f>
        <v>166808</v>
      </c>
      <c r="T134" s="11">
        <f>(鋼床鈑!T134)*鋼床鈑!W134+(鋼床鈑!T134)*鋼床鈑!X134</f>
        <v>494000</v>
      </c>
      <c r="U134" s="11">
        <f>4*((鋼床鈑!R134+鋼床鈑!W134/2+鋼床鈑!X134/2)*(鋼床鈑!T134+鋼床鈑!U134/2+鋼床鈑!V134/2))^2/((鋼床鈑!O134+鋼床鈑!W134/2+鋼床鈑!X134/2)/鋼床鈑!U134+(鋼床鈑!R134+鋼床鈑!W134/2+鋼床鈑!X134/2)/鋼床鈑!V134+(鋼床鈑!T134+鋼床鈑!U134/2+鋼床鈑!V134/2)/鋼床鈑!W134+(鋼床鈑!T134+鋼床鈑!U134/2+鋼床鈑!V134/2)/鋼床鈑!X134)</f>
        <v>2333318800371.5151</v>
      </c>
      <c r="V134" s="12">
        <f t="shared" si="34"/>
        <v>0.36218794691842154</v>
      </c>
      <c r="W134" s="12">
        <f t="shared" si="35"/>
        <v>0.35455821183930442</v>
      </c>
      <c r="X134" s="12">
        <f t="shared" si="36"/>
        <v>1.2598886294697873</v>
      </c>
      <c r="Y134" s="12">
        <f t="shared" si="37"/>
        <v>0.89185123699997748</v>
      </c>
      <c r="Z134" s="12">
        <f t="shared" si="32"/>
        <v>1.493341852765389</v>
      </c>
      <c r="AA134" s="12">
        <f t="shared" si="33"/>
        <v>2.5664022182749937</v>
      </c>
      <c r="AB134" s="10">
        <f t="shared" si="38"/>
        <v>6.5359999999999996</v>
      </c>
      <c r="AC134" s="10">
        <f t="shared" si="39"/>
        <v>6.45</v>
      </c>
      <c r="AD134" s="10">
        <f t="shared" si="40"/>
        <v>0.51819999999999999</v>
      </c>
      <c r="AE134" s="12">
        <f t="shared" si="41"/>
        <v>2.3333188003715151</v>
      </c>
      <c r="AF134" s="12">
        <f t="shared" si="42"/>
        <v>0.49399999999999999</v>
      </c>
      <c r="AG134" s="12">
        <f t="shared" si="43"/>
        <v>0.16680800000000001</v>
      </c>
      <c r="AH134" s="10">
        <f t="shared" si="44"/>
        <v>1.1556222165942001</v>
      </c>
      <c r="AI134" s="10">
        <f t="shared" si="45"/>
        <v>3.41308302328</v>
      </c>
      <c r="AJ134" s="13">
        <f t="shared" si="46"/>
        <v>1.1556222165942001</v>
      </c>
      <c r="AK134" s="13">
        <f t="shared" si="47"/>
        <v>3.41308302328</v>
      </c>
    </row>
    <row r="135" spans="1:37">
      <c r="A135" s="8">
        <f>鋼床鈑!A135</f>
        <v>133</v>
      </c>
      <c r="B135" s="43" t="s">
        <v>41</v>
      </c>
      <c r="C135" s="43" t="s">
        <v>42</v>
      </c>
      <c r="D135" s="43" t="s">
        <v>212</v>
      </c>
      <c r="E135" s="44">
        <v>512520</v>
      </c>
      <c r="F135" s="45">
        <v>108823.49430000001</v>
      </c>
      <c r="G135" s="45">
        <v>229875.04120000001</v>
      </c>
      <c r="H135" s="45">
        <v>1373113299617.95</v>
      </c>
      <c r="I135" s="45">
        <v>3243462553968.5</v>
      </c>
      <c r="J135" s="45">
        <v>1144320120137.7</v>
      </c>
      <c r="K135" s="45">
        <v>3258.8793000000001</v>
      </c>
      <c r="L135" s="45">
        <v>3191.1206999999999</v>
      </c>
      <c r="M135" s="45">
        <v>2644.4139</v>
      </c>
      <c r="N135" s="45">
        <v>3749.5861</v>
      </c>
      <c r="O135" s="44">
        <v>0</v>
      </c>
      <c r="P135" s="44">
        <v>0</v>
      </c>
      <c r="Q135" s="44">
        <v>31674</v>
      </c>
      <c r="R135" s="44">
        <v>25550</v>
      </c>
      <c r="S135" s="11">
        <f>(鋼床鈑!O135+鋼床鈑!W135+鋼床鈑!X135)*鋼床鈑!U135+(鋼床鈑!R135+鋼床鈑!W135+鋼床鈑!X135)*鋼床鈑!V135</f>
        <v>166808</v>
      </c>
      <c r="T135" s="11">
        <f>(鋼床鈑!T135)*鋼床鈑!W135+(鋼床鈑!T135)*鋼床鈑!X135</f>
        <v>483208</v>
      </c>
      <c r="U135" s="11">
        <f>4*((鋼床鈑!R135+鋼床鈑!W135/2+鋼床鈑!X135/2)*(鋼床鈑!T135+鋼床鈑!U135/2+鋼床鈑!V135/2))^2/((鋼床鈑!O135+鋼床鈑!W135/2+鋼床鈑!X135/2)/鋼床鈑!U135+(鋼床鈑!R135+鋼床鈑!W135/2+鋼床鈑!X135/2)/鋼床鈑!V135+(鋼床鈑!T135+鋼床鈑!U135/2+鋼床鈑!V135/2)/鋼床鈑!W135+(鋼床鈑!T135+鋼床鈑!U135/2+鋼床鈑!V135/2)/鋼床鈑!X135)</f>
        <v>2261645326161.7622</v>
      </c>
      <c r="V135" s="12">
        <f t="shared" si="34"/>
        <v>0.35859506039295225</v>
      </c>
      <c r="W135" s="12">
        <f t="shared" si="35"/>
        <v>0.3511391539225463</v>
      </c>
      <c r="X135" s="12">
        <f t="shared" si="36"/>
        <v>1.2265336201600288</v>
      </c>
      <c r="Y135" s="12">
        <f t="shared" si="37"/>
        <v>0.86501882273579478</v>
      </c>
      <c r="Z135" s="12">
        <f t="shared" si="32"/>
        <v>1.4942331195570677</v>
      </c>
      <c r="AA135" s="12">
        <f t="shared" si="33"/>
        <v>2.5156431499851091</v>
      </c>
      <c r="AB135" s="10">
        <f t="shared" si="38"/>
        <v>6.3940000000000001</v>
      </c>
      <c r="AC135" s="10">
        <f t="shared" si="39"/>
        <v>6.45</v>
      </c>
      <c r="AD135" s="10">
        <f t="shared" si="40"/>
        <v>0.51251999999999998</v>
      </c>
      <c r="AE135" s="12">
        <f t="shared" si="41"/>
        <v>2.2616453261617622</v>
      </c>
      <c r="AF135" s="12">
        <f t="shared" si="42"/>
        <v>0.48320800000000003</v>
      </c>
      <c r="AG135" s="12">
        <f t="shared" si="43"/>
        <v>0.16680800000000001</v>
      </c>
      <c r="AH135" s="10">
        <f t="shared" si="44"/>
        <v>1.1443201201377</v>
      </c>
      <c r="AI135" s="10">
        <f t="shared" si="45"/>
        <v>3.2434625539685</v>
      </c>
      <c r="AJ135" s="13">
        <f t="shared" si="46"/>
        <v>1.1443201201377</v>
      </c>
      <c r="AK135" s="13">
        <f t="shared" si="47"/>
        <v>3.2434625539685</v>
      </c>
    </row>
    <row r="136" spans="1:37">
      <c r="A136" s="8">
        <f>鋼床鈑!A136</f>
        <v>134</v>
      </c>
      <c r="B136" s="43" t="s">
        <v>41</v>
      </c>
      <c r="C136" s="43" t="s">
        <v>42</v>
      </c>
      <c r="D136" s="43" t="s">
        <v>213</v>
      </c>
      <c r="E136" s="44">
        <v>506760</v>
      </c>
      <c r="F136" s="45">
        <v>109646.79029999999</v>
      </c>
      <c r="G136" s="45">
        <v>224184.1594</v>
      </c>
      <c r="H136" s="45">
        <v>1332163957227.52</v>
      </c>
      <c r="I136" s="45">
        <v>3076686146439.8501</v>
      </c>
      <c r="J136" s="45">
        <v>1132858621763.0701</v>
      </c>
      <c r="K136" s="45">
        <v>3258.4119000000001</v>
      </c>
      <c r="L136" s="45">
        <v>3191.5880999999999</v>
      </c>
      <c r="M136" s="45">
        <v>2579.0281</v>
      </c>
      <c r="N136" s="45">
        <v>3670.9719</v>
      </c>
      <c r="O136" s="44">
        <v>0</v>
      </c>
      <c r="P136" s="44">
        <v>0</v>
      </c>
      <c r="Q136" s="44">
        <v>31386</v>
      </c>
      <c r="R136" s="44">
        <v>25262</v>
      </c>
      <c r="S136" s="11">
        <f>(鋼床鈑!O136+鋼床鈑!W136+鋼床鈑!X136)*鋼床鈑!U136+(鋼床鈑!R136+鋼床鈑!W136+鋼床鈑!X136)*鋼床鈑!V136</f>
        <v>166808</v>
      </c>
      <c r="T136" s="11">
        <f>(鋼床鈑!T136)*鋼床鈑!W136+(鋼床鈑!T136)*鋼床鈑!X136</f>
        <v>472264</v>
      </c>
      <c r="U136" s="11">
        <f>4*((鋼床鈑!R136+鋼床鈑!W136/2+鋼床鈑!X136/2)*(鋼床鈑!T136+鋼床鈑!U136/2+鋼床鈑!V136/2))^2/((鋼床鈑!O136+鋼床鈑!W136/2+鋼床鈑!X136/2)/鋼床鈑!U136+(鋼床鈑!R136+鋼床鈑!W136/2+鋼床鈑!X136/2)/鋼床鈑!V136+(鋼床鈑!T136+鋼床鈑!U136/2+鋼床鈑!V136/2)/鋼床鈑!W136+(鋼床鈑!T136+鋼床鈑!U136/2+鋼床鈑!V136/2)/鋼床鈑!X136)</f>
        <v>2189368196959.2839</v>
      </c>
      <c r="V136" s="12">
        <f t="shared" si="34"/>
        <v>0.35495138666642789</v>
      </c>
      <c r="W136" s="12">
        <f t="shared" si="35"/>
        <v>0.3476720121734978</v>
      </c>
      <c r="X136" s="12">
        <f t="shared" si="36"/>
        <v>1.1929634060365026</v>
      </c>
      <c r="Y136" s="12">
        <f t="shared" si="37"/>
        <v>0.83811214856748151</v>
      </c>
      <c r="Z136" s="12">
        <f t="shared" si="32"/>
        <v>1.4951566383230679</v>
      </c>
      <c r="AA136" s="12">
        <f t="shared" si="33"/>
        <v>2.4639984725499349</v>
      </c>
      <c r="AB136" s="10">
        <f t="shared" si="38"/>
        <v>6.25</v>
      </c>
      <c r="AC136" s="10">
        <f t="shared" si="39"/>
        <v>6.45</v>
      </c>
      <c r="AD136" s="10">
        <f t="shared" si="40"/>
        <v>0.50675999999999999</v>
      </c>
      <c r="AE136" s="12">
        <f t="shared" si="41"/>
        <v>2.189368196959284</v>
      </c>
      <c r="AF136" s="12">
        <f t="shared" si="42"/>
        <v>0.47226400000000002</v>
      </c>
      <c r="AG136" s="12">
        <f t="shared" si="43"/>
        <v>0.16680800000000001</v>
      </c>
      <c r="AH136" s="10">
        <f t="shared" si="44"/>
        <v>1.1328586217630701</v>
      </c>
      <c r="AI136" s="10">
        <f t="shared" si="45"/>
        <v>3.0766861464398501</v>
      </c>
      <c r="AJ136" s="13">
        <f t="shared" si="46"/>
        <v>1.1328586217630701</v>
      </c>
      <c r="AK136" s="13">
        <f t="shared" si="47"/>
        <v>3.0766861464398501</v>
      </c>
    </row>
    <row r="137" spans="1:37">
      <c r="A137" s="8">
        <f>鋼床鈑!A137</f>
        <v>135</v>
      </c>
      <c r="B137" s="43" t="s">
        <v>41</v>
      </c>
      <c r="C137" s="43" t="s">
        <v>42</v>
      </c>
      <c r="D137" s="43" t="s">
        <v>214</v>
      </c>
      <c r="E137" s="44">
        <v>501600</v>
      </c>
      <c r="F137" s="45">
        <v>110383.7295</v>
      </c>
      <c r="G137" s="45">
        <v>219081.52059999999</v>
      </c>
      <c r="H137" s="45">
        <v>1295614471427.8301</v>
      </c>
      <c r="I137" s="45">
        <v>2931707212299.5</v>
      </c>
      <c r="J137" s="45">
        <v>1122590837361.3</v>
      </c>
      <c r="K137" s="45">
        <v>3257.9841000000001</v>
      </c>
      <c r="L137" s="45">
        <v>3192.0158999999999</v>
      </c>
      <c r="M137" s="45">
        <v>2520.5823</v>
      </c>
      <c r="N137" s="45">
        <v>3600.4177</v>
      </c>
      <c r="O137" s="44">
        <v>0</v>
      </c>
      <c r="P137" s="44">
        <v>0</v>
      </c>
      <c r="Q137" s="44">
        <v>31128</v>
      </c>
      <c r="R137" s="44">
        <v>25004</v>
      </c>
      <c r="S137" s="11">
        <f>(鋼床鈑!O137+鋼床鈑!W137+鋼床鈑!X137)*鋼床鈑!U137+(鋼床鈑!R137+鋼床鈑!W137+鋼床鈑!X137)*鋼床鈑!V137</f>
        <v>166460</v>
      </c>
      <c r="T137" s="11">
        <f>(鋼床鈑!T137)*鋼床鈑!W137+(鋼床鈑!T137)*鋼床鈑!X137</f>
        <v>425950</v>
      </c>
      <c r="U137" s="11">
        <f>4*((鋼床鈑!R137+鋼床鈑!W137/2+鋼床鈑!X137/2)*(鋼床鈑!T137+鋼床鈑!U137/2+鋼床鈑!V137/2))^2/((鋼床鈑!O137+鋼床鈑!W137/2+鋼床鈑!X137/2)/鋼床鈑!U137+(鋼床鈑!R137+鋼床鈑!W137/2+鋼床鈑!X137/2)/鋼床鈑!V137+(鋼床鈑!T137+鋼床鈑!U137/2+鋼床鈑!V137/2)/鋼床鈑!W137+(鋼床鈑!T137+鋼床鈑!U137/2+鋼床鈑!V137/2)/鋼床鈑!X137)</f>
        <v>2022960761139.2085</v>
      </c>
      <c r="V137" s="12">
        <f t="shared" si="34"/>
        <v>0.35168710699758737</v>
      </c>
      <c r="W137" s="12">
        <f t="shared" si="35"/>
        <v>0.34456608838615876</v>
      </c>
      <c r="X137" s="12">
        <f t="shared" si="36"/>
        <v>1.1631071170735032</v>
      </c>
      <c r="Y137" s="12">
        <f t="shared" si="37"/>
        <v>0.81426863674720296</v>
      </c>
      <c r="Z137" s="12">
        <f t="shared" si="32"/>
        <v>1.4960013404701205</v>
      </c>
      <c r="AA137" s="12">
        <f t="shared" si="33"/>
        <v>2.4175837830951155</v>
      </c>
      <c r="AB137" s="10">
        <f t="shared" si="38"/>
        <v>6.1210000000000004</v>
      </c>
      <c r="AC137" s="10">
        <f t="shared" si="39"/>
        <v>6.45</v>
      </c>
      <c r="AD137" s="10">
        <f t="shared" si="40"/>
        <v>0.50160000000000005</v>
      </c>
      <c r="AE137" s="12">
        <f t="shared" si="41"/>
        <v>2.0229607611392084</v>
      </c>
      <c r="AF137" s="12">
        <f t="shared" si="42"/>
        <v>0.42595</v>
      </c>
      <c r="AG137" s="12">
        <f t="shared" si="43"/>
        <v>0.16646</v>
      </c>
      <c r="AH137" s="10">
        <f t="shared" si="44"/>
        <v>1.1225908373613001</v>
      </c>
      <c r="AI137" s="10">
        <f t="shared" si="45"/>
        <v>2.9317072122995</v>
      </c>
      <c r="AJ137" s="13">
        <f t="shared" si="46"/>
        <v>1.1225908373613001</v>
      </c>
      <c r="AK137" s="13">
        <f t="shared" si="47"/>
        <v>2.9317072122995</v>
      </c>
    </row>
    <row r="138" spans="1:37">
      <c r="A138" s="8">
        <f>鋼床鈑!A138</f>
        <v>136</v>
      </c>
      <c r="B138" s="43" t="s">
        <v>41</v>
      </c>
      <c r="C138" s="43" t="s">
        <v>42</v>
      </c>
      <c r="D138" s="43" t="s">
        <v>215</v>
      </c>
      <c r="E138" s="44">
        <v>496600</v>
      </c>
      <c r="F138" s="45">
        <v>111089.32249999999</v>
      </c>
      <c r="G138" s="45">
        <v>214131.56940000001</v>
      </c>
      <c r="H138" s="45">
        <v>1260292149269.3201</v>
      </c>
      <c r="I138" s="45">
        <v>2795169826178.04</v>
      </c>
      <c r="J138" s="45">
        <v>1112641255123.47</v>
      </c>
      <c r="K138" s="45">
        <v>3257.5610000000001</v>
      </c>
      <c r="L138" s="45">
        <v>3192.4389999999999</v>
      </c>
      <c r="M138" s="45">
        <v>2464.0689000000002</v>
      </c>
      <c r="N138" s="45">
        <v>3531.9310999999998</v>
      </c>
      <c r="O138" s="44">
        <v>0</v>
      </c>
      <c r="P138" s="44">
        <v>0</v>
      </c>
      <c r="Q138" s="44">
        <v>30878</v>
      </c>
      <c r="R138" s="44">
        <v>24754</v>
      </c>
      <c r="S138" s="11">
        <f>(鋼床鈑!O138+鋼床鈑!W138+鋼床鈑!X138)*鋼床鈑!U138+(鋼床鈑!R138+鋼床鈑!W138+鋼床鈑!X138)*鋼床鈑!V138</f>
        <v>166460</v>
      </c>
      <c r="T138" s="11">
        <f>(鋼床鈑!T138)*鋼床鈑!W138+(鋼床鈑!T138)*鋼床鈑!X138</f>
        <v>417200</v>
      </c>
      <c r="U138" s="11">
        <f>4*((鋼床鈑!R138+鋼床鈑!W138/2+鋼床鈑!X138/2)*(鋼床鈑!T138+鋼床鈑!U138/2+鋼床鈑!V138/2))^2/((鋼床鈑!O138+鋼床鈑!W138/2+鋼床鈑!X138/2)/鋼床鈑!U138+(鋼床鈑!R138+鋼床鈑!W138/2+鋼床鈑!X138/2)/鋼床鈑!V138+(鋼床鈑!T138+鋼床鈑!U138/2+鋼床鈑!V138/2)/鋼床鈑!W138+(鋼床鈑!T138+鋼床鈑!U138/2+鋼床鈑!V138/2)/鋼床鈑!X138)</f>
        <v>1964711295790.8435</v>
      </c>
      <c r="V138" s="12">
        <f t="shared" si="34"/>
        <v>0.34852388882715379</v>
      </c>
      <c r="W138" s="12">
        <f t="shared" si="35"/>
        <v>0.34155653727542473</v>
      </c>
      <c r="X138" s="12">
        <f t="shared" si="36"/>
        <v>1.1343716184957491</v>
      </c>
      <c r="Y138" s="12">
        <f t="shared" si="37"/>
        <v>0.79139987362098885</v>
      </c>
      <c r="Z138" s="12">
        <f t="shared" si="32"/>
        <v>1.4968360073403029</v>
      </c>
      <c r="AA138" s="12">
        <f t="shared" si="33"/>
        <v>2.3724700691713809</v>
      </c>
      <c r="AB138" s="10">
        <f t="shared" si="38"/>
        <v>5.9960000000000004</v>
      </c>
      <c r="AC138" s="10">
        <f t="shared" si="39"/>
        <v>6.45</v>
      </c>
      <c r="AD138" s="10">
        <f t="shared" si="40"/>
        <v>0.49659999999999999</v>
      </c>
      <c r="AE138" s="12">
        <f t="shared" si="41"/>
        <v>1.9647112957908435</v>
      </c>
      <c r="AF138" s="12">
        <f t="shared" si="42"/>
        <v>0.41720000000000002</v>
      </c>
      <c r="AG138" s="12">
        <f t="shared" si="43"/>
        <v>0.16646</v>
      </c>
      <c r="AH138" s="10">
        <f t="shared" si="44"/>
        <v>1.1126412551234699</v>
      </c>
      <c r="AI138" s="10">
        <f t="shared" si="45"/>
        <v>2.7951698261780402</v>
      </c>
      <c r="AJ138" s="13">
        <f t="shared" si="46"/>
        <v>1.1126412551234699</v>
      </c>
      <c r="AK138" s="13">
        <f t="shared" si="47"/>
        <v>2.7951698261780402</v>
      </c>
    </row>
    <row r="139" spans="1:37">
      <c r="A139" s="8">
        <f>鋼床鈑!A139</f>
        <v>137</v>
      </c>
      <c r="B139" s="43" t="s">
        <v>41</v>
      </c>
      <c r="C139" s="43" t="s">
        <v>42</v>
      </c>
      <c r="D139" s="43" t="s">
        <v>216</v>
      </c>
      <c r="E139" s="44">
        <v>491760</v>
      </c>
      <c r="F139" s="45">
        <v>111776.8349</v>
      </c>
      <c r="G139" s="45">
        <v>209337.95050000001</v>
      </c>
      <c r="H139" s="45">
        <v>1226250571400.8601</v>
      </c>
      <c r="I139" s="45">
        <v>2666662899239.0801</v>
      </c>
      <c r="J139" s="45">
        <v>1103009886827.5601</v>
      </c>
      <c r="K139" s="45">
        <v>3257.1433000000002</v>
      </c>
      <c r="L139" s="45">
        <v>3192.8566999999998</v>
      </c>
      <c r="M139" s="45">
        <v>2409.4798000000001</v>
      </c>
      <c r="N139" s="45">
        <v>3465.5201999999999</v>
      </c>
      <c r="O139" s="44">
        <v>0</v>
      </c>
      <c r="P139" s="44">
        <v>0</v>
      </c>
      <c r="Q139" s="44">
        <v>30636</v>
      </c>
      <c r="R139" s="44">
        <v>24512</v>
      </c>
      <c r="S139" s="11">
        <f>(鋼床鈑!O139+鋼床鈑!W139+鋼床鈑!X139)*鋼床鈑!U139+(鋼床鈑!R139+鋼床鈑!W139+鋼床鈑!X139)*鋼床鈑!V139</f>
        <v>166460</v>
      </c>
      <c r="T139" s="11">
        <f>(鋼床鈑!T139)*鋼床鈑!W139+(鋼床鈑!T139)*鋼床鈑!X139</f>
        <v>408730</v>
      </c>
      <c r="U139" s="11">
        <f>4*((鋼床鈑!R139+鋼床鈑!W139/2+鋼床鈑!X139/2)*(鋼床鈑!T139+鋼床鈑!U139/2+鋼床鈑!V139/2))^2/((鋼床鈑!O139+鋼床鈑!W139/2+鋼床鈑!X139/2)/鋼床鈑!U139+(鋼床鈑!R139+鋼床鈑!W139/2+鋼床鈑!X139/2)/鋼床鈑!V139+(鋼床鈑!T139+鋼床鈑!U139/2+鋼床鈑!V139/2)/鋼床鈑!W139+(鋼床鈑!T139+鋼床鈑!U139/2+鋼床鈑!V139/2)/鋼床鈑!X139)</f>
        <v>1908609132074.1501</v>
      </c>
      <c r="V139" s="12">
        <f t="shared" si="34"/>
        <v>0.34546175743733193</v>
      </c>
      <c r="W139" s="12">
        <f t="shared" si="35"/>
        <v>0.33864334026309495</v>
      </c>
      <c r="X139" s="12">
        <f t="shared" si="36"/>
        <v>1.1067380184050848</v>
      </c>
      <c r="Y139" s="12">
        <f t="shared" si="37"/>
        <v>0.76948415976310869</v>
      </c>
      <c r="Z139" s="12">
        <f t="shared" si="32"/>
        <v>1.4976595582735497</v>
      </c>
      <c r="AA139" s="12">
        <f t="shared" si="33"/>
        <v>2.3286673782790217</v>
      </c>
      <c r="AB139" s="10">
        <f t="shared" si="38"/>
        <v>5.875</v>
      </c>
      <c r="AC139" s="10">
        <f t="shared" si="39"/>
        <v>6.45</v>
      </c>
      <c r="AD139" s="10">
        <f t="shared" si="40"/>
        <v>0.49175999999999997</v>
      </c>
      <c r="AE139" s="12">
        <f t="shared" si="41"/>
        <v>1.9086091320741501</v>
      </c>
      <c r="AF139" s="12">
        <f t="shared" si="42"/>
        <v>0.40872999999999998</v>
      </c>
      <c r="AG139" s="12">
        <f t="shared" si="43"/>
        <v>0.16646</v>
      </c>
      <c r="AH139" s="10">
        <f t="shared" si="44"/>
        <v>1.10300988682756</v>
      </c>
      <c r="AI139" s="10">
        <f t="shared" si="45"/>
        <v>2.6666628992390802</v>
      </c>
      <c r="AJ139" s="13">
        <f t="shared" si="46"/>
        <v>1.10300988682756</v>
      </c>
      <c r="AK139" s="13">
        <f t="shared" si="47"/>
        <v>2.6666628992390802</v>
      </c>
    </row>
    <row r="140" spans="1:37">
      <c r="A140" s="8">
        <f>鋼床鈑!A140</f>
        <v>138</v>
      </c>
      <c r="B140" s="43" t="s">
        <v>41</v>
      </c>
      <c r="C140" s="43" t="s">
        <v>42</v>
      </c>
      <c r="D140" s="43" t="s">
        <v>217</v>
      </c>
      <c r="E140" s="44">
        <v>487080</v>
      </c>
      <c r="F140" s="45">
        <v>112439.3735</v>
      </c>
      <c r="G140" s="45">
        <v>204697.84789999999</v>
      </c>
      <c r="H140" s="45">
        <v>1193439928259.3899</v>
      </c>
      <c r="I140" s="45">
        <v>2545794577019.2402</v>
      </c>
      <c r="J140" s="45">
        <v>1093696744505.46</v>
      </c>
      <c r="K140" s="45">
        <v>3256.7314999999999</v>
      </c>
      <c r="L140" s="45">
        <v>3193.2685000000001</v>
      </c>
      <c r="M140" s="45">
        <v>2356.8069999999998</v>
      </c>
      <c r="N140" s="45">
        <v>3401.1930000000002</v>
      </c>
      <c r="O140" s="44">
        <v>0</v>
      </c>
      <c r="P140" s="44">
        <v>0</v>
      </c>
      <c r="Q140" s="44">
        <v>30402</v>
      </c>
      <c r="R140" s="44">
        <v>24278</v>
      </c>
      <c r="S140" s="11">
        <f>(鋼床鈑!O140+鋼床鈑!W140+鋼床鈑!X140)*鋼床鈑!U140+(鋼床鈑!R140+鋼床鈑!W140+鋼床鈑!X140)*鋼床鈑!V140</f>
        <v>166460</v>
      </c>
      <c r="T140" s="11">
        <f>(鋼床鈑!T140)*鋼床鈑!W140+(鋼床鈑!T140)*鋼床鈑!X140</f>
        <v>400540</v>
      </c>
      <c r="U140" s="11">
        <f>4*((鋼床鈑!R140+鋼床鈑!W140/2+鋼床鈑!X140/2)*(鋼床鈑!T140+鋼床鈑!U140/2+鋼床鈑!V140/2))^2/((鋼床鈑!O140+鋼床鈑!W140/2+鋼床鈑!X140/2)/鋼床鈑!U140+(鋼床鈑!R140+鋼床鈑!W140/2+鋼床鈑!X140/2)/鋼床鈑!V140+(鋼床鈑!T140+鋼床鈑!U140/2+鋼床鈑!V140/2)/鋼床鈑!W140+(鋼床鈑!T140+鋼床鈑!U140/2+鋼床鈑!V140/2)/鋼床鈑!X140)</f>
        <v>1854636218551.1733</v>
      </c>
      <c r="V140" s="12">
        <f t="shared" si="34"/>
        <v>0.34250071502144586</v>
      </c>
      <c r="W140" s="12">
        <f t="shared" si="35"/>
        <v>0.33582650105035061</v>
      </c>
      <c r="X140" s="12">
        <f t="shared" si="36"/>
        <v>1.0801879733975843</v>
      </c>
      <c r="Y140" s="12">
        <f t="shared" si="37"/>
        <v>0.74850047528006791</v>
      </c>
      <c r="Z140" s="12">
        <f t="shared" si="32"/>
        <v>1.4984708915909677</v>
      </c>
      <c r="AA140" s="12">
        <f t="shared" si="33"/>
        <v>2.2861858363587806</v>
      </c>
      <c r="AB140" s="10">
        <f t="shared" si="38"/>
        <v>5.758</v>
      </c>
      <c r="AC140" s="10">
        <f t="shared" si="39"/>
        <v>6.45</v>
      </c>
      <c r="AD140" s="10">
        <f t="shared" si="40"/>
        <v>0.48708000000000001</v>
      </c>
      <c r="AE140" s="12">
        <f t="shared" si="41"/>
        <v>1.8546362185511733</v>
      </c>
      <c r="AF140" s="12">
        <f t="shared" si="42"/>
        <v>0.40054000000000001</v>
      </c>
      <c r="AG140" s="12">
        <f t="shared" si="43"/>
        <v>0.16646</v>
      </c>
      <c r="AH140" s="10">
        <f t="shared" si="44"/>
        <v>1.09369674450546</v>
      </c>
      <c r="AI140" s="10">
        <f t="shared" si="45"/>
        <v>2.5457945770192403</v>
      </c>
      <c r="AJ140" s="13">
        <f t="shared" si="46"/>
        <v>1.09369674450546</v>
      </c>
      <c r="AK140" s="13">
        <f t="shared" si="47"/>
        <v>2.5457945770192403</v>
      </c>
    </row>
    <row r="141" spans="1:37">
      <c r="A141" s="8">
        <f>鋼床鈑!A141</f>
        <v>139</v>
      </c>
      <c r="B141" s="43" t="s">
        <v>41</v>
      </c>
      <c r="C141" s="43" t="s">
        <v>42</v>
      </c>
      <c r="D141" s="43" t="s">
        <v>218</v>
      </c>
      <c r="E141" s="44">
        <v>482520</v>
      </c>
      <c r="F141" s="45">
        <v>113075.18459999999</v>
      </c>
      <c r="G141" s="45">
        <v>200173.65470000001</v>
      </c>
      <c r="H141" s="45">
        <v>1161568128293.02</v>
      </c>
      <c r="I141" s="45">
        <v>2431199970047.1201</v>
      </c>
      <c r="J141" s="45">
        <v>1084622238780.38</v>
      </c>
      <c r="K141" s="45">
        <v>3256.3226</v>
      </c>
      <c r="L141" s="45">
        <v>3193.6774</v>
      </c>
      <c r="M141" s="45">
        <v>2305.5936000000002</v>
      </c>
      <c r="N141" s="45">
        <v>3338.4063999999998</v>
      </c>
      <c r="O141" s="44">
        <v>0</v>
      </c>
      <c r="P141" s="44">
        <v>0</v>
      </c>
      <c r="Q141" s="44">
        <v>30174</v>
      </c>
      <c r="R141" s="44">
        <v>24050</v>
      </c>
      <c r="S141" s="11">
        <f>(鋼床鈑!O141+鋼床鈑!W141+鋼床鈑!X141)*鋼床鈑!U141+(鋼床鈑!R141+鋼床鈑!W141+鋼床鈑!X141)*鋼床鈑!V141</f>
        <v>153900</v>
      </c>
      <c r="T141" s="11">
        <f>(鋼床鈑!T141)*鋼床鈑!W141+(鋼床鈑!T141)*鋼床鈑!X141</f>
        <v>280400</v>
      </c>
      <c r="U141" s="11">
        <f>4*((鋼床鈑!R141+鋼床鈑!W141/2+鋼床鈑!X141/2)*(鋼床鈑!T141+鋼床鈑!U141/2+鋼床鈑!V141/2))^2/((鋼床鈑!O141+鋼床鈑!W141/2+鋼床鈑!X141/2)/鋼床鈑!U141+(鋼床鈑!R141+鋼床鈑!W141/2+鋼床鈑!X141/2)/鋼床鈑!V141+(鋼床鈑!T141+鋼床鈑!U141/2+鋼床鈑!V141/2)/鋼床鈑!W141+(鋼床鈑!T141+鋼床鈑!U141/2+鋼床鈑!V141/2)/鋼床鈑!X141)</f>
        <v>1444542785467.9067</v>
      </c>
      <c r="V141" s="12">
        <f t="shared" si="34"/>
        <v>0.33961546610198645</v>
      </c>
      <c r="W141" s="12">
        <f t="shared" si="35"/>
        <v>0.33308193690034893</v>
      </c>
      <c r="X141" s="12">
        <f t="shared" si="36"/>
        <v>1.0544789723770571</v>
      </c>
      <c r="Y141" s="12">
        <f t="shared" si="37"/>
        <v>0.72825165026256855</v>
      </c>
      <c r="Z141" s="12">
        <f t="shared" si="32"/>
        <v>1.499276013335747</v>
      </c>
      <c r="AA141" s="12">
        <f t="shared" si="33"/>
        <v>2.2446709253012966</v>
      </c>
      <c r="AB141" s="10">
        <f t="shared" si="38"/>
        <v>5.6440000000000001</v>
      </c>
      <c r="AC141" s="10">
        <f t="shared" si="39"/>
        <v>6.45</v>
      </c>
      <c r="AD141" s="10">
        <f t="shared" si="40"/>
        <v>0.48252</v>
      </c>
      <c r="AE141" s="12">
        <f t="shared" si="41"/>
        <v>1.4445427854679067</v>
      </c>
      <c r="AF141" s="12">
        <f t="shared" si="42"/>
        <v>0.28039999999999998</v>
      </c>
      <c r="AG141" s="12">
        <f t="shared" si="43"/>
        <v>0.15390000000000001</v>
      </c>
      <c r="AH141" s="10">
        <f t="shared" si="44"/>
        <v>1.0846222387803801</v>
      </c>
      <c r="AI141" s="10">
        <f t="shared" si="45"/>
        <v>2.4311999700471203</v>
      </c>
      <c r="AJ141" s="13">
        <f t="shared" si="46"/>
        <v>1.0846222387803801</v>
      </c>
      <c r="AK141" s="13">
        <f t="shared" si="47"/>
        <v>2.4311999700471203</v>
      </c>
    </row>
    <row r="142" spans="1:37">
      <c r="A142" s="8">
        <f>鋼床鈑!A142</f>
        <v>140</v>
      </c>
      <c r="B142" s="43" t="s">
        <v>41</v>
      </c>
      <c r="C142" s="43" t="s">
        <v>42</v>
      </c>
      <c r="D142" s="43" t="s">
        <v>219</v>
      </c>
      <c r="E142" s="44">
        <v>478160</v>
      </c>
      <c r="F142" s="45">
        <v>113687.8437</v>
      </c>
      <c r="G142" s="45">
        <v>195845.8077</v>
      </c>
      <c r="H142" s="45">
        <v>1131227829640.54</v>
      </c>
      <c r="I142" s="45">
        <v>2324533218520.8101</v>
      </c>
      <c r="J142" s="45">
        <v>1075945583981.02</v>
      </c>
      <c r="K142" s="45">
        <v>3255.9243999999999</v>
      </c>
      <c r="L142" s="45">
        <v>3194.0756000000001</v>
      </c>
      <c r="M142" s="45">
        <v>2256.7294999999999</v>
      </c>
      <c r="N142" s="45">
        <v>3278.2705000000001</v>
      </c>
      <c r="O142" s="44">
        <v>0</v>
      </c>
      <c r="P142" s="44">
        <v>0</v>
      </c>
      <c r="Q142" s="44">
        <v>29956</v>
      </c>
      <c r="R142" s="44">
        <v>23832</v>
      </c>
      <c r="S142" s="11">
        <f>(鋼床鈑!O142+鋼床鈑!W142+鋼床鈑!X142)*鋼床鈑!U142+(鋼床鈑!R142+鋼床鈑!W142+鋼床鈑!X142)*鋼床鈑!V142</f>
        <v>153900</v>
      </c>
      <c r="T142" s="11">
        <f>(鋼床鈑!T142)*鋼床鈑!W142+(鋼床鈑!T142)*鋼床鈑!X142</f>
        <v>274950</v>
      </c>
      <c r="U142" s="11">
        <f>4*((鋼床鈑!R142+鋼床鈑!W142/2+鋼床鈑!X142/2)*(鋼床鈑!T142+鋼床鈑!U142/2+鋼床鈑!V142/2))^2/((鋼床鈑!O142+鋼床鈑!W142/2+鋼床鈑!X142/2)/鋼床鈑!U142+(鋼床鈑!R142+鋼床鈑!W142/2+鋼床鈑!X142/2)/鋼床鈑!V142+(鋼床鈑!T142+鋼床鈑!U142/2+鋼床鈑!V142/2)/鋼床鈑!W142+(鋼床鈑!T142+鋼床鈑!U142/2+鋼床鈑!V142/2)/鋼床鈑!X142)</f>
        <v>1406679213659.907</v>
      </c>
      <c r="V142" s="12">
        <f t="shared" si="34"/>
        <v>0.33685664296143142</v>
      </c>
      <c r="W142" s="12">
        <f t="shared" si="35"/>
        <v>0.33045779072174403</v>
      </c>
      <c r="X142" s="12">
        <f t="shared" si="36"/>
        <v>1.0300451243805737</v>
      </c>
      <c r="Y142" s="12">
        <f t="shared" si="37"/>
        <v>0.70907303668834221</v>
      </c>
      <c r="Z142" s="12">
        <f t="shared" si="32"/>
        <v>1.5000596608381085</v>
      </c>
      <c r="AA142" s="12">
        <f t="shared" si="33"/>
        <v>2.2048612098978442</v>
      </c>
      <c r="AB142" s="10">
        <f t="shared" si="38"/>
        <v>5.5350000000000001</v>
      </c>
      <c r="AC142" s="10">
        <f t="shared" si="39"/>
        <v>6.45</v>
      </c>
      <c r="AD142" s="10">
        <f t="shared" si="40"/>
        <v>0.47815999999999997</v>
      </c>
      <c r="AE142" s="12">
        <f t="shared" si="41"/>
        <v>1.4066792136599069</v>
      </c>
      <c r="AF142" s="12">
        <f t="shared" si="42"/>
        <v>0.27495000000000003</v>
      </c>
      <c r="AG142" s="12">
        <f t="shared" si="43"/>
        <v>0.15390000000000001</v>
      </c>
      <c r="AH142" s="10">
        <f t="shared" si="44"/>
        <v>1.0759455839810199</v>
      </c>
      <c r="AI142" s="10">
        <f t="shared" si="45"/>
        <v>2.3245332185208101</v>
      </c>
      <c r="AJ142" s="13">
        <f t="shared" si="46"/>
        <v>1.0759455839810199</v>
      </c>
      <c r="AK142" s="13">
        <f t="shared" si="47"/>
        <v>2.3245332185208101</v>
      </c>
    </row>
    <row r="143" spans="1:37">
      <c r="A143" s="8">
        <f>鋼床鈑!A143</f>
        <v>141</v>
      </c>
      <c r="B143" s="43" t="s">
        <v>41</v>
      </c>
      <c r="C143" s="43" t="s">
        <v>42</v>
      </c>
      <c r="D143" s="43" t="s">
        <v>220</v>
      </c>
      <c r="E143" s="44">
        <v>473920</v>
      </c>
      <c r="F143" s="45">
        <v>114281.32369999999</v>
      </c>
      <c r="G143" s="45">
        <v>191634.2647</v>
      </c>
      <c r="H143" s="45">
        <v>1101828805723.6399</v>
      </c>
      <c r="I143" s="45">
        <v>2223497131008.6201</v>
      </c>
      <c r="J143" s="45">
        <v>1067507588074.35</v>
      </c>
      <c r="K143" s="45">
        <v>3255.53</v>
      </c>
      <c r="L143" s="45">
        <v>3194.47</v>
      </c>
      <c r="M143" s="45">
        <v>2209.3098</v>
      </c>
      <c r="N143" s="45">
        <v>3219.6902</v>
      </c>
      <c r="O143" s="44">
        <v>0</v>
      </c>
      <c r="P143" s="44">
        <v>0</v>
      </c>
      <c r="Q143" s="44">
        <v>29744</v>
      </c>
      <c r="R143" s="44">
        <v>23620</v>
      </c>
      <c r="S143" s="11">
        <f>(鋼床鈑!O143+鋼床鈑!W143+鋼床鈑!X143)*鋼床鈑!U143+(鋼床鈑!R143+鋼床鈑!W143+鋼床鈑!X143)*鋼床鈑!V143</f>
        <v>153900</v>
      </c>
      <c r="T143" s="11">
        <f>(鋼床鈑!T143)*鋼床鈑!W143+(鋼床鈑!T143)*鋼床鈑!X143</f>
        <v>269650</v>
      </c>
      <c r="U143" s="11">
        <f>4*((鋼床鈑!R143+鋼床鈑!W143/2+鋼床鈑!X143/2)*(鋼床鈑!T143+鋼床鈑!U143/2+鋼床鈑!V143/2))^2/((鋼床鈑!O143+鋼床鈑!W143/2+鋼床鈑!X143/2)/鋼床鈑!U143+(鋼床鈑!R143+鋼床鈑!W143/2+鋼床鈑!X143/2)/鋼床鈑!V143+(鋼床鈑!T143+鋼床鈑!U143/2+鋼床鈑!V143/2)/鋼床鈑!W143+(鋼床鈑!T143+鋼床鈑!U143/2+鋼床鈑!V143/2)/鋼床鈑!X143)</f>
        <v>1369995353996.8879</v>
      </c>
      <c r="V143" s="12">
        <f t="shared" si="34"/>
        <v>0.33417361505174564</v>
      </c>
      <c r="W143" s="12">
        <f t="shared" si="35"/>
        <v>0.32790592870418944</v>
      </c>
      <c r="X143" s="12">
        <f t="shared" si="36"/>
        <v>1.0064216123101521</v>
      </c>
      <c r="Y143" s="12">
        <f t="shared" si="37"/>
        <v>0.69059350213527371</v>
      </c>
      <c r="Z143" s="12">
        <f t="shared" si="32"/>
        <v>1.500835061892648</v>
      </c>
      <c r="AA143" s="12">
        <f t="shared" si="33"/>
        <v>2.1660364881029452</v>
      </c>
      <c r="AB143" s="10">
        <f t="shared" si="38"/>
        <v>5.4290000000000003</v>
      </c>
      <c r="AC143" s="10">
        <f t="shared" si="39"/>
        <v>6.45</v>
      </c>
      <c r="AD143" s="10">
        <f t="shared" si="40"/>
        <v>0.47392000000000001</v>
      </c>
      <c r="AE143" s="12">
        <f t="shared" si="41"/>
        <v>1.3699953539968879</v>
      </c>
      <c r="AF143" s="12">
        <f t="shared" si="42"/>
        <v>0.26965</v>
      </c>
      <c r="AG143" s="12">
        <f t="shared" si="43"/>
        <v>0.15390000000000001</v>
      </c>
      <c r="AH143" s="10">
        <f t="shared" si="44"/>
        <v>1.0675075880743499</v>
      </c>
      <c r="AI143" s="10">
        <f t="shared" si="45"/>
        <v>2.22349713100862</v>
      </c>
      <c r="AJ143" s="13">
        <f t="shared" si="46"/>
        <v>1.0675075880743499</v>
      </c>
      <c r="AK143" s="13">
        <f t="shared" si="47"/>
        <v>2.22349713100862</v>
      </c>
    </row>
    <row r="144" spans="1:37">
      <c r="A144" s="8">
        <f>鋼床鈑!A144</f>
        <v>142</v>
      </c>
      <c r="B144" s="43" t="s">
        <v>41</v>
      </c>
      <c r="C144" s="43" t="s">
        <v>42</v>
      </c>
      <c r="D144" s="43" t="s">
        <v>221</v>
      </c>
      <c r="E144" s="44">
        <v>469880</v>
      </c>
      <c r="F144" s="45">
        <v>114836.63280000001</v>
      </c>
      <c r="G144" s="45">
        <v>187619.14449999999</v>
      </c>
      <c r="H144" s="45">
        <v>1073901373482.6801</v>
      </c>
      <c r="I144" s="45">
        <v>2129676362687.1101</v>
      </c>
      <c r="J144" s="45">
        <v>1059467471305.36</v>
      </c>
      <c r="K144" s="45">
        <v>3255.1477</v>
      </c>
      <c r="L144" s="45">
        <v>3194.8523</v>
      </c>
      <c r="M144" s="45">
        <v>2164.2206000000001</v>
      </c>
      <c r="N144" s="45">
        <v>3163.7793999999999</v>
      </c>
      <c r="O144" s="44">
        <v>0</v>
      </c>
      <c r="P144" s="44">
        <v>0</v>
      </c>
      <c r="Q144" s="44">
        <v>29542</v>
      </c>
      <c r="R144" s="44">
        <v>23418</v>
      </c>
      <c r="S144" s="11">
        <f>(鋼床鈑!O144+鋼床鈑!W144+鋼床鈑!X144)*鋼床鈑!U144+(鋼床鈑!R144+鋼床鈑!W144+鋼床鈑!X144)*鋼床鈑!V144</f>
        <v>153900</v>
      </c>
      <c r="T144" s="11">
        <f>(鋼床鈑!T144)*鋼床鈑!W144+(鋼床鈑!T144)*鋼床鈑!X144</f>
        <v>264600</v>
      </c>
      <c r="U144" s="11">
        <f>4*((鋼床鈑!R144+鋼床鈑!W144/2+鋼床鈑!X144/2)*(鋼床鈑!T144+鋼床鈑!U144/2+鋼床鈑!V144/2))^2/((鋼床鈑!O144+鋼床鈑!W144/2+鋼床鈑!X144/2)/鋼床鈑!U144+(鋼床鈑!R144+鋼床鈑!W144/2+鋼床鈑!X144/2)/鋼床鈑!V144+(鋼床鈑!T144+鋼床鈑!U144/2+鋼床鈑!V144/2)/鋼床鈑!W144+(鋼床鈑!T144+鋼床鈑!U144/2+鋼床鈑!V144/2)/鋼床鈑!X144)</f>
        <v>1335172809349.7407</v>
      </c>
      <c r="V144" s="12">
        <f t="shared" si="34"/>
        <v>0.3316170426111279</v>
      </c>
      <c r="W144" s="12">
        <f t="shared" si="35"/>
        <v>0.32547446965474408</v>
      </c>
      <c r="X144" s="12">
        <f t="shared" si="36"/>
        <v>0.98403848604301702</v>
      </c>
      <c r="Y144" s="12">
        <f t="shared" si="37"/>
        <v>0.67314312833793355</v>
      </c>
      <c r="Z144" s="12">
        <f t="shared" si="32"/>
        <v>1.5015864254255857</v>
      </c>
      <c r="AA144" s="12">
        <f t="shared" si="33"/>
        <v>2.1289395265928719</v>
      </c>
      <c r="AB144" s="10">
        <f t="shared" si="38"/>
        <v>5.3280000000000003</v>
      </c>
      <c r="AC144" s="10">
        <f t="shared" si="39"/>
        <v>6.45</v>
      </c>
      <c r="AD144" s="10">
        <f t="shared" si="40"/>
        <v>0.46988000000000002</v>
      </c>
      <c r="AE144" s="12">
        <f t="shared" si="41"/>
        <v>1.3351728093497408</v>
      </c>
      <c r="AF144" s="12">
        <f t="shared" si="42"/>
        <v>0.2646</v>
      </c>
      <c r="AG144" s="12">
        <f t="shared" si="43"/>
        <v>0.15390000000000001</v>
      </c>
      <c r="AH144" s="10">
        <f t="shared" si="44"/>
        <v>1.05946747130536</v>
      </c>
      <c r="AI144" s="10">
        <f t="shared" si="45"/>
        <v>2.12967636268711</v>
      </c>
      <c r="AJ144" s="13">
        <f t="shared" si="46"/>
        <v>1.05946747130536</v>
      </c>
      <c r="AK144" s="13">
        <f t="shared" si="47"/>
        <v>2.12967636268711</v>
      </c>
    </row>
    <row r="145" spans="1:37">
      <c r="A145" s="8">
        <f>鋼床鈑!A145</f>
        <v>143</v>
      </c>
      <c r="B145" s="43" t="s">
        <v>41</v>
      </c>
      <c r="C145" s="43" t="s">
        <v>42</v>
      </c>
      <c r="D145" s="43" t="s">
        <v>222</v>
      </c>
      <c r="E145" s="44">
        <v>465960</v>
      </c>
      <c r="F145" s="45">
        <v>115380.2065</v>
      </c>
      <c r="G145" s="45">
        <v>183720.98490000001</v>
      </c>
      <c r="H145" s="45">
        <v>1046917278557.66</v>
      </c>
      <c r="I145" s="45">
        <v>2040906696435.3999</v>
      </c>
      <c r="J145" s="45">
        <v>1051666036318.11</v>
      </c>
      <c r="K145" s="45">
        <v>3254.7703999999999</v>
      </c>
      <c r="L145" s="45">
        <v>3195.2296000000001</v>
      </c>
      <c r="M145" s="45">
        <v>2120.5603000000001</v>
      </c>
      <c r="N145" s="45">
        <v>3109.4396999999999</v>
      </c>
      <c r="O145" s="44">
        <v>0</v>
      </c>
      <c r="P145" s="44">
        <v>0</v>
      </c>
      <c r="Q145" s="44">
        <v>29346</v>
      </c>
      <c r="R145" s="44">
        <v>23222</v>
      </c>
      <c r="S145" s="11">
        <f>(鋼床鈑!O145+鋼床鈑!W145+鋼床鈑!X145)*鋼床鈑!U145+(鋼床鈑!R145+鋼床鈑!W145+鋼床鈑!X145)*鋼床鈑!V145</f>
        <v>153900</v>
      </c>
      <c r="T145" s="11">
        <f>(鋼床鈑!T145)*鋼床鈑!W145+(鋼床鈑!T145)*鋼床鈑!X145</f>
        <v>259700</v>
      </c>
      <c r="U145" s="11">
        <f>4*((鋼床鈑!R145+鋼床鈑!W145/2+鋼床鈑!X145/2)*(鋼床鈑!T145+鋼床鈑!U145/2+鋼床鈑!V145/2))^2/((鋼床鈑!O145+鋼床鈑!W145/2+鋼床鈑!X145/2)/鋼床鈑!U145+(鋼床鈑!R145+鋼床鈑!W145/2+鋼床鈑!X145/2)/鋼床鈑!V145+(鋼床鈑!T145+鋼床鈑!U145/2+鋼床鈑!V145/2)/鋼床鈑!W145+(鋼床鈑!T145+鋼床鈑!U145/2+鋼床鈑!V145/2)/鋼床鈑!X145)</f>
        <v>1301511199887.7046</v>
      </c>
      <c r="V145" s="12">
        <f t="shared" si="34"/>
        <v>0.32913629628309338</v>
      </c>
      <c r="W145" s="12">
        <f t="shared" si="35"/>
        <v>0.32311527606313184</v>
      </c>
      <c r="X145" s="12">
        <f t="shared" si="36"/>
        <v>0.9624374729807964</v>
      </c>
      <c r="Y145" s="12">
        <f t="shared" si="37"/>
        <v>0.65635834534286031</v>
      </c>
      <c r="Z145" s="12">
        <f t="shared" si="32"/>
        <v>1.5023274617109035</v>
      </c>
      <c r="AA145" s="12">
        <f t="shared" si="33"/>
        <v>2.0928459259948435</v>
      </c>
      <c r="AB145" s="10">
        <f t="shared" si="38"/>
        <v>5.23</v>
      </c>
      <c r="AC145" s="10">
        <f t="shared" si="39"/>
        <v>6.45</v>
      </c>
      <c r="AD145" s="10">
        <f t="shared" si="40"/>
        <v>0.46595999999999999</v>
      </c>
      <c r="AE145" s="12">
        <f t="shared" si="41"/>
        <v>1.3015111998877047</v>
      </c>
      <c r="AF145" s="12">
        <f t="shared" si="42"/>
        <v>0.25969999999999999</v>
      </c>
      <c r="AG145" s="12">
        <f t="shared" si="43"/>
        <v>0.15390000000000001</v>
      </c>
      <c r="AH145" s="10">
        <f t="shared" si="44"/>
        <v>1.0516660363181101</v>
      </c>
      <c r="AI145" s="10">
        <f t="shared" si="45"/>
        <v>2.0409066964353997</v>
      </c>
      <c r="AJ145" s="13">
        <f t="shared" si="46"/>
        <v>1.0516660363181101</v>
      </c>
      <c r="AK145" s="13">
        <f t="shared" si="47"/>
        <v>2.0409066964353997</v>
      </c>
    </row>
    <row r="146" spans="1:37">
      <c r="A146" s="8">
        <f>鋼床鈑!A146</f>
        <v>144</v>
      </c>
      <c r="B146" s="43" t="s">
        <v>41</v>
      </c>
      <c r="C146" s="43" t="s">
        <v>42</v>
      </c>
      <c r="D146" s="43" t="s">
        <v>223</v>
      </c>
      <c r="E146" s="44">
        <v>462200</v>
      </c>
      <c r="F146" s="45">
        <v>115891.60550000001</v>
      </c>
      <c r="G146" s="45">
        <v>179979.50880000001</v>
      </c>
      <c r="H146" s="45">
        <v>1021109175319.21</v>
      </c>
      <c r="I146" s="45">
        <v>1957837552217.4099</v>
      </c>
      <c r="J146" s="45">
        <v>1044182900504.84</v>
      </c>
      <c r="K146" s="45">
        <v>3254.4023999999999</v>
      </c>
      <c r="L146" s="45">
        <v>3195.5976000000001</v>
      </c>
      <c r="M146" s="45">
        <v>2078.7671999999998</v>
      </c>
      <c r="N146" s="45">
        <v>3057.2328000000002</v>
      </c>
      <c r="O146" s="44">
        <v>0</v>
      </c>
      <c r="P146" s="44">
        <v>0</v>
      </c>
      <c r="Q146" s="44">
        <v>29158</v>
      </c>
      <c r="R146" s="44">
        <v>23034</v>
      </c>
      <c r="S146" s="11">
        <f>(鋼床鈑!O146+鋼床鈑!W146+鋼床鈑!X146)*鋼床鈑!U146+(鋼床鈑!R146+鋼床鈑!W146+鋼床鈑!X146)*鋼床鈑!V146</f>
        <v>153900</v>
      </c>
      <c r="T146" s="11">
        <f>(鋼床鈑!T146)*鋼床鈑!W146+(鋼床鈑!T146)*鋼床鈑!X146</f>
        <v>255000</v>
      </c>
      <c r="U146" s="11">
        <f>4*((鋼床鈑!R146+鋼床鈑!W146/2+鋼床鈑!X146/2)*(鋼床鈑!T146+鋼床鈑!U146/2+鋼床鈑!V146/2))^2/((鋼床鈑!O146+鋼床鈑!W146/2+鋼床鈑!X146/2)/鋼床鈑!U146+(鋼床鈑!R146+鋼床鈑!W146/2+鋼床鈑!X146/2)/鋼床鈑!V146+(鋼床鈑!T146+鋼床鈑!U146/2+鋼床鈑!V146/2)/鋼床鈑!W146+(鋼床鈑!T146+鋼床鈑!U146/2+鋼床鈑!V146/2)/鋼床鈑!X146)</f>
        <v>1269344851201.7397</v>
      </c>
      <c r="V146" s="12">
        <f t="shared" si="34"/>
        <v>0.32675669192668061</v>
      </c>
      <c r="W146" s="12">
        <f t="shared" si="35"/>
        <v>0.32085242455107577</v>
      </c>
      <c r="X146" s="12">
        <f t="shared" si="36"/>
        <v>0.9418262671343911</v>
      </c>
      <c r="Y146" s="12">
        <f t="shared" si="37"/>
        <v>0.64039531180530629</v>
      </c>
      <c r="Z146" s="12">
        <f t="shared" si="32"/>
        <v>1.5030496191857408</v>
      </c>
      <c r="AA146" s="12">
        <f t="shared" si="33"/>
        <v>2.0581326226198597</v>
      </c>
      <c r="AB146" s="10">
        <f t="shared" si="38"/>
        <v>5.1360000000000001</v>
      </c>
      <c r="AC146" s="10">
        <f t="shared" si="39"/>
        <v>6.45</v>
      </c>
      <c r="AD146" s="10">
        <f t="shared" si="40"/>
        <v>0.4622</v>
      </c>
      <c r="AE146" s="12">
        <f t="shared" si="41"/>
        <v>1.2693448512017398</v>
      </c>
      <c r="AF146" s="12">
        <f t="shared" si="42"/>
        <v>0.255</v>
      </c>
      <c r="AG146" s="12">
        <f t="shared" si="43"/>
        <v>0.15390000000000001</v>
      </c>
      <c r="AH146" s="10">
        <f t="shared" si="44"/>
        <v>1.04418290050484</v>
      </c>
      <c r="AI146" s="10">
        <f t="shared" si="45"/>
        <v>1.9578375522174098</v>
      </c>
      <c r="AJ146" s="13">
        <f t="shared" si="46"/>
        <v>1.04418290050484</v>
      </c>
      <c r="AK146" s="13">
        <f t="shared" si="47"/>
        <v>1.9578375522174098</v>
      </c>
    </row>
    <row r="147" spans="1:37">
      <c r="A147" s="8">
        <f>鋼床鈑!A147</f>
        <v>145</v>
      </c>
      <c r="B147" s="43" t="s">
        <v>41</v>
      </c>
      <c r="C147" s="43" t="s">
        <v>42</v>
      </c>
      <c r="D147" s="43" t="s">
        <v>224</v>
      </c>
      <c r="E147" s="44">
        <v>458600</v>
      </c>
      <c r="F147" s="45">
        <v>116386.65730000001</v>
      </c>
      <c r="G147" s="45">
        <v>176396.57569999999</v>
      </c>
      <c r="H147" s="45">
        <v>996512441244.62903</v>
      </c>
      <c r="I147" s="45">
        <v>1880193132005.26</v>
      </c>
      <c r="J147" s="45">
        <v>1037018076848.1</v>
      </c>
      <c r="K147" s="45">
        <v>3254.0445</v>
      </c>
      <c r="L147" s="45">
        <v>3195.9555</v>
      </c>
      <c r="M147" s="45">
        <v>2038.8325</v>
      </c>
      <c r="N147" s="45">
        <v>3007.1675</v>
      </c>
      <c r="O147" s="44">
        <v>0</v>
      </c>
      <c r="P147" s="44">
        <v>0</v>
      </c>
      <c r="Q147" s="44">
        <v>28978</v>
      </c>
      <c r="R147" s="44">
        <v>22854</v>
      </c>
      <c r="S147" s="11">
        <f>(鋼床鈑!O147+鋼床鈑!W147+鋼床鈑!X147)*鋼床鈑!U147+(鋼床鈑!R147+鋼床鈑!W147+鋼床鈑!X147)*鋼床鈑!V147</f>
        <v>153900</v>
      </c>
      <c r="T147" s="11">
        <f>(鋼床鈑!T147)*鋼床鈑!W147+(鋼床鈑!T147)*鋼床鈑!X147</f>
        <v>250500</v>
      </c>
      <c r="U147" s="11">
        <f>4*((鋼床鈑!R147+鋼床鈑!W147/2+鋼床鈑!X147/2)*(鋼床鈑!T147+鋼床鈑!U147/2+鋼床鈑!V147/2))^2/((鋼床鈑!O147+鋼床鈑!W147/2+鋼床鈑!X147/2)/鋼床鈑!U147+(鋼床鈑!R147+鋼床鈑!W147/2+鋼床鈑!X147/2)/鋼床鈑!V147+(鋼床鈑!T147+鋼床鈑!U147/2+鋼床鈑!V147/2)/鋼床鈑!W147+(鋼床鈑!T147+鋼床鈑!U147/2+鋼床鈑!V147/2)/鋼床鈑!X147)</f>
        <v>1238662439262.2327</v>
      </c>
      <c r="V147" s="12">
        <f t="shared" si="34"/>
        <v>0.32447825911471539</v>
      </c>
      <c r="W147" s="12">
        <f t="shared" si="35"/>
        <v>0.31868589284753168</v>
      </c>
      <c r="X147" s="12">
        <f t="shared" si="36"/>
        <v>0.92219107357041852</v>
      </c>
      <c r="Y147" s="12">
        <f t="shared" si="37"/>
        <v>0.62523724801004932</v>
      </c>
      <c r="Z147" s="12">
        <f t="shared" si="32"/>
        <v>1.5037517239821196</v>
      </c>
      <c r="AA147" s="12">
        <f t="shared" si="33"/>
        <v>2.0248096678521676</v>
      </c>
      <c r="AB147" s="10">
        <f t="shared" si="38"/>
        <v>5.0460000000000003</v>
      </c>
      <c r="AC147" s="10">
        <f t="shared" si="39"/>
        <v>6.45</v>
      </c>
      <c r="AD147" s="10">
        <f t="shared" si="40"/>
        <v>0.45860000000000001</v>
      </c>
      <c r="AE147" s="12">
        <f t="shared" si="41"/>
        <v>1.2386624392622327</v>
      </c>
      <c r="AF147" s="12">
        <f t="shared" si="42"/>
        <v>0.2505</v>
      </c>
      <c r="AG147" s="12">
        <f t="shared" si="43"/>
        <v>0.15390000000000001</v>
      </c>
      <c r="AH147" s="10">
        <f t="shared" si="44"/>
        <v>1.0370180768480999</v>
      </c>
      <c r="AI147" s="10">
        <f t="shared" si="45"/>
        <v>1.8801931320052601</v>
      </c>
      <c r="AJ147" s="13">
        <f t="shared" si="46"/>
        <v>1.0370180768480999</v>
      </c>
      <c r="AK147" s="13">
        <f t="shared" si="47"/>
        <v>1.8801931320052601</v>
      </c>
    </row>
    <row r="148" spans="1:37">
      <c r="A148" s="8">
        <f>鋼床鈑!A148</f>
        <v>146</v>
      </c>
      <c r="B148" s="43" t="s">
        <v>41</v>
      </c>
      <c r="C148" s="43" t="s">
        <v>42</v>
      </c>
      <c r="D148" s="43" t="s">
        <v>225</v>
      </c>
      <c r="E148" s="44">
        <v>455120</v>
      </c>
      <c r="F148" s="45">
        <v>116854.56819999999</v>
      </c>
      <c r="G148" s="45">
        <v>172930.7746</v>
      </c>
      <c r="H148" s="45">
        <v>972798803191.26099</v>
      </c>
      <c r="I148" s="45">
        <v>1806879790915.1799</v>
      </c>
      <c r="J148" s="45">
        <v>1030091967206.64</v>
      </c>
      <c r="K148" s="45">
        <v>3253.6931</v>
      </c>
      <c r="L148" s="45">
        <v>3196.3069</v>
      </c>
      <c r="M148" s="45">
        <v>2000.3052</v>
      </c>
      <c r="N148" s="45">
        <v>2958.6948000000002</v>
      </c>
      <c r="O148" s="44">
        <v>0</v>
      </c>
      <c r="P148" s="44">
        <v>0</v>
      </c>
      <c r="Q148" s="44">
        <v>28804</v>
      </c>
      <c r="R148" s="44">
        <v>22680</v>
      </c>
      <c r="S148" s="11">
        <f>(鋼床鈑!O148+鋼床鈑!W148+鋼床鈑!X148)*鋼床鈑!U148+(鋼床鈑!R148+鋼床鈑!W148+鋼床鈑!X148)*鋼床鈑!V148</f>
        <v>153900</v>
      </c>
      <c r="T148" s="11">
        <f>(鋼床鈑!T148)*鋼床鈑!W148+(鋼床鈑!T148)*鋼床鈑!X148</f>
        <v>246150</v>
      </c>
      <c r="U148" s="11">
        <f>4*((鋼床鈑!R148+鋼床鈑!W148/2+鋼床鈑!X148/2)*(鋼床鈑!T148+鋼床鈑!U148/2+鋼床鈑!V148/2))^2/((鋼床鈑!O148+鋼床鈑!W148/2+鋼床鈑!X148/2)/鋼床鈑!U148+(鋼床鈑!R148+鋼床鈑!W148/2+鋼床鈑!X148/2)/鋼床鈑!V148+(鋼床鈑!T148+鋼床鈑!U148/2+鋼床鈑!V148/2)/鋼床鈑!W148+(鋼床鈑!T148+鋼床鈑!U148/2+鋼床鈑!V148/2)/鋼床鈑!X148)</f>
        <v>1209113445608.8965</v>
      </c>
      <c r="V148" s="12">
        <f t="shared" si="34"/>
        <v>0.32227567609563396</v>
      </c>
      <c r="W148" s="12">
        <f t="shared" si="35"/>
        <v>0.3165916192915183</v>
      </c>
      <c r="X148" s="12">
        <f t="shared" si="36"/>
        <v>0.90330205156452115</v>
      </c>
      <c r="Y148" s="12">
        <f t="shared" si="37"/>
        <v>0.6107016482116302</v>
      </c>
      <c r="Z148" s="12">
        <f t="shared" si="32"/>
        <v>1.5044405818256179</v>
      </c>
      <c r="AA148" s="12">
        <f t="shared" si="33"/>
        <v>1.9925153228347749</v>
      </c>
      <c r="AB148" s="10">
        <f t="shared" si="38"/>
        <v>4.9589999999999996</v>
      </c>
      <c r="AC148" s="10">
        <f t="shared" si="39"/>
        <v>6.45</v>
      </c>
      <c r="AD148" s="10">
        <f t="shared" si="40"/>
        <v>0.45512000000000002</v>
      </c>
      <c r="AE148" s="12">
        <f t="shared" si="41"/>
        <v>1.2091134456088966</v>
      </c>
      <c r="AF148" s="12">
        <f t="shared" si="42"/>
        <v>0.24615000000000001</v>
      </c>
      <c r="AG148" s="12">
        <f t="shared" si="43"/>
        <v>0.15390000000000001</v>
      </c>
      <c r="AH148" s="10">
        <f t="shared" si="44"/>
        <v>1.03009196720664</v>
      </c>
      <c r="AI148" s="10">
        <f t="shared" si="45"/>
        <v>1.8068797909151799</v>
      </c>
      <c r="AJ148" s="13">
        <f t="shared" si="46"/>
        <v>1.03009196720664</v>
      </c>
      <c r="AK148" s="13">
        <f t="shared" si="47"/>
        <v>1.8068797909151799</v>
      </c>
    </row>
    <row r="149" spans="1:37">
      <c r="A149" s="8">
        <f>鋼床鈑!A149</f>
        <v>147</v>
      </c>
      <c r="B149" s="43" t="s">
        <v>41</v>
      </c>
      <c r="C149" s="43" t="s">
        <v>42</v>
      </c>
      <c r="D149" s="43" t="s">
        <v>226</v>
      </c>
      <c r="E149" s="44">
        <v>451840</v>
      </c>
      <c r="F149" s="45">
        <v>117301.0618</v>
      </c>
      <c r="G149" s="45">
        <v>169664.72719999999</v>
      </c>
      <c r="H149" s="45">
        <v>950555198698.64197</v>
      </c>
      <c r="I149" s="45">
        <v>1739335941505.79</v>
      </c>
      <c r="J149" s="45">
        <v>1023563805414.86</v>
      </c>
      <c r="K149" s="45">
        <v>3253.3569000000002</v>
      </c>
      <c r="L149" s="45">
        <v>3196.6430999999998</v>
      </c>
      <c r="M149" s="45">
        <v>1964.0622000000001</v>
      </c>
      <c r="N149" s="45">
        <v>2912.9378000000002</v>
      </c>
      <c r="O149" s="44">
        <v>0</v>
      </c>
      <c r="P149" s="44">
        <v>0</v>
      </c>
      <c r="Q149" s="44">
        <v>28640</v>
      </c>
      <c r="R149" s="44">
        <v>22516</v>
      </c>
      <c r="S149" s="11">
        <f>(鋼床鈑!O149+鋼床鈑!W149+鋼床鈑!X149)*鋼床鈑!U149+(鋼床鈑!R149+鋼床鈑!W149+鋼床鈑!X149)*鋼床鈑!V149</f>
        <v>136224</v>
      </c>
      <c r="T149" s="11">
        <f>(鋼床鈑!T149)*鋼床鈑!W149+(鋼床鈑!T149)*鋼床鈑!X149</f>
        <v>183958</v>
      </c>
      <c r="U149" s="11">
        <f>4*((鋼床鈑!R149+鋼床鈑!W149/2+鋼床鈑!X149/2)*(鋼床鈑!T149+鋼床鈑!U149/2+鋼床鈑!V149/2))^2/((鋼床鈑!O149+鋼床鈑!W149/2+鋼床鈑!X149/2)/鋼床鈑!U149+(鋼床鈑!R149+鋼床鈑!W149/2+鋼床鈑!X149/2)/鋼床鈑!V149+(鋼床鈑!T149+鋼床鈑!U149/2+鋼床鈑!V149/2)/鋼床鈑!W149+(鋼床鈑!T149+鋼床鈑!U149/2+鋼床鈑!V149/2)/鋼床鈑!X149)</f>
        <v>969031399601.21277</v>
      </c>
      <c r="V149" s="12">
        <f t="shared" si="34"/>
        <v>0.32019958856678743</v>
      </c>
      <c r="W149" s="12">
        <f t="shared" si="35"/>
        <v>0.31461774311169483</v>
      </c>
      <c r="X149" s="12">
        <f t="shared" si="36"/>
        <v>0.88558088511951916</v>
      </c>
      <c r="Y149" s="12">
        <f t="shared" si="37"/>
        <v>0.59710713407810834</v>
      </c>
      <c r="Z149" s="12">
        <f t="shared" si="32"/>
        <v>1.5050991920295629</v>
      </c>
      <c r="AA149" s="12">
        <f t="shared" si="33"/>
        <v>1.9620017848326949</v>
      </c>
      <c r="AB149" s="10">
        <f t="shared" si="38"/>
        <v>4.8769999999999998</v>
      </c>
      <c r="AC149" s="10">
        <f t="shared" si="39"/>
        <v>6.45</v>
      </c>
      <c r="AD149" s="10">
        <f t="shared" si="40"/>
        <v>0.45184000000000002</v>
      </c>
      <c r="AE149" s="12">
        <f t="shared" si="41"/>
        <v>0.96903139960121276</v>
      </c>
      <c r="AF149" s="12">
        <f t="shared" si="42"/>
        <v>0.18395800000000001</v>
      </c>
      <c r="AG149" s="12">
        <f t="shared" si="43"/>
        <v>0.13622400000000001</v>
      </c>
      <c r="AH149" s="10">
        <f t="shared" si="44"/>
        <v>1.0235638054148599</v>
      </c>
      <c r="AI149" s="10">
        <f t="shared" si="45"/>
        <v>1.7393359415057901</v>
      </c>
      <c r="AJ149" s="13">
        <f t="shared" si="46"/>
        <v>1.0235638054148599</v>
      </c>
      <c r="AK149" s="13">
        <f t="shared" si="47"/>
        <v>1.7393359415057901</v>
      </c>
    </row>
    <row r="150" spans="1:37">
      <c r="A150" s="8">
        <f>鋼床鈑!A150</f>
        <v>148</v>
      </c>
      <c r="B150" s="43" t="s">
        <v>41</v>
      </c>
      <c r="C150" s="43" t="s">
        <v>42</v>
      </c>
      <c r="D150" s="43" t="s">
        <v>227</v>
      </c>
      <c r="E150" s="44">
        <v>448680</v>
      </c>
      <c r="F150" s="45">
        <v>117721.04399999999</v>
      </c>
      <c r="G150" s="45">
        <v>166515.53</v>
      </c>
      <c r="H150" s="45">
        <v>929175241594.32898</v>
      </c>
      <c r="I150" s="45">
        <v>1675680455517.6001</v>
      </c>
      <c r="J150" s="45">
        <v>1017274380846.01</v>
      </c>
      <c r="K150" s="45">
        <v>3253.0284000000001</v>
      </c>
      <c r="L150" s="45">
        <v>3196.9715999999999</v>
      </c>
      <c r="M150" s="45">
        <v>1929.2109</v>
      </c>
      <c r="N150" s="45">
        <v>2868.7891</v>
      </c>
      <c r="O150" s="44">
        <v>0</v>
      </c>
      <c r="P150" s="44">
        <v>0</v>
      </c>
      <c r="Q150" s="44">
        <v>28482</v>
      </c>
      <c r="R150" s="44">
        <v>22358</v>
      </c>
      <c r="S150" s="11">
        <f>(鋼床鈑!O150+鋼床鈑!W150+鋼床鈑!X150)*鋼床鈑!U150+(鋼床鈑!R150+鋼床鈑!W150+鋼床鈑!X150)*鋼床鈑!V150</f>
        <v>136224</v>
      </c>
      <c r="T150" s="11">
        <f>(鋼床鈑!T150)*鋼床鈑!W150+(鋼床鈑!T150)*鋼床鈑!X150</f>
        <v>180956</v>
      </c>
      <c r="U150" s="11">
        <f>4*((鋼床鈑!R150+鋼床鈑!W150/2+鋼床鈑!X150/2)*(鋼床鈑!T150+鋼床鈑!U150/2+鋼床鈑!V150/2))^2/((鋼床鈑!O150+鋼床鈑!W150/2+鋼床鈑!X150/2)/鋼床鈑!U150+(鋼床鈑!R150+鋼床鈑!W150/2+鋼床鈑!X150/2)/鋼床鈑!V150+(鋼床鈑!T150+鋼床鈑!U150/2+鋼床鈑!V150/2)/鋼床鈑!W150+(鋼床鈑!T150+鋼床鈑!U150/2+鋼床鈑!V150/2)/鋼床鈑!X150)</f>
        <v>947969402888.45447</v>
      </c>
      <c r="V150" s="12">
        <f t="shared" si="34"/>
        <v>0.3181993799525808</v>
      </c>
      <c r="W150" s="12">
        <f t="shared" si="35"/>
        <v>0.31271610811821071</v>
      </c>
      <c r="X150" s="12">
        <f t="shared" si="36"/>
        <v>0.86858334437028129</v>
      </c>
      <c r="Y150" s="12">
        <f t="shared" si="37"/>
        <v>0.58410723030061718</v>
      </c>
      <c r="Z150" s="12">
        <f t="shared" si="32"/>
        <v>1.5057424632450171</v>
      </c>
      <c r="AA150" s="12">
        <f t="shared" si="33"/>
        <v>1.9325344588396955</v>
      </c>
      <c r="AB150" s="10">
        <f t="shared" si="38"/>
        <v>4.798</v>
      </c>
      <c r="AC150" s="10">
        <f t="shared" si="39"/>
        <v>6.45</v>
      </c>
      <c r="AD150" s="10">
        <f t="shared" si="40"/>
        <v>0.44868000000000002</v>
      </c>
      <c r="AE150" s="12">
        <f t="shared" si="41"/>
        <v>0.94796940288845444</v>
      </c>
      <c r="AF150" s="12">
        <f t="shared" si="42"/>
        <v>0.18095600000000001</v>
      </c>
      <c r="AG150" s="12">
        <f t="shared" si="43"/>
        <v>0.13622400000000001</v>
      </c>
      <c r="AH150" s="10">
        <f t="shared" si="44"/>
        <v>1.0172743808460101</v>
      </c>
      <c r="AI150" s="10">
        <f t="shared" si="45"/>
        <v>1.6756804555176001</v>
      </c>
      <c r="AJ150" s="13">
        <f t="shared" si="46"/>
        <v>1.0172743808460101</v>
      </c>
      <c r="AK150" s="13">
        <f t="shared" si="47"/>
        <v>1.6756804555176001</v>
      </c>
    </row>
    <row r="151" spans="1:37">
      <c r="A151" s="8">
        <f>鋼床鈑!A151</f>
        <v>149</v>
      </c>
      <c r="B151" s="43" t="s">
        <v>41</v>
      </c>
      <c r="C151" s="43" t="s">
        <v>42</v>
      </c>
      <c r="D151" s="43" t="s">
        <v>228</v>
      </c>
      <c r="E151" s="44">
        <v>445680</v>
      </c>
      <c r="F151" s="45">
        <v>118126.1808</v>
      </c>
      <c r="G151" s="45">
        <v>163526.33059999999</v>
      </c>
      <c r="H151" s="45">
        <v>908974428909.33301</v>
      </c>
      <c r="I151" s="45">
        <v>1616525556938.76</v>
      </c>
      <c r="J151" s="45">
        <v>1011303317309.1</v>
      </c>
      <c r="K151" s="45">
        <v>3252.7123000000001</v>
      </c>
      <c r="L151" s="45">
        <v>3197.2876999999999</v>
      </c>
      <c r="M151" s="45">
        <v>1896.1853000000001</v>
      </c>
      <c r="N151" s="45">
        <v>2826.8146999999999</v>
      </c>
      <c r="O151" s="44">
        <v>0</v>
      </c>
      <c r="P151" s="44">
        <v>0</v>
      </c>
      <c r="Q151" s="44">
        <v>28332</v>
      </c>
      <c r="R151" s="44">
        <v>22208</v>
      </c>
      <c r="S151" s="11">
        <f>(鋼床鈑!O151+鋼床鈑!W151+鋼床鈑!X151)*鋼床鈑!U151+(鋼床鈑!R151+鋼床鈑!W151+鋼床鈑!X151)*鋼床鈑!V151</f>
        <v>136224</v>
      </c>
      <c r="T151" s="11">
        <f>(鋼床鈑!T151)*鋼床鈑!W151+(鋼床鈑!T151)*鋼床鈑!X151</f>
        <v>178106</v>
      </c>
      <c r="U151" s="11">
        <f>4*((鋼床鈑!R151+鋼床鈑!W151/2+鋼床鈑!X151/2)*(鋼床鈑!T151+鋼床鈑!U151/2+鋼床鈑!V151/2))^2/((鋼床鈑!O151+鋼床鈑!W151/2+鋼床鈑!X151/2)/鋼床鈑!U151+(鋼床鈑!R151+鋼床鈑!W151/2+鋼床鈑!X151/2)/鋼床鈑!V151+(鋼床鈑!T151+鋼床鈑!U151/2+鋼床鈑!V151/2)/鋼床鈑!W151+(鋼床鈑!T151+鋼床鈑!U151/2+鋼床鈑!V151/2)/鋼床鈑!X151)</f>
        <v>928030404475.87195</v>
      </c>
      <c r="V151" s="12">
        <f t="shared" si="34"/>
        <v>0.31630038088505452</v>
      </c>
      <c r="W151" s="12">
        <f t="shared" si="35"/>
        <v>0.3109107796927198</v>
      </c>
      <c r="X151" s="12">
        <f t="shared" si="36"/>
        <v>0.85251454957422135</v>
      </c>
      <c r="Y151" s="12">
        <f t="shared" si="37"/>
        <v>0.57185409320913749</v>
      </c>
      <c r="Z151" s="12">
        <f t="shared" si="32"/>
        <v>1.5063612775147712</v>
      </c>
      <c r="AA151" s="12">
        <f t="shared" si="33"/>
        <v>1.9044944650554287</v>
      </c>
      <c r="AB151" s="10">
        <f t="shared" si="38"/>
        <v>4.7229999999999999</v>
      </c>
      <c r="AC151" s="10">
        <f t="shared" si="39"/>
        <v>6.45</v>
      </c>
      <c r="AD151" s="10">
        <f t="shared" si="40"/>
        <v>0.44568000000000002</v>
      </c>
      <c r="AE151" s="12">
        <f t="shared" si="41"/>
        <v>0.92803040447587193</v>
      </c>
      <c r="AF151" s="12">
        <f t="shared" si="42"/>
        <v>0.17810599999999999</v>
      </c>
      <c r="AG151" s="12">
        <f t="shared" si="43"/>
        <v>0.13622400000000001</v>
      </c>
      <c r="AH151" s="10">
        <f t="shared" si="44"/>
        <v>1.0113033173090999</v>
      </c>
      <c r="AI151" s="10">
        <f t="shared" si="45"/>
        <v>1.61652555693876</v>
      </c>
      <c r="AJ151" s="13">
        <f t="shared" si="46"/>
        <v>1.0113033173090999</v>
      </c>
      <c r="AK151" s="13">
        <f t="shared" si="47"/>
        <v>1.61652555693876</v>
      </c>
    </row>
    <row r="152" spans="1:37">
      <c r="A152" s="8">
        <f>鋼床鈑!A152</f>
        <v>150</v>
      </c>
      <c r="B152" s="43" t="s">
        <v>41</v>
      </c>
      <c r="C152" s="43" t="s">
        <v>42</v>
      </c>
      <c r="D152" s="43" t="s">
        <v>229</v>
      </c>
      <c r="E152" s="44">
        <v>442840</v>
      </c>
      <c r="F152" s="45">
        <v>118499.1859</v>
      </c>
      <c r="G152" s="45">
        <v>160694.514</v>
      </c>
      <c r="H152" s="45">
        <v>889891602692.92505</v>
      </c>
      <c r="I152" s="45">
        <v>1561664044656.55</v>
      </c>
      <c r="J152" s="45">
        <v>1005650627304.78</v>
      </c>
      <c r="K152" s="45">
        <v>3252.4090000000001</v>
      </c>
      <c r="L152" s="45">
        <v>3197.5909999999999</v>
      </c>
      <c r="M152" s="45">
        <v>1864.9768999999999</v>
      </c>
      <c r="N152" s="45">
        <v>2787.0230999999999</v>
      </c>
      <c r="O152" s="44">
        <v>0</v>
      </c>
      <c r="P152" s="44">
        <v>0</v>
      </c>
      <c r="Q152" s="44">
        <v>28190</v>
      </c>
      <c r="R152" s="44">
        <v>22066</v>
      </c>
      <c r="S152" s="11">
        <f>(鋼床鈑!O152+鋼床鈑!W152+鋼床鈑!X152)*鋼床鈑!U152+(鋼床鈑!R152+鋼床鈑!W152+鋼床鈑!X152)*鋼床鈑!V152</f>
        <v>136224</v>
      </c>
      <c r="T152" s="11">
        <f>(鋼床鈑!T152)*鋼床鈑!W152+(鋼床鈑!T152)*鋼床鈑!X152</f>
        <v>175408</v>
      </c>
      <c r="U152" s="11">
        <f>4*((鋼床鈑!R152+鋼床鈑!W152/2+鋼床鈑!X152/2)*(鋼床鈑!T152+鋼床鈑!U152/2+鋼床鈑!V152/2))^2/((鋼床鈑!O152+鋼床鈑!W152/2+鋼床鈑!X152/2)/鋼床鈑!U152+(鋼床鈑!R152+鋼床鈑!W152/2+鋼床鈑!X152/2)/鋼床鈑!V152+(鋼床鈑!T152+鋼床鈑!U152/2+鋼床鈑!V152/2)/鋼床鈑!W152+(鋼床鈑!T152+鋼床鈑!U152/2+鋼床鈑!V152/2)/鋼床鈑!X152)</f>
        <v>909207186041.21375</v>
      </c>
      <c r="V152" s="12">
        <f t="shared" si="34"/>
        <v>0.31450258250813817</v>
      </c>
      <c r="W152" s="12">
        <f t="shared" si="35"/>
        <v>0.30920177238003588</v>
      </c>
      <c r="X152" s="12">
        <f t="shared" si="36"/>
        <v>0.83736374678772163</v>
      </c>
      <c r="Y152" s="12">
        <f t="shared" si="37"/>
        <v>0.56033408716868904</v>
      </c>
      <c r="Z152" s="12">
        <f t="shared" si="32"/>
        <v>1.5069545127199608</v>
      </c>
      <c r="AA152" s="12">
        <f t="shared" si="33"/>
        <v>1.8778910176180512</v>
      </c>
      <c r="AB152" s="10">
        <f t="shared" si="38"/>
        <v>4.6520000000000001</v>
      </c>
      <c r="AC152" s="10">
        <f t="shared" si="39"/>
        <v>6.45</v>
      </c>
      <c r="AD152" s="10">
        <f t="shared" si="40"/>
        <v>0.44284000000000001</v>
      </c>
      <c r="AE152" s="12">
        <f t="shared" si="41"/>
        <v>0.90920718604121376</v>
      </c>
      <c r="AF152" s="12">
        <f t="shared" si="42"/>
        <v>0.17540800000000001</v>
      </c>
      <c r="AG152" s="12">
        <f t="shared" si="43"/>
        <v>0.13622400000000001</v>
      </c>
      <c r="AH152" s="10">
        <f t="shared" si="44"/>
        <v>1.0056506273047801</v>
      </c>
      <c r="AI152" s="10">
        <f t="shared" si="45"/>
        <v>1.56166404465655</v>
      </c>
      <c r="AJ152" s="13">
        <f t="shared" si="46"/>
        <v>1.0056506273047801</v>
      </c>
      <c r="AK152" s="13">
        <f t="shared" si="47"/>
        <v>1.56166404465655</v>
      </c>
    </row>
    <row r="153" spans="1:37">
      <c r="A153" s="8">
        <f>鋼床鈑!A153</f>
        <v>151</v>
      </c>
      <c r="B153" s="43" t="s">
        <v>41</v>
      </c>
      <c r="C153" s="43" t="s">
        <v>42</v>
      </c>
      <c r="D153" s="43" t="s">
        <v>230</v>
      </c>
      <c r="E153" s="44">
        <v>440200</v>
      </c>
      <c r="F153" s="45">
        <v>118853.4262</v>
      </c>
      <c r="G153" s="45">
        <v>158063.15359999999</v>
      </c>
      <c r="H153" s="45">
        <v>872238703413.37</v>
      </c>
      <c r="I153" s="45">
        <v>1511652398022.02</v>
      </c>
      <c r="J153" s="45">
        <v>1000395940099.46</v>
      </c>
      <c r="K153" s="45">
        <v>3252.1235999999999</v>
      </c>
      <c r="L153" s="45">
        <v>3197.8764000000001</v>
      </c>
      <c r="M153" s="45">
        <v>1836.0159000000001</v>
      </c>
      <c r="N153" s="45">
        <v>2749.9841000000001</v>
      </c>
      <c r="O153" s="44">
        <v>0</v>
      </c>
      <c r="P153" s="44">
        <v>0</v>
      </c>
      <c r="Q153" s="44">
        <v>28058</v>
      </c>
      <c r="R153" s="44">
        <v>21934</v>
      </c>
      <c r="S153" s="11">
        <f>(鋼床鈑!O153+鋼床鈑!W153+鋼床鈑!X153)*鋼床鈑!U153+(鋼床鈑!R153+鋼床鈑!W153+鋼床鈑!X153)*鋼床鈑!V153</f>
        <v>136224</v>
      </c>
      <c r="T153" s="11">
        <f>(鋼床鈑!T153)*鋼床鈑!W153+(鋼床鈑!T153)*鋼床鈑!X153</f>
        <v>172900</v>
      </c>
      <c r="U153" s="11">
        <f>4*((鋼床鈑!R153+鋼床鈑!W153/2+鋼床鈑!X153/2)*(鋼床鈑!T153+鋼床鈑!U153/2+鋼床鈑!V153/2))^2/((鋼床鈑!O153+鋼床鈑!W153/2+鋼床鈑!X153/2)/鋼床鈑!U153+(鋼床鈑!R153+鋼床鈑!W153/2+鋼床鈑!X153/2)/鋼床鈑!V153+(鋼床鈑!T153+鋼床鈑!U153/2+鋼床鈑!V153/2)/鋼床鈑!W153+(鋼床鈑!T153+鋼床鈑!U153/2+鋼床鈑!V153/2)/鋼床鈑!X153)</f>
        <v>891756591407.55457</v>
      </c>
      <c r="V153" s="12">
        <f t="shared" si="34"/>
        <v>0.31283133397509044</v>
      </c>
      <c r="W153" s="12">
        <f t="shared" si="35"/>
        <v>0.30761313625947673</v>
      </c>
      <c r="X153" s="12">
        <f t="shared" si="36"/>
        <v>0.82333295589761502</v>
      </c>
      <c r="Y153" s="12">
        <f t="shared" si="37"/>
        <v>0.54969495933522661</v>
      </c>
      <c r="Z153" s="12">
        <f t="shared" si="32"/>
        <v>1.5075125668642557</v>
      </c>
      <c r="AA153" s="12">
        <f t="shared" si="33"/>
        <v>1.8531089328468699</v>
      </c>
      <c r="AB153" s="10">
        <f t="shared" si="38"/>
        <v>4.5860000000000003</v>
      </c>
      <c r="AC153" s="10">
        <f t="shared" si="39"/>
        <v>6.45</v>
      </c>
      <c r="AD153" s="10">
        <f t="shared" si="40"/>
        <v>0.44019999999999998</v>
      </c>
      <c r="AE153" s="12">
        <f t="shared" si="41"/>
        <v>0.89175659140755459</v>
      </c>
      <c r="AF153" s="12">
        <f t="shared" si="42"/>
        <v>0.1729</v>
      </c>
      <c r="AG153" s="12">
        <f t="shared" si="43"/>
        <v>0.13622400000000001</v>
      </c>
      <c r="AH153" s="10">
        <f t="shared" si="44"/>
        <v>1.00039594009946</v>
      </c>
      <c r="AI153" s="10">
        <f t="shared" si="45"/>
        <v>1.51165239802202</v>
      </c>
      <c r="AJ153" s="13">
        <f t="shared" si="46"/>
        <v>1.00039594009946</v>
      </c>
      <c r="AK153" s="13">
        <f t="shared" si="47"/>
        <v>1.51165239802202</v>
      </c>
    </row>
    <row r="154" spans="1:37">
      <c r="A154" s="8">
        <f>鋼床鈑!A154</f>
        <v>152</v>
      </c>
      <c r="B154" s="43" t="s">
        <v>41</v>
      </c>
      <c r="C154" s="43" t="s">
        <v>42</v>
      </c>
      <c r="D154" s="43" t="s">
        <v>231</v>
      </c>
      <c r="E154" s="44">
        <v>437640</v>
      </c>
      <c r="F154" s="45">
        <v>119186.11440000001</v>
      </c>
      <c r="G154" s="45">
        <v>155508.87669999999</v>
      </c>
      <c r="H154" s="45">
        <v>855145848599.00098</v>
      </c>
      <c r="I154" s="45">
        <v>1464058047968.28</v>
      </c>
      <c r="J154" s="45">
        <v>995300416533.43701</v>
      </c>
      <c r="K154" s="45">
        <v>3251.8434999999999</v>
      </c>
      <c r="L154" s="45">
        <v>3198.1565000000001</v>
      </c>
      <c r="M154" s="45">
        <v>1807.9791</v>
      </c>
      <c r="N154" s="45">
        <v>2714.0209</v>
      </c>
      <c r="O154" s="44">
        <v>0</v>
      </c>
      <c r="P154" s="44">
        <v>0</v>
      </c>
      <c r="Q154" s="44">
        <v>27930</v>
      </c>
      <c r="R154" s="44">
        <v>21806</v>
      </c>
      <c r="S154" s="11">
        <f>(鋼床鈑!O154+鋼床鈑!W154+鋼床鈑!X154)*鋼床鈑!U154+(鋼床鈑!R154+鋼床鈑!W154+鋼床鈑!X154)*鋼床鈑!V154</f>
        <v>136224</v>
      </c>
      <c r="T154" s="11">
        <f>(鋼床鈑!T154)*鋼床鈑!W154+(鋼床鈑!T154)*鋼床鈑!X154</f>
        <v>170468</v>
      </c>
      <c r="U154" s="11">
        <f>4*((鋼床鈑!R154+鋼床鈑!W154/2+鋼床鈑!X154/2)*(鋼床鈑!T154+鋼床鈑!U154/2+鋼床鈑!V154/2))^2/((鋼床鈑!O154+鋼床鈑!W154/2+鋼床鈑!X154/2)/鋼床鈑!U154+(鋼床鈑!R154+鋼床鈑!W154/2+鋼床鈑!X154/2)/鋼床鈑!V154+(鋼床鈑!T154+鋼床鈑!U154/2+鋼床鈑!V154/2)/鋼床鈑!W154+(鋼床鈑!T154+鋼床鈑!U154/2+鋼床鈑!V154/2)/鋼床鈑!X154)</f>
        <v>874879330521.59631</v>
      </c>
      <c r="V154" s="12">
        <f t="shared" si="34"/>
        <v>0.3112106666867106</v>
      </c>
      <c r="W154" s="12">
        <f t="shared" si="35"/>
        <v>0.30607266817527873</v>
      </c>
      <c r="X154" s="12">
        <f t="shared" si="36"/>
        <v>0.80977598024682917</v>
      </c>
      <c r="Y154" s="12">
        <f t="shared" si="37"/>
        <v>0.5394424368538504</v>
      </c>
      <c r="Z154" s="12">
        <f t="shared" si="32"/>
        <v>1.508059886864145</v>
      </c>
      <c r="AA154" s="12">
        <f t="shared" si="33"/>
        <v>1.8290292190211666</v>
      </c>
      <c r="AB154" s="10">
        <f t="shared" si="38"/>
        <v>4.5220000000000002</v>
      </c>
      <c r="AC154" s="10">
        <f t="shared" si="39"/>
        <v>6.45</v>
      </c>
      <c r="AD154" s="10">
        <f t="shared" si="40"/>
        <v>0.43763999999999997</v>
      </c>
      <c r="AE154" s="12">
        <f t="shared" si="41"/>
        <v>0.87487933052159628</v>
      </c>
      <c r="AF154" s="12">
        <f t="shared" si="42"/>
        <v>0.17046800000000001</v>
      </c>
      <c r="AG154" s="12">
        <f t="shared" si="43"/>
        <v>0.13622400000000001</v>
      </c>
      <c r="AH154" s="10">
        <f t="shared" si="44"/>
        <v>0.99530041653343704</v>
      </c>
      <c r="AI154" s="10">
        <f t="shared" si="45"/>
        <v>1.4640580479682801</v>
      </c>
      <c r="AJ154" s="13">
        <f t="shared" si="46"/>
        <v>0.99530041653343704</v>
      </c>
      <c r="AK154" s="13">
        <f t="shared" si="47"/>
        <v>1.4640580479682801</v>
      </c>
    </row>
    <row r="155" spans="1:37">
      <c r="A155" s="8">
        <f>鋼床鈑!A155</f>
        <v>153</v>
      </c>
      <c r="B155" s="43" t="s">
        <v>41</v>
      </c>
      <c r="C155" s="43" t="s">
        <v>42</v>
      </c>
      <c r="D155" s="43" t="s">
        <v>232</v>
      </c>
      <c r="E155" s="44">
        <v>435280</v>
      </c>
      <c r="F155" s="45">
        <v>119490.8959</v>
      </c>
      <c r="G155" s="45">
        <v>153155.10889999999</v>
      </c>
      <c r="H155" s="45">
        <v>839445584746.64197</v>
      </c>
      <c r="I155" s="45">
        <v>1420963799528.27</v>
      </c>
      <c r="J155" s="45">
        <v>990602919244.64502</v>
      </c>
      <c r="K155" s="45">
        <v>3251.5823999999998</v>
      </c>
      <c r="L155" s="45">
        <v>3198.4176000000002</v>
      </c>
      <c r="M155" s="45">
        <v>1782.1739</v>
      </c>
      <c r="N155" s="45">
        <v>2680.8261000000002</v>
      </c>
      <c r="O155" s="44">
        <v>0</v>
      </c>
      <c r="P155" s="44">
        <v>0</v>
      </c>
      <c r="Q155" s="44">
        <v>27812</v>
      </c>
      <c r="R155" s="44">
        <v>21688</v>
      </c>
      <c r="S155" s="11">
        <f>(鋼床鈑!O155+鋼床鈑!W155+鋼床鈑!X155)*鋼床鈑!U155+(鋼床鈑!R155+鋼床鈑!W155+鋼床鈑!X155)*鋼床鈑!V155</f>
        <v>136224</v>
      </c>
      <c r="T155" s="11">
        <f>(鋼床鈑!T155)*鋼床鈑!W155+(鋼床鈑!T155)*鋼床鈑!X155</f>
        <v>168226</v>
      </c>
      <c r="U155" s="11">
        <f>4*((鋼床鈑!R155+鋼床鈑!W155/2+鋼床鈑!X155/2)*(鋼床鈑!T155+鋼床鈑!U155/2+鋼床鈑!V155/2))^2/((鋼床鈑!O155+鋼床鈑!W155/2+鋼床鈑!X155/2)/鋼床鈑!U155+(鋼床鈑!R155+鋼床鈑!W155/2+鋼床鈑!X155/2)/鋼床鈑!V155+(鋼床鈑!T155+鋼床鈑!U155/2+鋼床鈑!V155/2)/鋼床鈑!W155+(鋼床鈑!T155+鋼床鈑!U155/2+鋼床鈑!V155/2)/鋼床鈑!X155)</f>
        <v>859360498837.37415</v>
      </c>
      <c r="V155" s="12">
        <f t="shared" si="34"/>
        <v>0.30971656710638562</v>
      </c>
      <c r="W155" s="12">
        <f t="shared" si="35"/>
        <v>0.30465256523858819</v>
      </c>
      <c r="X155" s="12">
        <f t="shared" si="36"/>
        <v>0.79732050813238253</v>
      </c>
      <c r="Y155" s="12">
        <f t="shared" si="37"/>
        <v>0.53004698795206062</v>
      </c>
      <c r="Z155" s="12">
        <f t="shared" si="32"/>
        <v>1.5085699248828319</v>
      </c>
      <c r="AA155" s="12">
        <f t="shared" si="33"/>
        <v>1.8067878047272294</v>
      </c>
      <c r="AB155" s="10">
        <f t="shared" si="38"/>
        <v>4.4630000000000001</v>
      </c>
      <c r="AC155" s="10">
        <f t="shared" si="39"/>
        <v>6.45</v>
      </c>
      <c r="AD155" s="10">
        <f t="shared" si="40"/>
        <v>0.43528</v>
      </c>
      <c r="AE155" s="12">
        <f t="shared" si="41"/>
        <v>0.8593604988373742</v>
      </c>
      <c r="AF155" s="12">
        <f t="shared" si="42"/>
        <v>0.16822599999999999</v>
      </c>
      <c r="AG155" s="12">
        <f t="shared" si="43"/>
        <v>0.13622400000000001</v>
      </c>
      <c r="AH155" s="10">
        <f t="shared" si="44"/>
        <v>0.99060291924464505</v>
      </c>
      <c r="AI155" s="10">
        <f t="shared" si="45"/>
        <v>1.42096379952827</v>
      </c>
      <c r="AJ155" s="13">
        <f t="shared" si="46"/>
        <v>0.99060291924464505</v>
      </c>
      <c r="AK155" s="13">
        <f t="shared" si="47"/>
        <v>1.42096379952827</v>
      </c>
    </row>
    <row r="156" spans="1:37">
      <c r="A156" s="8">
        <f>鋼床鈑!A156</f>
        <v>154</v>
      </c>
      <c r="B156" s="43" t="s">
        <v>41</v>
      </c>
      <c r="C156" s="43" t="s">
        <v>42</v>
      </c>
      <c r="D156" s="43" t="s">
        <v>233</v>
      </c>
      <c r="E156" s="44">
        <v>433080</v>
      </c>
      <c r="F156" s="45">
        <v>119783.4856</v>
      </c>
      <c r="G156" s="45">
        <v>150961.35800000001</v>
      </c>
      <c r="H156" s="45">
        <v>824874967824.78101</v>
      </c>
      <c r="I156" s="45">
        <v>1381462763899.45</v>
      </c>
      <c r="J156" s="45">
        <v>986223842337.95105</v>
      </c>
      <c r="K156" s="45">
        <v>3251.3364999999999</v>
      </c>
      <c r="L156" s="45">
        <v>3198.6635000000001</v>
      </c>
      <c r="M156" s="45">
        <v>1758.1545000000001</v>
      </c>
      <c r="N156" s="45">
        <v>2649.8454999999999</v>
      </c>
      <c r="O156" s="44">
        <v>0</v>
      </c>
      <c r="P156" s="44">
        <v>0</v>
      </c>
      <c r="Q156" s="44">
        <v>27702</v>
      </c>
      <c r="R156" s="44">
        <v>21578</v>
      </c>
      <c r="S156" s="11">
        <f>(鋼床鈑!O156+鋼床鈑!W156+鋼床鈑!X156)*鋼床鈑!U156+(鋼床鈑!R156+鋼床鈑!W156+鋼床鈑!X156)*鋼床鈑!V156</f>
        <v>136224</v>
      </c>
      <c r="T156" s="11">
        <f>(鋼床鈑!T156)*鋼床鈑!W156+(鋼床鈑!T156)*鋼床鈑!X156</f>
        <v>166136</v>
      </c>
      <c r="U156" s="11">
        <f>4*((鋼床鈑!R156+鋼床鈑!W156/2+鋼床鈑!X156/2)*(鋼床鈑!T156+鋼床鈑!U156/2+鋼床鈑!V156/2))^2/((鋼床鈑!O156+鋼床鈑!W156/2+鋼床鈑!X156/2)/鋼床鈑!U156+(鋼床鈑!R156+鋼床鈑!W156/2+鋼床鈑!X156/2)/鋼床鈑!V156+(鋼床鈑!T156+鋼床鈑!U156/2+鋼床鈑!V156/2)/鋼床鈑!W156+(鋼床鈑!T156+鋼床鈑!U156/2+鋼床鈑!V156/2)/鋼床鈑!X156)</f>
        <v>844929147093.30798</v>
      </c>
      <c r="V156" s="12">
        <f t="shared" si="34"/>
        <v>0.30832372406098701</v>
      </c>
      <c r="W156" s="12">
        <f t="shared" si="35"/>
        <v>0.30332875183419222</v>
      </c>
      <c r="X156" s="12">
        <f t="shared" si="36"/>
        <v>0.78574594206564319</v>
      </c>
      <c r="Y156" s="12">
        <f t="shared" si="37"/>
        <v>0.52133709829476849</v>
      </c>
      <c r="Z156" s="12">
        <f t="shared" si="32"/>
        <v>1.5090501912686862</v>
      </c>
      <c r="AA156" s="12">
        <f t="shared" si="33"/>
        <v>1.786016750315754</v>
      </c>
      <c r="AB156" s="10">
        <f t="shared" si="38"/>
        <v>4.4080000000000004</v>
      </c>
      <c r="AC156" s="10">
        <f t="shared" si="39"/>
        <v>6.45</v>
      </c>
      <c r="AD156" s="10">
        <f t="shared" si="40"/>
        <v>0.43308000000000002</v>
      </c>
      <c r="AE156" s="12">
        <f t="shared" si="41"/>
        <v>0.84492914709330802</v>
      </c>
      <c r="AF156" s="12">
        <f t="shared" si="42"/>
        <v>0.16613600000000001</v>
      </c>
      <c r="AG156" s="12">
        <f t="shared" si="43"/>
        <v>0.13622400000000001</v>
      </c>
      <c r="AH156" s="10">
        <f t="shared" si="44"/>
        <v>0.98622384233795102</v>
      </c>
      <c r="AI156" s="10">
        <f t="shared" si="45"/>
        <v>1.3814627638994499</v>
      </c>
      <c r="AJ156" s="13">
        <f t="shared" si="46"/>
        <v>0.98622384233795102</v>
      </c>
      <c r="AK156" s="13">
        <f t="shared" si="47"/>
        <v>1.3814627638994499</v>
      </c>
    </row>
    <row r="157" spans="1:37">
      <c r="A157" s="8">
        <f>鋼床鈑!A157</f>
        <v>155</v>
      </c>
      <c r="B157" s="43" t="s">
        <v>41</v>
      </c>
      <c r="C157" s="43" t="s">
        <v>42</v>
      </c>
      <c r="D157" s="43" t="s">
        <v>234</v>
      </c>
      <c r="E157" s="44">
        <v>431000</v>
      </c>
      <c r="F157" s="45">
        <v>120049.72779999999</v>
      </c>
      <c r="G157" s="45">
        <v>148885.82149999999</v>
      </c>
      <c r="H157" s="45">
        <v>811115579840.25903</v>
      </c>
      <c r="I157" s="45">
        <v>1344709054007.27</v>
      </c>
      <c r="J157" s="45">
        <v>982083575504.41797</v>
      </c>
      <c r="K157" s="45">
        <v>3251.1016</v>
      </c>
      <c r="L157" s="45">
        <v>3198.8984</v>
      </c>
      <c r="M157" s="45">
        <v>1735.4780000000001</v>
      </c>
      <c r="N157" s="45">
        <v>2620.5219999999999</v>
      </c>
      <c r="O157" s="44">
        <v>0</v>
      </c>
      <c r="P157" s="44">
        <v>0</v>
      </c>
      <c r="Q157" s="44">
        <v>27598</v>
      </c>
      <c r="R157" s="44">
        <v>21474</v>
      </c>
      <c r="S157" s="11">
        <f>(鋼床鈑!O157+鋼床鈑!W157+鋼床鈑!X157)*鋼床鈑!U157+(鋼床鈑!R157+鋼床鈑!W157+鋼床鈑!X157)*鋼床鈑!V157</f>
        <v>124872</v>
      </c>
      <c r="T157" s="11">
        <f>(鋼床鈑!T157)*鋼床鈑!W157+(鋼床鈑!T157)*鋼床鈑!X157</f>
        <v>164160</v>
      </c>
      <c r="U157" s="11">
        <f>4*((鋼床鈑!R157+鋼床鈑!W157/2+鋼床鈑!X157/2)*(鋼床鈑!T157+鋼床鈑!U157/2+鋼床鈑!V157/2))^2/((鋼床鈑!O157+鋼床鈑!W157/2+鋼床鈑!X157/2)/鋼床鈑!U157+(鋼床鈑!R157+鋼床鈑!W157/2+鋼床鈑!X157/2)/鋼床鈑!V157+(鋼床鈑!T157+鋼床鈑!U157/2+鋼床鈑!V157/2)/鋼床鈑!W157+(鋼床鈑!T157+鋼床鈑!U157/2+鋼床鈑!V157/2)/鋼床鈑!X157)</f>
        <v>816548200424.15051</v>
      </c>
      <c r="V157" s="12">
        <f t="shared" si="34"/>
        <v>0.30700680443755823</v>
      </c>
      <c r="W157" s="12">
        <f t="shared" si="35"/>
        <v>0.30207717147456048</v>
      </c>
      <c r="X157" s="12">
        <f t="shared" si="36"/>
        <v>0.77483497572845628</v>
      </c>
      <c r="Y157" s="12">
        <f t="shared" si="37"/>
        <v>0.51314549315261238</v>
      </c>
      <c r="Z157" s="12">
        <f t="shared" si="32"/>
        <v>1.5095085903912593</v>
      </c>
      <c r="AA157" s="12">
        <f t="shared" si="33"/>
        <v>1.7663449842160301</v>
      </c>
      <c r="AB157" s="10">
        <f t="shared" si="38"/>
        <v>4.3559999999999999</v>
      </c>
      <c r="AC157" s="10">
        <f t="shared" si="39"/>
        <v>6.45</v>
      </c>
      <c r="AD157" s="10">
        <f t="shared" si="40"/>
        <v>0.43099999999999999</v>
      </c>
      <c r="AE157" s="12">
        <f t="shared" si="41"/>
        <v>0.81654820042415055</v>
      </c>
      <c r="AF157" s="12">
        <f t="shared" si="42"/>
        <v>0.16416</v>
      </c>
      <c r="AG157" s="12">
        <f t="shared" si="43"/>
        <v>0.124872</v>
      </c>
      <c r="AH157" s="10">
        <f t="shared" si="44"/>
        <v>0.98208357550441794</v>
      </c>
      <c r="AI157" s="10">
        <f t="shared" si="45"/>
        <v>1.3447090540072699</v>
      </c>
      <c r="AJ157" s="13">
        <f t="shared" si="46"/>
        <v>0.98208357550441794</v>
      </c>
      <c r="AK157" s="13">
        <f t="shared" si="47"/>
        <v>1.3447090540072699</v>
      </c>
    </row>
    <row r="158" spans="1:37">
      <c r="A158" s="8">
        <f>鋼床鈑!A158</f>
        <v>156</v>
      </c>
      <c r="B158" s="43" t="s">
        <v>41</v>
      </c>
      <c r="C158" s="43" t="s">
        <v>42</v>
      </c>
      <c r="D158" s="43" t="s">
        <v>235</v>
      </c>
      <c r="E158" s="44">
        <v>429080</v>
      </c>
      <c r="F158" s="45">
        <v>120294.1122</v>
      </c>
      <c r="G158" s="45">
        <v>146970.14749999999</v>
      </c>
      <c r="H158" s="45">
        <v>798451127546.25806</v>
      </c>
      <c r="I158" s="45">
        <v>1311291287205.0601</v>
      </c>
      <c r="J158" s="45">
        <v>978261748143.69897</v>
      </c>
      <c r="K158" s="45">
        <v>3250.8827999999999</v>
      </c>
      <c r="L158" s="45">
        <v>3199.1172000000001</v>
      </c>
      <c r="M158" s="45">
        <v>1714.5743</v>
      </c>
      <c r="N158" s="45">
        <v>2593.4256999999998</v>
      </c>
      <c r="O158" s="44">
        <v>0</v>
      </c>
      <c r="P158" s="44">
        <v>0</v>
      </c>
      <c r="Q158" s="44">
        <v>27502</v>
      </c>
      <c r="R158" s="44">
        <v>21378</v>
      </c>
      <c r="S158" s="11">
        <f>(鋼床鈑!O158+鋼床鈑!W158+鋼床鈑!X158)*鋼床鈑!U158+(鋼床鈑!R158+鋼床鈑!W158+鋼床鈑!X158)*鋼床鈑!V158</f>
        <v>124872</v>
      </c>
      <c r="T158" s="11">
        <f>(鋼床鈑!T158)*鋼床鈑!W158+(鋼床鈑!T158)*鋼床鈑!X158</f>
        <v>162336</v>
      </c>
      <c r="U158" s="11">
        <f>4*((鋼床鈑!R158+鋼床鈑!W158/2+鋼床鈑!X158/2)*(鋼床鈑!T158+鋼床鈑!U158/2+鋼床鈑!V158/2))^2/((鋼床鈑!O158+鋼床鈑!W158/2+鋼床鈑!X158/2)/鋼床鈑!U158+(鋼床鈑!R158+鋼床鈑!W158/2+鋼床鈑!X158/2)/鋼床鈑!V158+(鋼床鈑!T158+鋼床鈑!U158/2+鋼床鈑!V158/2)/鋼床鈑!W158+(鋼床鈑!T158+鋼床鈑!U158/2+鋼床鈑!V158/2)/鋼床鈑!X158)</f>
        <v>804130414898.34509</v>
      </c>
      <c r="V158" s="12">
        <f t="shared" si="34"/>
        <v>0.30579115643018606</v>
      </c>
      <c r="W158" s="12">
        <f t="shared" si="35"/>
        <v>0.30092187517301422</v>
      </c>
      <c r="X158" s="12">
        <f t="shared" si="36"/>
        <v>0.76479117131585383</v>
      </c>
      <c r="Y158" s="12">
        <f t="shared" si="37"/>
        <v>0.50562130513515791</v>
      </c>
      <c r="Z158" s="12">
        <f t="shared" si="32"/>
        <v>1.5099355145487805</v>
      </c>
      <c r="AA158" s="12">
        <f t="shared" si="33"/>
        <v>1.7481570735308771</v>
      </c>
      <c r="AB158" s="10">
        <f t="shared" si="38"/>
        <v>4.3079999999999998</v>
      </c>
      <c r="AC158" s="10">
        <f t="shared" si="39"/>
        <v>6.45</v>
      </c>
      <c r="AD158" s="10">
        <f t="shared" si="40"/>
        <v>0.42908000000000002</v>
      </c>
      <c r="AE158" s="12">
        <f t="shared" si="41"/>
        <v>0.80413041489834514</v>
      </c>
      <c r="AF158" s="12">
        <f t="shared" si="42"/>
        <v>0.16233600000000001</v>
      </c>
      <c r="AG158" s="12">
        <f t="shared" si="43"/>
        <v>0.124872</v>
      </c>
      <c r="AH158" s="10">
        <f t="shared" si="44"/>
        <v>0.97826174814369893</v>
      </c>
      <c r="AI158" s="10">
        <f t="shared" si="45"/>
        <v>1.3112912872050602</v>
      </c>
      <c r="AJ158" s="13">
        <f t="shared" si="46"/>
        <v>0.97826174814369893</v>
      </c>
      <c r="AK158" s="13">
        <f t="shared" si="47"/>
        <v>1.3112912872050602</v>
      </c>
    </row>
    <row r="159" spans="1:37">
      <c r="A159" s="8">
        <f>鋼床鈑!A159</f>
        <v>157</v>
      </c>
      <c r="B159" s="43" t="s">
        <v>41</v>
      </c>
      <c r="C159" s="43" t="s">
        <v>42</v>
      </c>
      <c r="D159" s="43" t="s">
        <v>236</v>
      </c>
      <c r="E159" s="44">
        <v>427320</v>
      </c>
      <c r="F159" s="45">
        <v>120528.1048</v>
      </c>
      <c r="G159" s="45">
        <v>145215.48980000001</v>
      </c>
      <c r="H159" s="45">
        <v>786899287402.29504</v>
      </c>
      <c r="I159" s="45">
        <v>1281085327181.6499</v>
      </c>
      <c r="J159" s="45">
        <v>974758369993.54102</v>
      </c>
      <c r="K159" s="45">
        <v>3250.6804999999999</v>
      </c>
      <c r="L159" s="45">
        <v>3199.3195000000001</v>
      </c>
      <c r="M159" s="45">
        <v>1695.4371000000001</v>
      </c>
      <c r="N159" s="45">
        <v>2568.5628999999999</v>
      </c>
      <c r="O159" s="44">
        <v>0</v>
      </c>
      <c r="P159" s="44">
        <v>0</v>
      </c>
      <c r="Q159" s="44">
        <v>27414</v>
      </c>
      <c r="R159" s="44">
        <v>21290</v>
      </c>
      <c r="S159" s="11">
        <f>(鋼床鈑!O159+鋼床鈑!W159+鋼床鈑!X159)*鋼床鈑!U159+(鋼床鈑!R159+鋼床鈑!W159+鋼床鈑!X159)*鋼床鈑!V159</f>
        <v>124872</v>
      </c>
      <c r="T159" s="11">
        <f>(鋼床鈑!T159)*鋼床鈑!W159+(鋼床鈑!T159)*鋼床鈑!X159</f>
        <v>160664</v>
      </c>
      <c r="U159" s="11">
        <f>4*((鋼床鈑!R159+鋼床鈑!W159/2+鋼床鈑!X159/2)*(鋼床鈑!T159+鋼床鈑!U159/2+鋼床鈑!V159/2))^2/((鋼床鈑!O159+鋼床鈑!W159/2+鋼床鈑!X159/2)/鋼床鈑!U159+(鋼床鈑!R159+鋼床鈑!W159/2+鋼床鈑!X159/2)/鋼床鈑!V159+(鋼床鈑!T159+鋼床鈑!U159/2+鋼床鈑!V159/2)/鋼床鈑!W159+(鋼床鈑!T159+鋼床鈑!U159/2+鋼床鈑!V159/2)/鋼床鈑!X159)</f>
        <v>792772904647.18066</v>
      </c>
      <c r="V159" s="12">
        <f t="shared" si="34"/>
        <v>0.30467678204491333</v>
      </c>
      <c r="W159" s="12">
        <f t="shared" si="35"/>
        <v>0.29986286563491582</v>
      </c>
      <c r="X159" s="12">
        <f t="shared" si="36"/>
        <v>0.75560769973810871</v>
      </c>
      <c r="Y159" s="12">
        <f t="shared" si="37"/>
        <v>0.49875567663990233</v>
      </c>
      <c r="Z159" s="12">
        <f t="shared" si="32"/>
        <v>1.5103300963336719</v>
      </c>
      <c r="AA159" s="12">
        <f t="shared" si="33"/>
        <v>1.7314598233476846</v>
      </c>
      <c r="AB159" s="10">
        <f t="shared" si="38"/>
        <v>4.2640000000000002</v>
      </c>
      <c r="AC159" s="10">
        <f t="shared" si="39"/>
        <v>6.45</v>
      </c>
      <c r="AD159" s="10">
        <f t="shared" si="40"/>
        <v>0.42731999999999998</v>
      </c>
      <c r="AE159" s="12">
        <f t="shared" si="41"/>
        <v>0.79277290464718064</v>
      </c>
      <c r="AF159" s="12">
        <f t="shared" si="42"/>
        <v>0.160664</v>
      </c>
      <c r="AG159" s="12">
        <f t="shared" si="43"/>
        <v>0.124872</v>
      </c>
      <c r="AH159" s="10">
        <f t="shared" si="44"/>
        <v>0.97475836999354104</v>
      </c>
      <c r="AI159" s="10">
        <f t="shared" si="45"/>
        <v>1.2810853271816498</v>
      </c>
      <c r="AJ159" s="13">
        <f t="shared" si="46"/>
        <v>0.97475836999354104</v>
      </c>
      <c r="AK159" s="13">
        <f t="shared" si="47"/>
        <v>1.2810853271816498</v>
      </c>
    </row>
    <row r="160" spans="1:37">
      <c r="A160" s="8">
        <f>鋼床鈑!A160</f>
        <v>158</v>
      </c>
      <c r="B160" s="43" t="s">
        <v>41</v>
      </c>
      <c r="C160" s="43" t="s">
        <v>42</v>
      </c>
      <c r="D160" s="43" t="s">
        <v>237</v>
      </c>
      <c r="E160" s="44">
        <v>425720</v>
      </c>
      <c r="F160" s="45">
        <v>120730.325</v>
      </c>
      <c r="G160" s="45">
        <v>143618.731</v>
      </c>
      <c r="H160" s="45">
        <v>776397566714.18799</v>
      </c>
      <c r="I160" s="45">
        <v>1253978231042.4299</v>
      </c>
      <c r="J160" s="45">
        <v>971573450175.58704</v>
      </c>
      <c r="K160" s="45">
        <v>3250.4951999999998</v>
      </c>
      <c r="L160" s="45">
        <v>3199.5048000000002</v>
      </c>
      <c r="M160" s="45">
        <v>1678.0601999999999</v>
      </c>
      <c r="N160" s="45">
        <v>2545.9398000000001</v>
      </c>
      <c r="O160" s="44">
        <v>0</v>
      </c>
      <c r="P160" s="44">
        <v>0</v>
      </c>
      <c r="Q160" s="44">
        <v>27334</v>
      </c>
      <c r="R160" s="44">
        <v>21210</v>
      </c>
      <c r="S160" s="11">
        <f>(鋼床鈑!O160+鋼床鈑!W160+鋼床鈑!X160)*鋼床鈑!U160+(鋼床鈑!R160+鋼床鈑!W160+鋼床鈑!X160)*鋼床鈑!V160</f>
        <v>124872</v>
      </c>
      <c r="T160" s="11">
        <f>(鋼床鈑!T160)*鋼床鈑!W160+(鋼床鈑!T160)*鋼床鈑!X160</f>
        <v>159144</v>
      </c>
      <c r="U160" s="11">
        <f>4*((鋼床鈑!R160+鋼床鈑!W160/2+鋼床鈑!X160/2)*(鋼床鈑!T160+鋼床鈑!U160/2+鋼床鈑!V160/2))^2/((鋼床鈑!O160+鋼床鈑!W160/2+鋼床鈑!X160/2)/鋼床鈑!U160+(鋼床鈑!R160+鋼床鈑!W160/2+鋼床鈑!X160/2)/鋼床鈑!V160+(鋼床鈑!T160+鋼床鈑!U160/2+鋼床鈑!V160/2)/鋼床鈑!W160+(鋼床鈑!T160+鋼床鈑!U160/2+鋼床鈑!V160/2)/鋼床鈑!X160)</f>
        <v>782469435789.54285</v>
      </c>
      <c r="V160" s="12">
        <f t="shared" si="34"/>
        <v>0.30366369513669333</v>
      </c>
      <c r="W160" s="12">
        <f t="shared" si="35"/>
        <v>0.29890013379364072</v>
      </c>
      <c r="X160" s="12">
        <f t="shared" si="36"/>
        <v>0.74727845344429833</v>
      </c>
      <c r="Y160" s="12">
        <f t="shared" si="37"/>
        <v>0.49254040925964937</v>
      </c>
      <c r="Z160" s="12">
        <f t="shared" si="32"/>
        <v>1.5106915239146212</v>
      </c>
      <c r="AA160" s="12">
        <f t="shared" si="33"/>
        <v>1.7162595698829923</v>
      </c>
      <c r="AB160" s="10">
        <f t="shared" si="38"/>
        <v>4.2240000000000002</v>
      </c>
      <c r="AC160" s="10">
        <f t="shared" si="39"/>
        <v>6.45</v>
      </c>
      <c r="AD160" s="10">
        <f t="shared" si="40"/>
        <v>0.42571999999999999</v>
      </c>
      <c r="AE160" s="12">
        <f t="shared" si="41"/>
        <v>0.78246943578954287</v>
      </c>
      <c r="AF160" s="12">
        <f t="shared" si="42"/>
        <v>0.15914400000000001</v>
      </c>
      <c r="AG160" s="12">
        <f t="shared" si="43"/>
        <v>0.124872</v>
      </c>
      <c r="AH160" s="10">
        <f t="shared" si="44"/>
        <v>0.97157345017558705</v>
      </c>
      <c r="AI160" s="10">
        <f t="shared" si="45"/>
        <v>1.2539782310424299</v>
      </c>
      <c r="AJ160" s="13">
        <f t="shared" si="46"/>
        <v>0.97157345017558705</v>
      </c>
      <c r="AK160" s="13">
        <f t="shared" si="47"/>
        <v>1.2539782310424299</v>
      </c>
    </row>
    <row r="161" spans="1:37">
      <c r="A161" s="8">
        <f>鋼床鈑!A161</f>
        <v>159</v>
      </c>
      <c r="B161" s="43" t="s">
        <v>41</v>
      </c>
      <c r="C161" s="43" t="s">
        <v>42</v>
      </c>
      <c r="D161" s="43" t="s">
        <v>238</v>
      </c>
      <c r="E161" s="44">
        <v>424280</v>
      </c>
      <c r="F161" s="45">
        <v>120911.5992</v>
      </c>
      <c r="G161" s="45">
        <v>142181.55119999999</v>
      </c>
      <c r="H161" s="45">
        <v>766966731345.10303</v>
      </c>
      <c r="I161" s="45">
        <v>1229868028661.4299</v>
      </c>
      <c r="J161" s="45">
        <v>968706997148.18396</v>
      </c>
      <c r="K161" s="45">
        <v>3250.3271</v>
      </c>
      <c r="L161" s="45">
        <v>3199.6729</v>
      </c>
      <c r="M161" s="45">
        <v>1662.4378999999999</v>
      </c>
      <c r="N161" s="45">
        <v>2525.5621000000001</v>
      </c>
      <c r="O161" s="44">
        <v>0</v>
      </c>
      <c r="P161" s="44">
        <v>0</v>
      </c>
      <c r="Q161" s="44">
        <v>27262</v>
      </c>
      <c r="R161" s="44">
        <v>21138</v>
      </c>
      <c r="S161" s="11">
        <f>(鋼床鈑!O161+鋼床鈑!W161+鋼床鈑!X161)*鋼床鈑!U161+(鋼床鈑!R161+鋼床鈑!W161+鋼床鈑!X161)*鋼床鈑!V161</f>
        <v>124872</v>
      </c>
      <c r="T161" s="11">
        <f>(鋼床鈑!T161)*鋼床鈑!W161+(鋼床鈑!T161)*鋼床鈑!X161</f>
        <v>157776</v>
      </c>
      <c r="U161" s="11">
        <f>4*((鋼床鈑!R161+鋼床鈑!W161/2+鋼床鈑!X161/2)*(鋼床鈑!T161+鋼床鈑!U161/2+鋼床鈑!V161/2))^2/((鋼床鈑!O161+鋼床鈑!W161/2+鋼床鈑!X161/2)/鋼床鈑!U161+(鋼床鈑!R161+鋼床鈑!W161/2+鋼床鈑!X161/2)/鋼床鈑!V161+(鋼床鈑!T161+鋼床鈑!U161/2+鋼床鈑!V161/2)/鋼床鈑!W161+(鋼床鈑!T161+鋼床鈑!U161/2+鋼床鈑!V161/2)/鋼床鈑!X161)</f>
        <v>773214163246.51257</v>
      </c>
      <c r="V161" s="12">
        <f t="shared" si="34"/>
        <v>0.30275188352790189</v>
      </c>
      <c r="W161" s="12">
        <f t="shared" si="35"/>
        <v>0.29803369548504333</v>
      </c>
      <c r="X161" s="12">
        <f t="shared" si="36"/>
        <v>0.73979787675764008</v>
      </c>
      <c r="Y161" s="12">
        <f t="shared" si="37"/>
        <v>0.4869680411586117</v>
      </c>
      <c r="Z161" s="12">
        <f t="shared" si="32"/>
        <v>1.5110190450837748</v>
      </c>
      <c r="AA161" s="12">
        <f t="shared" si="33"/>
        <v>1.7025621561055075</v>
      </c>
      <c r="AB161" s="10">
        <f t="shared" si="38"/>
        <v>4.1879999999999997</v>
      </c>
      <c r="AC161" s="10">
        <f t="shared" si="39"/>
        <v>6.45</v>
      </c>
      <c r="AD161" s="10">
        <f t="shared" si="40"/>
        <v>0.42427999999999999</v>
      </c>
      <c r="AE161" s="12">
        <f t="shared" si="41"/>
        <v>0.7732141632465126</v>
      </c>
      <c r="AF161" s="12">
        <f t="shared" si="42"/>
        <v>0.157776</v>
      </c>
      <c r="AG161" s="12">
        <f t="shared" si="43"/>
        <v>0.124872</v>
      </c>
      <c r="AH161" s="10">
        <f t="shared" si="44"/>
        <v>0.96870699714818398</v>
      </c>
      <c r="AI161" s="10">
        <f t="shared" si="45"/>
        <v>1.2298680286614299</v>
      </c>
      <c r="AJ161" s="13">
        <f t="shared" si="46"/>
        <v>0.96870699714818398</v>
      </c>
      <c r="AK161" s="13">
        <f t="shared" si="47"/>
        <v>1.2298680286614299</v>
      </c>
    </row>
    <row r="162" spans="1:37">
      <c r="A162" s="8">
        <f>鋼床鈑!A162</f>
        <v>160</v>
      </c>
      <c r="B162" s="43" t="s">
        <v>41</v>
      </c>
      <c r="C162" s="43" t="s">
        <v>42</v>
      </c>
      <c r="D162" s="43" t="s">
        <v>239</v>
      </c>
      <c r="E162" s="44">
        <v>423000</v>
      </c>
      <c r="F162" s="45">
        <v>121071.6912</v>
      </c>
      <c r="G162" s="45">
        <v>140904.04240000001</v>
      </c>
      <c r="H162" s="45">
        <v>758599976520.44604</v>
      </c>
      <c r="I162" s="45">
        <v>1208663521762.1699</v>
      </c>
      <c r="J162" s="45">
        <v>966159018661.84497</v>
      </c>
      <c r="K162" s="45">
        <v>3250.1768000000002</v>
      </c>
      <c r="L162" s="45">
        <v>3199.8231999999998</v>
      </c>
      <c r="M162" s="45">
        <v>1648.5650000000001</v>
      </c>
      <c r="N162" s="45">
        <v>2507.4349999999999</v>
      </c>
      <c r="O162" s="44">
        <v>0</v>
      </c>
      <c r="P162" s="44">
        <v>0</v>
      </c>
      <c r="Q162" s="44">
        <v>27198</v>
      </c>
      <c r="R162" s="44">
        <v>21074</v>
      </c>
      <c r="S162" s="11">
        <f>(鋼床鈑!O162+鋼床鈑!W162+鋼床鈑!X162)*鋼床鈑!U162+(鋼床鈑!R162+鋼床鈑!W162+鋼床鈑!X162)*鋼床鈑!V162</f>
        <v>124872</v>
      </c>
      <c r="T162" s="11">
        <f>(鋼床鈑!T162)*鋼床鈑!W162+(鋼床鈑!T162)*鋼床鈑!X162</f>
        <v>156560</v>
      </c>
      <c r="U162" s="11">
        <f>4*((鋼床鈑!R162+鋼床鈑!W162/2+鋼床鈑!X162/2)*(鋼床鈑!T162+鋼床鈑!U162/2+鋼床鈑!V162/2))^2/((鋼床鈑!O162+鋼床鈑!W162/2+鋼床鈑!X162/2)/鋼床鈑!U162+(鋼床鈑!R162+鋼床鈑!W162/2+鋼床鈑!X162/2)/鋼床鈑!V162+(鋼床鈑!T162+鋼床鈑!U162/2+鋼床鈑!V162/2)/鋼床鈑!W162+(鋼床鈑!T162+鋼床鈑!U162/2+鋼床鈑!V162/2)/鋼床鈑!X162)</f>
        <v>765001676747.43787</v>
      </c>
      <c r="V162" s="12">
        <f t="shared" si="34"/>
        <v>0.30194137559282808</v>
      </c>
      <c r="W162" s="12">
        <f t="shared" si="35"/>
        <v>0.29726352691393432</v>
      </c>
      <c r="X162" s="12">
        <f t="shared" si="36"/>
        <v>0.73316097440026318</v>
      </c>
      <c r="Y162" s="12">
        <f t="shared" si="37"/>
        <v>0.48203184599487919</v>
      </c>
      <c r="Z162" s="12">
        <f t="shared" si="32"/>
        <v>1.5113119710718468</v>
      </c>
      <c r="AA162" s="12">
        <f t="shared" si="33"/>
        <v>1.69037290901794</v>
      </c>
      <c r="AB162" s="10">
        <f t="shared" si="38"/>
        <v>4.1559999999999997</v>
      </c>
      <c r="AC162" s="10">
        <f t="shared" si="39"/>
        <v>6.45</v>
      </c>
      <c r="AD162" s="10">
        <f t="shared" si="40"/>
        <v>0.42299999999999999</v>
      </c>
      <c r="AE162" s="12">
        <f t="shared" si="41"/>
        <v>0.76500167674743791</v>
      </c>
      <c r="AF162" s="12">
        <f t="shared" si="42"/>
        <v>0.15656</v>
      </c>
      <c r="AG162" s="12">
        <f t="shared" si="43"/>
        <v>0.124872</v>
      </c>
      <c r="AH162" s="10">
        <f t="shared" si="44"/>
        <v>0.96615901866184495</v>
      </c>
      <c r="AI162" s="10">
        <f t="shared" si="45"/>
        <v>1.20866352176217</v>
      </c>
      <c r="AJ162" s="13">
        <f t="shared" si="46"/>
        <v>0.96615901866184495</v>
      </c>
      <c r="AK162" s="13">
        <f t="shared" si="47"/>
        <v>1.20866352176217</v>
      </c>
    </row>
    <row r="163" spans="1:37">
      <c r="A163" s="8">
        <f>鋼床鈑!A163</f>
        <v>161</v>
      </c>
      <c r="B163" s="43" t="s">
        <v>41</v>
      </c>
      <c r="C163" s="43" t="s">
        <v>42</v>
      </c>
      <c r="D163" s="43" t="s">
        <v>240</v>
      </c>
      <c r="E163" s="44">
        <v>421840</v>
      </c>
      <c r="F163" s="45">
        <v>121217.4097</v>
      </c>
      <c r="G163" s="45">
        <v>139747.0422</v>
      </c>
      <c r="H163" s="45">
        <v>751037681780.09204</v>
      </c>
      <c r="I163" s="45">
        <v>1189630701407.1101</v>
      </c>
      <c r="J163" s="45">
        <v>963849896553.15295</v>
      </c>
      <c r="K163" s="45">
        <v>3250.0398</v>
      </c>
      <c r="L163" s="45">
        <v>3199.9602</v>
      </c>
      <c r="M163" s="45">
        <v>1636.0038</v>
      </c>
      <c r="N163" s="45">
        <v>2490.9962</v>
      </c>
      <c r="O163" s="44">
        <v>0</v>
      </c>
      <c r="P163" s="44">
        <v>0</v>
      </c>
      <c r="Q163" s="44">
        <v>27140</v>
      </c>
      <c r="R163" s="44">
        <v>21016</v>
      </c>
      <c r="S163" s="11">
        <f>(鋼床鈑!O163+鋼床鈑!W163+鋼床鈑!X163)*鋼床鈑!U163+(鋼床鈑!R163+鋼床鈑!W163+鋼床鈑!X163)*鋼床鈑!V163</f>
        <v>124872</v>
      </c>
      <c r="T163" s="11">
        <f>(鋼床鈑!T163)*鋼床鈑!W163+(鋼床鈑!T163)*鋼床鈑!X163</f>
        <v>155458</v>
      </c>
      <c r="U163" s="11">
        <f>4*((鋼床鈑!R163+鋼床鈑!W163/2+鋼床鈑!X163/2)*(鋼床鈑!T163+鋼床鈑!U163/2+鋼床鈑!V163/2))^2/((鋼床鈑!O163+鋼床鈑!W163/2+鋼床鈑!X163/2)/鋼床鈑!U163+(鋼床鈑!R163+鋼床鈑!W163/2+鋼床鈑!X163/2)/鋼床鈑!V163+(鋼床鈑!T163+鋼床鈑!U163/2+鋼床鈑!V163/2)/鋼床鈑!W163+(鋼床鈑!T163+鋼床鈑!U163/2+鋼床鈑!V163/2)/鋼床鈑!X163)</f>
        <v>757571004368.07227</v>
      </c>
      <c r="V163" s="12">
        <f t="shared" si="34"/>
        <v>0.30120683893291955</v>
      </c>
      <c r="W163" s="12">
        <f t="shared" si="35"/>
        <v>0.29656556715187088</v>
      </c>
      <c r="X163" s="12">
        <f t="shared" si="36"/>
        <v>0.72715644145026448</v>
      </c>
      <c r="Y163" s="12">
        <f t="shared" si="37"/>
        <v>0.47757226663256658</v>
      </c>
      <c r="Z163" s="12">
        <f t="shared" si="32"/>
        <v>1.5115789082695477</v>
      </c>
      <c r="AA163" s="12">
        <f t="shared" si="33"/>
        <v>1.6793151372195183</v>
      </c>
      <c r="AB163" s="10">
        <f t="shared" si="38"/>
        <v>4.1269999999999998</v>
      </c>
      <c r="AC163" s="10">
        <f t="shared" si="39"/>
        <v>6.45</v>
      </c>
      <c r="AD163" s="10">
        <f t="shared" si="40"/>
        <v>0.42183999999999999</v>
      </c>
      <c r="AE163" s="12">
        <f t="shared" si="41"/>
        <v>0.75757100436807223</v>
      </c>
      <c r="AF163" s="12">
        <f t="shared" si="42"/>
        <v>0.15545800000000001</v>
      </c>
      <c r="AG163" s="12">
        <f t="shared" si="43"/>
        <v>0.124872</v>
      </c>
      <c r="AH163" s="10">
        <f t="shared" si="44"/>
        <v>0.96384989655315301</v>
      </c>
      <c r="AI163" s="10">
        <f t="shared" si="45"/>
        <v>1.1896307014071101</v>
      </c>
      <c r="AJ163" s="13">
        <f t="shared" si="46"/>
        <v>0.96384989655315301</v>
      </c>
      <c r="AK163" s="13">
        <f t="shared" si="47"/>
        <v>1.1896307014071101</v>
      </c>
    </row>
    <row r="164" spans="1:37">
      <c r="A164" s="8">
        <f>鋼床鈑!A164</f>
        <v>162</v>
      </c>
      <c r="B164" s="43" t="s">
        <v>41</v>
      </c>
      <c r="C164" s="43" t="s">
        <v>42</v>
      </c>
      <c r="D164" s="43" t="s">
        <v>241</v>
      </c>
      <c r="E164" s="44">
        <v>420880</v>
      </c>
      <c r="F164" s="45">
        <v>121337.2001</v>
      </c>
      <c r="G164" s="45">
        <v>138788.35209999999</v>
      </c>
      <c r="H164" s="45">
        <v>744782060983.80298</v>
      </c>
      <c r="I164" s="45">
        <v>1174011157663.96</v>
      </c>
      <c r="J164" s="45">
        <v>961938886909.35303</v>
      </c>
      <c r="K164" s="45">
        <v>3249.9259000000002</v>
      </c>
      <c r="L164" s="45">
        <v>3200.0740999999998</v>
      </c>
      <c r="M164" s="45">
        <v>1625.6165000000001</v>
      </c>
      <c r="N164" s="45">
        <v>2477.3834999999999</v>
      </c>
      <c r="O164" s="44">
        <v>0</v>
      </c>
      <c r="P164" s="44">
        <v>0</v>
      </c>
      <c r="Q164" s="44">
        <v>27092</v>
      </c>
      <c r="R164" s="44">
        <v>20968</v>
      </c>
      <c r="S164" s="11">
        <f>(鋼床鈑!O164+鋼床鈑!W164+鋼床鈑!X164)*鋼床鈑!U164+(鋼床鈑!R164+鋼床鈑!W164+鋼床鈑!X164)*鋼床鈑!V164</f>
        <v>136224</v>
      </c>
      <c r="T164" s="11">
        <f>(鋼床鈑!T164)*鋼床鈑!W164+(鋼床鈑!T164)*鋼床鈑!X164</f>
        <v>154546</v>
      </c>
      <c r="U164" s="11">
        <f>4*((鋼床鈑!R164+鋼床鈑!W164/2+鋼床鈑!X164/2)*(鋼床鈑!T164+鋼床鈑!U164/2+鋼床鈑!V164/2))^2/((鋼床鈑!O164+鋼床鈑!W164/2+鋼床鈑!X164/2)/鋼床鈑!U164+(鋼床鈑!R164+鋼床鈑!W164/2+鋼床鈑!X164/2)/鋼床鈑!V164+(鋼床鈑!T164+鋼床鈑!U164/2+鋼床鈑!V164/2)/鋼床鈑!W164+(鋼床鈑!T164+鋼床鈑!U164/2+鋼床鈑!V164/2)/鋼床鈑!X164)</f>
        <v>765559187256.93372</v>
      </c>
      <c r="V164" s="12">
        <f t="shared" si="34"/>
        <v>0.30059894141493571</v>
      </c>
      <c r="W164" s="12">
        <f t="shared" si="35"/>
        <v>0.29598794449724314</v>
      </c>
      <c r="X164" s="12">
        <f t="shared" si="36"/>
        <v>0.72219441526581452</v>
      </c>
      <c r="Y164" s="12">
        <f t="shared" si="37"/>
        <v>0.47389157054770087</v>
      </c>
      <c r="Z164" s="12">
        <f t="shared" si="32"/>
        <v>1.5118008892048054</v>
      </c>
      <c r="AA164" s="12">
        <f t="shared" si="33"/>
        <v>1.6701557297803729</v>
      </c>
      <c r="AB164" s="10">
        <f t="shared" si="38"/>
        <v>4.1029999999999998</v>
      </c>
      <c r="AC164" s="10">
        <f t="shared" si="39"/>
        <v>6.45</v>
      </c>
      <c r="AD164" s="10">
        <f t="shared" si="40"/>
        <v>0.42087999999999998</v>
      </c>
      <c r="AE164" s="12">
        <f t="shared" si="41"/>
        <v>0.76555918725693373</v>
      </c>
      <c r="AF164" s="12">
        <f t="shared" si="42"/>
        <v>0.15454599999999999</v>
      </c>
      <c r="AG164" s="12">
        <f t="shared" si="43"/>
        <v>0.13622400000000001</v>
      </c>
      <c r="AH164" s="10">
        <f t="shared" si="44"/>
        <v>0.96193888690935303</v>
      </c>
      <c r="AI164" s="10">
        <f t="shared" si="45"/>
        <v>1.17401115766396</v>
      </c>
      <c r="AJ164" s="13">
        <f t="shared" si="46"/>
        <v>0.96193888690935303</v>
      </c>
      <c r="AK164" s="13">
        <f t="shared" si="47"/>
        <v>1.17401115766396</v>
      </c>
    </row>
    <row r="165" spans="1:37">
      <c r="A165" s="8">
        <f>鋼床鈑!A165</f>
        <v>163</v>
      </c>
      <c r="B165" s="43" t="s">
        <v>41</v>
      </c>
      <c r="C165" s="43" t="s">
        <v>42</v>
      </c>
      <c r="D165" s="43" t="s">
        <v>242</v>
      </c>
      <c r="E165" s="44">
        <v>420040</v>
      </c>
      <c r="F165" s="45">
        <v>121452.56819999999</v>
      </c>
      <c r="G165" s="45">
        <v>137951.10449999999</v>
      </c>
      <c r="H165" s="45">
        <v>739342045362.58606</v>
      </c>
      <c r="I165" s="45">
        <v>1160441695830.02</v>
      </c>
      <c r="J165" s="45">
        <v>960266744465.72205</v>
      </c>
      <c r="K165" s="45">
        <v>3249.8256999999999</v>
      </c>
      <c r="L165" s="45">
        <v>3200.1743000000001</v>
      </c>
      <c r="M165" s="45">
        <v>1616.5336</v>
      </c>
      <c r="N165" s="45">
        <v>2465.4663999999998</v>
      </c>
      <c r="O165" s="44">
        <v>0</v>
      </c>
      <c r="P165" s="44">
        <v>0</v>
      </c>
      <c r="Q165" s="44">
        <v>27050</v>
      </c>
      <c r="R165" s="44">
        <v>20926</v>
      </c>
      <c r="S165" s="11">
        <f>(鋼床鈑!O165+鋼床鈑!W165+鋼床鈑!X165)*鋼床鈑!U165+(鋼床鈑!R165+鋼床鈑!W165+鋼床鈑!X165)*鋼床鈑!V165</f>
        <v>136224</v>
      </c>
      <c r="T165" s="11">
        <f>(鋼床鈑!T165)*鋼床鈑!W165+(鋼床鈑!T165)*鋼床鈑!X165</f>
        <v>153748</v>
      </c>
      <c r="U165" s="11">
        <f>4*((鋼床鈑!R165+鋼床鈑!W165/2+鋼床鈑!X165/2)*(鋼床鈑!T165+鋼床鈑!U165/2+鋼床鈑!V165/2))^2/((鋼床鈑!O165+鋼床鈑!W165/2+鋼床鈑!X165/2)/鋼床鈑!U165+(鋼床鈑!R165+鋼床鈑!W165/2+鋼床鈑!X165/2)/鋼床鈑!V165+(鋼床鈑!T165+鋼床鈑!U165/2+鋼床鈑!V165/2)/鋼床鈑!W165+(鋼床鈑!T165+鋼床鈑!U165/2+鋼床鈑!V165/2)/鋼床鈑!X165)</f>
        <v>760137801123.56689</v>
      </c>
      <c r="V165" s="12">
        <f t="shared" si="34"/>
        <v>0.30006701337040359</v>
      </c>
      <c r="W165" s="12">
        <f t="shared" si="35"/>
        <v>0.29548253756062121</v>
      </c>
      <c r="X165" s="12">
        <f t="shared" si="36"/>
        <v>0.7178580734913399</v>
      </c>
      <c r="Y165" s="12">
        <f t="shared" si="37"/>
        <v>0.47067836569584565</v>
      </c>
      <c r="Z165" s="12">
        <f t="shared" si="32"/>
        <v>1.5119959208806872</v>
      </c>
      <c r="AA165" s="12">
        <f t="shared" si="33"/>
        <v>1.662135164478151</v>
      </c>
      <c r="AB165" s="10">
        <f t="shared" si="38"/>
        <v>4.0819999999999999</v>
      </c>
      <c r="AC165" s="10">
        <f t="shared" si="39"/>
        <v>6.45</v>
      </c>
      <c r="AD165" s="10">
        <f t="shared" si="40"/>
        <v>0.42004000000000002</v>
      </c>
      <c r="AE165" s="12">
        <f t="shared" si="41"/>
        <v>0.76013780112356688</v>
      </c>
      <c r="AF165" s="12">
        <f t="shared" si="42"/>
        <v>0.153748</v>
      </c>
      <c r="AG165" s="12">
        <f t="shared" si="43"/>
        <v>0.13622400000000001</v>
      </c>
      <c r="AH165" s="10">
        <f t="shared" si="44"/>
        <v>0.96026674446572202</v>
      </c>
      <c r="AI165" s="10">
        <f t="shared" si="45"/>
        <v>1.1604416958300201</v>
      </c>
      <c r="AJ165" s="13">
        <f t="shared" si="46"/>
        <v>0.96026674446572202</v>
      </c>
      <c r="AK165" s="13">
        <f t="shared" si="47"/>
        <v>1.1604416958300201</v>
      </c>
    </row>
    <row r="166" spans="1:37">
      <c r="A166" s="8">
        <f>鋼床鈑!A166</f>
        <v>164</v>
      </c>
      <c r="B166" s="43" t="s">
        <v>41</v>
      </c>
      <c r="C166" s="43" t="s">
        <v>42</v>
      </c>
      <c r="D166" s="43" t="s">
        <v>243</v>
      </c>
      <c r="E166" s="44">
        <v>419360</v>
      </c>
      <c r="F166" s="45">
        <v>121537.3821</v>
      </c>
      <c r="G166" s="45">
        <v>137272.83559999999</v>
      </c>
      <c r="H166" s="45">
        <v>734927297506.32397</v>
      </c>
      <c r="I166" s="45">
        <v>1149523498369.46</v>
      </c>
      <c r="J166" s="45">
        <v>958913099152.27405</v>
      </c>
      <c r="K166" s="45">
        <v>3249.7444</v>
      </c>
      <c r="L166" s="45">
        <v>3200.2556</v>
      </c>
      <c r="M166" s="45">
        <v>1609.1849</v>
      </c>
      <c r="N166" s="45">
        <v>2455.8150999999998</v>
      </c>
      <c r="O166" s="44">
        <v>0</v>
      </c>
      <c r="P166" s="44">
        <v>0</v>
      </c>
      <c r="Q166" s="44">
        <v>27016</v>
      </c>
      <c r="R166" s="44">
        <v>20892</v>
      </c>
      <c r="S166" s="11">
        <f>(鋼床鈑!O166+鋼床鈑!W166+鋼床鈑!X166)*鋼床鈑!U166+(鋼床鈑!R166+鋼床鈑!W166+鋼床鈑!X166)*鋼床鈑!V166</f>
        <v>136224</v>
      </c>
      <c r="T166" s="11">
        <f>(鋼床鈑!T166)*鋼床鈑!W166+(鋼床鈑!T166)*鋼床鈑!X166</f>
        <v>153102</v>
      </c>
      <c r="U166" s="11">
        <f>4*((鋼床鈑!R166+鋼床鈑!W166/2+鋼床鈑!X166/2)*(鋼床鈑!T166+鋼床鈑!U166/2+鋼床鈑!V166/2))^2/((鋼床鈑!O166+鋼床鈑!W166/2+鋼床鈑!X166/2)/鋼床鈑!U166+(鋼床鈑!R166+鋼床鈑!W166/2+鋼床鈑!X166/2)/鋼床鈑!V166+(鋼床鈑!T166+鋼床鈑!U166/2+鋼床鈑!V166/2)/鋼床鈑!W166+(鋼床鈑!T166+鋼床鈑!U166/2+鋼床鈑!V166/2)/鋼床鈑!X166)</f>
        <v>755753372329.36584</v>
      </c>
      <c r="V166" s="12">
        <f t="shared" si="34"/>
        <v>0.29963641002683478</v>
      </c>
      <c r="W166" s="12">
        <f t="shared" si="35"/>
        <v>0.29507339074183003</v>
      </c>
      <c r="X166" s="12">
        <f t="shared" si="36"/>
        <v>0.71435140757874371</v>
      </c>
      <c r="Y166" s="12">
        <f t="shared" si="37"/>
        <v>0.46808226660446062</v>
      </c>
      <c r="Z166" s="12">
        <f t="shared" si="32"/>
        <v>1.5121543525201886</v>
      </c>
      <c r="AA166" s="12">
        <f t="shared" si="33"/>
        <v>1.6556381495089885</v>
      </c>
      <c r="AB166" s="10">
        <f t="shared" si="38"/>
        <v>4.0650000000000004</v>
      </c>
      <c r="AC166" s="10">
        <f t="shared" si="39"/>
        <v>6.45</v>
      </c>
      <c r="AD166" s="10">
        <f t="shared" si="40"/>
        <v>0.41936000000000001</v>
      </c>
      <c r="AE166" s="12">
        <f t="shared" si="41"/>
        <v>0.75575337232936579</v>
      </c>
      <c r="AF166" s="12">
        <f t="shared" si="42"/>
        <v>0.15310199999999999</v>
      </c>
      <c r="AG166" s="12">
        <f t="shared" si="43"/>
        <v>0.13622400000000001</v>
      </c>
      <c r="AH166" s="10">
        <f t="shared" si="44"/>
        <v>0.95891309915227407</v>
      </c>
      <c r="AI166" s="10">
        <f t="shared" si="45"/>
        <v>1.14952349836946</v>
      </c>
      <c r="AJ166" s="13">
        <f t="shared" si="46"/>
        <v>0.95891309915227407</v>
      </c>
      <c r="AK166" s="13">
        <f t="shared" si="47"/>
        <v>1.14952349836946</v>
      </c>
    </row>
    <row r="167" spans="1:37">
      <c r="A167" s="8">
        <f>鋼床鈑!A167</f>
        <v>165</v>
      </c>
      <c r="B167" s="43" t="s">
        <v>41</v>
      </c>
      <c r="C167" s="43" t="s">
        <v>42</v>
      </c>
      <c r="D167" s="43" t="s">
        <v>244</v>
      </c>
      <c r="E167" s="44">
        <v>418840</v>
      </c>
      <c r="F167" s="45">
        <v>121601.2522</v>
      </c>
      <c r="G167" s="45">
        <v>136753.8535</v>
      </c>
      <c r="H167" s="45">
        <v>731551312482.86096</v>
      </c>
      <c r="I167" s="45">
        <v>1141214429034.9099</v>
      </c>
      <c r="J167" s="45">
        <v>957877954861.797</v>
      </c>
      <c r="K167" s="45">
        <v>3249.6819999999998</v>
      </c>
      <c r="L167" s="45">
        <v>3200.3180000000002</v>
      </c>
      <c r="M167" s="45">
        <v>1603.5679</v>
      </c>
      <c r="N167" s="45">
        <v>2448.4321</v>
      </c>
      <c r="O167" s="44">
        <v>0</v>
      </c>
      <c r="P167" s="44">
        <v>0</v>
      </c>
      <c r="Q167" s="44">
        <v>26990</v>
      </c>
      <c r="R167" s="44">
        <v>20866</v>
      </c>
      <c r="S167" s="11">
        <f>(鋼床鈑!O167+鋼床鈑!W167+鋼床鈑!X167)*鋼床鈑!U167+(鋼床鈑!R167+鋼床鈑!W167+鋼床鈑!X167)*鋼床鈑!V167</f>
        <v>136224</v>
      </c>
      <c r="T167" s="11">
        <f>(鋼床鈑!T167)*鋼床鈑!W167+(鋼床鈑!T167)*鋼床鈑!X167</f>
        <v>152608</v>
      </c>
      <c r="U167" s="11">
        <f>4*((鋼床鈑!R167+鋼床鈑!W167/2+鋼床鈑!X167/2)*(鋼床鈑!T167+鋼床鈑!U167/2+鋼床鈑!V167/2))^2/((鋼床鈑!O167+鋼床鈑!W167/2+鋼床鈑!X167/2)/鋼床鈑!U167+(鋼床鈑!R167+鋼床鈑!W167/2+鋼床鈑!X167/2)/鋼床鈑!V167+(鋼床鈑!T167+鋼床鈑!U167/2+鋼床鈑!V167/2)/鋼床鈑!W167+(鋼床鈑!T167+鋼床鈑!U167/2+鋼床鈑!V167/2)/鋼床鈑!X167)</f>
        <v>752403197546.6333</v>
      </c>
      <c r="V167" s="12">
        <f t="shared" si="34"/>
        <v>0.29930711724953485</v>
      </c>
      <c r="W167" s="12">
        <f t="shared" si="35"/>
        <v>0.29476051960216321</v>
      </c>
      <c r="X167" s="12">
        <f t="shared" si="36"/>
        <v>0.71167203399052203</v>
      </c>
      <c r="Y167" s="12">
        <f t="shared" si="37"/>
        <v>0.46610009280425219</v>
      </c>
      <c r="Z167" s="12">
        <f t="shared" si="32"/>
        <v>1.5122758390279532</v>
      </c>
      <c r="AA167" s="12">
        <f t="shared" si="33"/>
        <v>1.6506673138525454</v>
      </c>
      <c r="AB167" s="10">
        <f t="shared" si="38"/>
        <v>4.0519999999999996</v>
      </c>
      <c r="AC167" s="10">
        <f t="shared" si="39"/>
        <v>6.45</v>
      </c>
      <c r="AD167" s="10">
        <f t="shared" si="40"/>
        <v>0.41883999999999999</v>
      </c>
      <c r="AE167" s="12">
        <f t="shared" si="41"/>
        <v>0.75240319754663332</v>
      </c>
      <c r="AF167" s="12">
        <f t="shared" si="42"/>
        <v>0.15260799999999999</v>
      </c>
      <c r="AG167" s="12">
        <f t="shared" si="43"/>
        <v>0.13622400000000001</v>
      </c>
      <c r="AH167" s="10">
        <f t="shared" si="44"/>
        <v>0.95787795486179694</v>
      </c>
      <c r="AI167" s="10">
        <f t="shared" si="45"/>
        <v>1.14121442903491</v>
      </c>
      <c r="AJ167" s="13">
        <f t="shared" si="46"/>
        <v>0.95787795486179694</v>
      </c>
      <c r="AK167" s="13">
        <f t="shared" si="47"/>
        <v>1.14121442903491</v>
      </c>
    </row>
    <row r="168" spans="1:37">
      <c r="A168" s="8">
        <f>鋼床鈑!A168</f>
        <v>166</v>
      </c>
      <c r="B168" s="43" t="s">
        <v>41</v>
      </c>
      <c r="C168" s="43" t="s">
        <v>42</v>
      </c>
      <c r="D168" s="43" t="s">
        <v>245</v>
      </c>
      <c r="E168" s="44">
        <v>418480</v>
      </c>
      <c r="F168" s="45">
        <v>121646.23020000001</v>
      </c>
      <c r="G168" s="45">
        <v>136394.22010000001</v>
      </c>
      <c r="H168" s="45">
        <v>729215379955.453</v>
      </c>
      <c r="I168" s="45">
        <v>1135482348272.01</v>
      </c>
      <c r="J168" s="45">
        <v>957161314592.51404</v>
      </c>
      <c r="K168" s="45">
        <v>3249.6387</v>
      </c>
      <c r="L168" s="45">
        <v>3200.3613</v>
      </c>
      <c r="M168" s="45">
        <v>1599.6804</v>
      </c>
      <c r="N168" s="45">
        <v>2443.3195999999998</v>
      </c>
      <c r="O168" s="44">
        <v>0</v>
      </c>
      <c r="P168" s="44">
        <v>0</v>
      </c>
      <c r="Q168" s="44">
        <v>26972</v>
      </c>
      <c r="R168" s="44">
        <v>20848</v>
      </c>
      <c r="S168" s="11">
        <f>(鋼床鈑!O168+鋼床鈑!W168+鋼床鈑!X168)*鋼床鈑!U168+(鋼床鈑!R168+鋼床鈑!W168+鋼床鈑!X168)*鋼床鈑!V168</f>
        <v>136224</v>
      </c>
      <c r="T168" s="11">
        <f>(鋼床鈑!T168)*鋼床鈑!W168+(鋼床鈑!T168)*鋼床鈑!X168</f>
        <v>152266</v>
      </c>
      <c r="U168" s="11">
        <f>4*((鋼床鈑!R168+鋼床鈑!W168/2+鋼床鈑!X168/2)*(鋼床鈑!T168+鋼床鈑!U168/2+鋼床鈑!V168/2))^2/((鋼床鈑!O168+鋼床鈑!W168/2+鋼床鈑!X168/2)/鋼床鈑!U168+(鋼床鈑!R168+鋼床鈑!W168/2+鋼床鈑!X168/2)/鋼床鈑!V168+(鋼床鈑!T168+鋼床鈑!U168/2+鋼床鈑!V168/2)/鋼床鈑!W168+(鋼床鈑!T168+鋼床鈑!U168/2+鋼床鈑!V168/2)/鋼床鈑!X168)</f>
        <v>750085185751.11169</v>
      </c>
      <c r="V168" s="12">
        <f t="shared" si="34"/>
        <v>0.29907914290568194</v>
      </c>
      <c r="W168" s="12">
        <f t="shared" si="35"/>
        <v>0.29454391794155887</v>
      </c>
      <c r="X168" s="12">
        <f t="shared" si="36"/>
        <v>0.709818253866216</v>
      </c>
      <c r="Y168" s="12">
        <f t="shared" si="37"/>
        <v>0.46472935766242374</v>
      </c>
      <c r="Z168" s="12">
        <f t="shared" si="32"/>
        <v>1.5123601146879766</v>
      </c>
      <c r="AA168" s="12">
        <f t="shared" si="33"/>
        <v>1.6472246781765474</v>
      </c>
      <c r="AB168" s="10">
        <f t="shared" si="38"/>
        <v>4.0430000000000001</v>
      </c>
      <c r="AC168" s="10">
        <f t="shared" si="39"/>
        <v>6.45</v>
      </c>
      <c r="AD168" s="10">
        <f t="shared" si="40"/>
        <v>0.41848000000000002</v>
      </c>
      <c r="AE168" s="12">
        <f t="shared" si="41"/>
        <v>0.75008518575111172</v>
      </c>
      <c r="AF168" s="12">
        <f t="shared" si="42"/>
        <v>0.15226600000000001</v>
      </c>
      <c r="AG168" s="12">
        <f t="shared" si="43"/>
        <v>0.13622400000000001</v>
      </c>
      <c r="AH168" s="10">
        <f t="shared" si="44"/>
        <v>0.95716131459251408</v>
      </c>
      <c r="AI168" s="10">
        <f t="shared" si="45"/>
        <v>1.13548234827201</v>
      </c>
      <c r="AJ168" s="13">
        <f t="shared" si="46"/>
        <v>0.95716131459251408</v>
      </c>
      <c r="AK168" s="13">
        <f t="shared" si="47"/>
        <v>1.13548234827201</v>
      </c>
    </row>
    <row r="169" spans="1:37">
      <c r="A169" s="8">
        <f>鋼床鈑!A169</f>
        <v>167</v>
      </c>
      <c r="B169" s="43" t="s">
        <v>41</v>
      </c>
      <c r="C169" s="43" t="s">
        <v>42</v>
      </c>
      <c r="D169" s="43" t="s">
        <v>246</v>
      </c>
      <c r="E169" s="44">
        <v>418280</v>
      </c>
      <c r="F169" s="45">
        <v>121670.73330000001</v>
      </c>
      <c r="G169" s="45">
        <v>136195.32860000001</v>
      </c>
      <c r="H169" s="45">
        <v>727922338441.48999</v>
      </c>
      <c r="I169" s="45">
        <v>1132305047408.99</v>
      </c>
      <c r="J169" s="45">
        <v>956763180431.04602</v>
      </c>
      <c r="K169" s="45">
        <v>3249.6145999999999</v>
      </c>
      <c r="L169" s="45">
        <v>3200.3854000000001</v>
      </c>
      <c r="M169" s="45">
        <v>1597.5211999999999</v>
      </c>
      <c r="N169" s="45">
        <v>2440.4787999999999</v>
      </c>
      <c r="O169" s="44">
        <v>0</v>
      </c>
      <c r="P169" s="44">
        <v>0</v>
      </c>
      <c r="Q169" s="44">
        <v>26962</v>
      </c>
      <c r="R169" s="44">
        <v>20838</v>
      </c>
      <c r="S169" s="11">
        <f>(鋼床鈑!O169+鋼床鈑!W169+鋼床鈑!X169)*鋼床鈑!U169+(鋼床鈑!R169+鋼床鈑!W169+鋼床鈑!X169)*鋼床鈑!V169</f>
        <v>136224</v>
      </c>
      <c r="T169" s="11">
        <f>(鋼床鈑!T169)*鋼床鈑!W169+(鋼床鈑!T169)*鋼床鈑!X169</f>
        <v>152076</v>
      </c>
      <c r="U169" s="11">
        <f>4*((鋼床鈑!R169+鋼床鈑!W169/2+鋼床鈑!X169/2)*(鋼床鈑!T169+鋼床鈑!U169/2+鋼床鈑!V169/2))^2/((鋼床鈑!O169+鋼床鈑!W169/2+鋼床鈑!X169/2)/鋼床鈑!U169+(鋼床鈑!R169+鋼床鈑!W169/2+鋼床鈑!X169/2)/鋼床鈑!V169+(鋼床鈑!T169+鋼床鈑!U169/2+鋼床鈑!V169/2)/鋼床鈑!W169+(鋼床鈑!T169+鋼床鈑!U169/2+鋼床鈑!V169/2)/鋼床鈑!X169)</f>
        <v>748797877106.31689</v>
      </c>
      <c r="V169" s="12">
        <f t="shared" si="34"/>
        <v>0.29895248879433273</v>
      </c>
      <c r="W169" s="12">
        <f t="shared" si="35"/>
        <v>0.29442358500944887</v>
      </c>
      <c r="X169" s="12">
        <f t="shared" si="36"/>
        <v>0.70878874559473137</v>
      </c>
      <c r="Y169" s="12">
        <f t="shared" si="37"/>
        <v>0.46396840136820289</v>
      </c>
      <c r="Z169" s="12">
        <f t="shared" si="32"/>
        <v>1.5124069946130618</v>
      </c>
      <c r="AA169" s="12">
        <f t="shared" si="33"/>
        <v>1.6453116466421602</v>
      </c>
      <c r="AB169" s="10">
        <f t="shared" si="38"/>
        <v>4.0380000000000003</v>
      </c>
      <c r="AC169" s="10">
        <f t="shared" si="39"/>
        <v>6.45</v>
      </c>
      <c r="AD169" s="10">
        <f t="shared" si="40"/>
        <v>0.41827999999999999</v>
      </c>
      <c r="AE169" s="12">
        <f t="shared" si="41"/>
        <v>0.74879787710631684</v>
      </c>
      <c r="AF169" s="12">
        <f t="shared" si="42"/>
        <v>0.15207599999999999</v>
      </c>
      <c r="AG169" s="12">
        <f t="shared" si="43"/>
        <v>0.13622400000000001</v>
      </c>
      <c r="AH169" s="10">
        <f t="shared" si="44"/>
        <v>0.95676318043104602</v>
      </c>
      <c r="AI169" s="10">
        <f t="shared" si="45"/>
        <v>1.13230504740899</v>
      </c>
      <c r="AJ169" s="13">
        <f t="shared" si="46"/>
        <v>0.95676318043104602</v>
      </c>
      <c r="AK169" s="13">
        <f t="shared" si="47"/>
        <v>1.13230504740899</v>
      </c>
    </row>
    <row r="170" spans="1:37">
      <c r="A170" s="8">
        <f>鋼床鈑!A170</f>
        <v>168</v>
      </c>
      <c r="B170" s="43" t="s">
        <v>41</v>
      </c>
      <c r="C170" s="43" t="s">
        <v>42</v>
      </c>
      <c r="D170" s="43" t="s">
        <v>247</v>
      </c>
      <c r="E170" s="44">
        <v>418200</v>
      </c>
      <c r="F170" s="45">
        <v>121680.8575</v>
      </c>
      <c r="G170" s="45">
        <v>136115.51930000001</v>
      </c>
      <c r="H170" s="45">
        <v>727404217233.58801</v>
      </c>
      <c r="I170" s="45">
        <v>1131035563965.47</v>
      </c>
      <c r="J170" s="45">
        <v>956603926630.54297</v>
      </c>
      <c r="K170" s="45">
        <v>3249.605</v>
      </c>
      <c r="L170" s="45">
        <v>3200.395</v>
      </c>
      <c r="M170" s="45">
        <v>1596.6576</v>
      </c>
      <c r="N170" s="45">
        <v>2439.3424</v>
      </c>
      <c r="O170" s="44">
        <v>0</v>
      </c>
      <c r="P170" s="44">
        <v>0</v>
      </c>
      <c r="Q170" s="44">
        <v>26958</v>
      </c>
      <c r="R170" s="44">
        <v>20834</v>
      </c>
      <c r="S170" s="11">
        <f>(鋼床鈑!O170+鋼床鈑!W170+鋼床鈑!X170)*鋼床鈑!U170+(鋼床鈑!R170+鋼床鈑!W170+鋼床鈑!X170)*鋼床鈑!V170</f>
        <v>136224</v>
      </c>
      <c r="T170" s="11">
        <f>(鋼床鈑!T170)*鋼床鈑!W170+(鋼床鈑!T170)*鋼床鈑!X170</f>
        <v>152000</v>
      </c>
      <c r="U170" s="11">
        <f>4*((鋼床鈑!R170+鋼床鈑!W170/2+鋼床鈑!X170/2)*(鋼床鈑!T170+鋼床鈑!U170/2+鋼床鈑!V170/2))^2/((鋼床鈑!O170+鋼床鈑!W170/2+鋼床鈑!X170/2)/鋼床鈑!U170+(鋼床鈑!R170+鋼床鈑!W170/2+鋼床鈑!X170/2)/鋼床鈑!V170+(鋼床鈑!T170+鋼床鈑!U170/2+鋼床鈑!V170/2)/鋼床鈑!W170+(鋼床鈑!T170+鋼床鈑!U170/2+鋼床鈑!V170/2)/鋼床鈑!X170)</f>
        <v>748283049018.55042</v>
      </c>
      <c r="V170" s="12">
        <f t="shared" si="34"/>
        <v>0.29890183137723403</v>
      </c>
      <c r="W170" s="12">
        <f t="shared" si="35"/>
        <v>0.29437544767149948</v>
      </c>
      <c r="X170" s="12">
        <f t="shared" si="36"/>
        <v>0.70837702708800554</v>
      </c>
      <c r="Y170" s="12">
        <f t="shared" si="37"/>
        <v>0.46366412684232844</v>
      </c>
      <c r="Z170" s="12">
        <f t="shared" si="32"/>
        <v>1.5124257586235506</v>
      </c>
      <c r="AA170" s="12">
        <f t="shared" si="33"/>
        <v>1.6445463426974198</v>
      </c>
      <c r="AB170" s="10">
        <f t="shared" si="38"/>
        <v>4.0359999999999996</v>
      </c>
      <c r="AC170" s="10">
        <f t="shared" si="39"/>
        <v>6.45</v>
      </c>
      <c r="AD170" s="10">
        <f t="shared" si="40"/>
        <v>0.41820000000000002</v>
      </c>
      <c r="AE170" s="12">
        <f t="shared" si="41"/>
        <v>0.74828304901855036</v>
      </c>
      <c r="AF170" s="12">
        <f t="shared" si="42"/>
        <v>0.152</v>
      </c>
      <c r="AG170" s="12">
        <f t="shared" si="43"/>
        <v>0.13622400000000001</v>
      </c>
      <c r="AH170" s="10">
        <f t="shared" si="44"/>
        <v>0.95660392663054294</v>
      </c>
      <c r="AI170" s="10">
        <f t="shared" si="45"/>
        <v>1.1310355639654699</v>
      </c>
      <c r="AJ170" s="13">
        <f t="shared" si="46"/>
        <v>0.95660392663054294</v>
      </c>
      <c r="AK170" s="13">
        <f t="shared" si="47"/>
        <v>1.1310355639654699</v>
      </c>
    </row>
    <row r="171" spans="1:37">
      <c r="A171" s="8">
        <f>鋼床鈑!A171</f>
        <v>169</v>
      </c>
      <c r="B171" s="43" t="s">
        <v>41</v>
      </c>
      <c r="C171" s="43" t="s">
        <v>42</v>
      </c>
      <c r="D171" s="43" t="s">
        <v>248</v>
      </c>
      <c r="E171" s="44">
        <v>418200</v>
      </c>
      <c r="F171" s="45">
        <v>121680.8575</v>
      </c>
      <c r="G171" s="45">
        <v>136115.51930000001</v>
      </c>
      <c r="H171" s="45">
        <v>727404217233.58801</v>
      </c>
      <c r="I171" s="45">
        <v>1131035563965.47</v>
      </c>
      <c r="J171" s="45">
        <v>956603926630.54297</v>
      </c>
      <c r="K171" s="45">
        <v>3249.605</v>
      </c>
      <c r="L171" s="45">
        <v>3200.395</v>
      </c>
      <c r="M171" s="45">
        <v>1596.6576</v>
      </c>
      <c r="N171" s="45">
        <v>2439.3424</v>
      </c>
      <c r="O171" s="44">
        <v>0</v>
      </c>
      <c r="P171" s="44">
        <v>0</v>
      </c>
      <c r="Q171" s="44">
        <v>26958</v>
      </c>
      <c r="R171" s="44">
        <v>20834</v>
      </c>
      <c r="S171" s="11">
        <f>(鋼床鈑!O171+鋼床鈑!W171+鋼床鈑!X171)*鋼床鈑!U171+(鋼床鈑!R171+鋼床鈑!W171+鋼床鈑!X171)*鋼床鈑!V171</f>
        <v>136224</v>
      </c>
      <c r="T171" s="11">
        <f>(鋼床鈑!T171)*鋼床鈑!W171+(鋼床鈑!T171)*鋼床鈑!X171</f>
        <v>152000</v>
      </c>
      <c r="U171" s="11">
        <f>4*((鋼床鈑!R171+鋼床鈑!W171/2+鋼床鈑!X171/2)*(鋼床鈑!T171+鋼床鈑!U171/2+鋼床鈑!V171/2))^2/((鋼床鈑!O171+鋼床鈑!W171/2+鋼床鈑!X171/2)/鋼床鈑!U171+(鋼床鈑!R171+鋼床鈑!W171/2+鋼床鈑!X171/2)/鋼床鈑!V171+(鋼床鈑!T171+鋼床鈑!U171/2+鋼床鈑!V171/2)/鋼床鈑!W171+(鋼床鈑!T171+鋼床鈑!U171/2+鋼床鈑!V171/2)/鋼床鈑!X171)</f>
        <v>748283049018.55042</v>
      </c>
      <c r="V171" s="12">
        <f t="shared" si="34"/>
        <v>0.29890183137723403</v>
      </c>
      <c r="W171" s="12">
        <f t="shared" si="35"/>
        <v>0.29437544767149948</v>
      </c>
      <c r="X171" s="12">
        <f t="shared" si="36"/>
        <v>0.70837702708800554</v>
      </c>
      <c r="Y171" s="12">
        <f t="shared" si="37"/>
        <v>0.46366412684232844</v>
      </c>
      <c r="Z171" s="12">
        <f t="shared" si="32"/>
        <v>1.5124257586235506</v>
      </c>
      <c r="AA171" s="12">
        <f t="shared" si="33"/>
        <v>1.6445463426974198</v>
      </c>
      <c r="AB171" s="10">
        <f t="shared" si="38"/>
        <v>4.0359999999999996</v>
      </c>
      <c r="AC171" s="10">
        <f t="shared" si="39"/>
        <v>6.45</v>
      </c>
      <c r="AD171" s="10">
        <f t="shared" si="40"/>
        <v>0.41820000000000002</v>
      </c>
      <c r="AE171" s="12">
        <f t="shared" si="41"/>
        <v>0.74828304901855036</v>
      </c>
      <c r="AF171" s="12">
        <f t="shared" si="42"/>
        <v>0.152</v>
      </c>
      <c r="AG171" s="12">
        <f t="shared" si="43"/>
        <v>0.13622400000000001</v>
      </c>
      <c r="AH171" s="10">
        <f t="shared" si="44"/>
        <v>0.95660392663054294</v>
      </c>
      <c r="AI171" s="10">
        <f t="shared" si="45"/>
        <v>1.1310355639654699</v>
      </c>
      <c r="AJ171" s="13">
        <f t="shared" si="46"/>
        <v>0.95660392663054294</v>
      </c>
      <c r="AK171" s="13">
        <f t="shared" si="47"/>
        <v>1.1310355639654699</v>
      </c>
    </row>
    <row r="172" spans="1:37">
      <c r="A172" s="8">
        <f>鋼床鈑!A172</f>
        <v>170</v>
      </c>
      <c r="B172" s="43" t="s">
        <v>41</v>
      </c>
      <c r="C172" s="43" t="s">
        <v>42</v>
      </c>
      <c r="D172" s="43" t="s">
        <v>249</v>
      </c>
      <c r="E172" s="44">
        <v>418200</v>
      </c>
      <c r="F172" s="45">
        <v>121680.8575</v>
      </c>
      <c r="G172" s="45">
        <v>136115.51930000001</v>
      </c>
      <c r="H172" s="45">
        <v>727404217233.58801</v>
      </c>
      <c r="I172" s="45">
        <v>1131035563965.47</v>
      </c>
      <c r="J172" s="45">
        <v>956603926630.54297</v>
      </c>
      <c r="K172" s="45">
        <v>3249.605</v>
      </c>
      <c r="L172" s="45">
        <v>3200.395</v>
      </c>
      <c r="M172" s="45">
        <v>1596.6576</v>
      </c>
      <c r="N172" s="45">
        <v>2439.3424</v>
      </c>
      <c r="O172" s="44">
        <v>0</v>
      </c>
      <c r="P172" s="44">
        <v>0</v>
      </c>
      <c r="Q172" s="44">
        <v>26958</v>
      </c>
      <c r="R172" s="44">
        <v>20834</v>
      </c>
      <c r="S172" s="11">
        <f>(鋼床鈑!O172+鋼床鈑!W172+鋼床鈑!X172)*鋼床鈑!U172+(鋼床鈑!R172+鋼床鈑!W172+鋼床鈑!X172)*鋼床鈑!V172</f>
        <v>158928</v>
      </c>
      <c r="T172" s="11">
        <f>(鋼床鈑!T172)*鋼床鈑!W172+(鋼床鈑!T172)*鋼床鈑!X172</f>
        <v>152000</v>
      </c>
      <c r="U172" s="11">
        <f>4*((鋼床鈑!R172+鋼床鈑!W172/2+鋼床鈑!X172/2)*(鋼床鈑!T172+鋼床鈑!U172/2+鋼床鈑!V172/2))^2/((鋼床鈑!O172+鋼床鈑!W172/2+鋼床鈑!X172/2)/鋼床鈑!U172+(鋼床鈑!R172+鋼床鈑!W172/2+鋼床鈑!X172/2)/鋼床鈑!V172+(鋼床鈑!T172+鋼床鈑!U172/2+鋼床鈑!V172/2)/鋼床鈑!W172+(鋼床鈑!T172+鋼床鈑!U172/2+鋼床鈑!V172/2)/鋼床鈑!X172)</f>
        <v>768997704357.25269</v>
      </c>
      <c r="V172" s="12">
        <f t="shared" si="34"/>
        <v>0.29890183137723403</v>
      </c>
      <c r="W172" s="12">
        <f t="shared" si="35"/>
        <v>0.29437544767149948</v>
      </c>
      <c r="X172" s="12">
        <f t="shared" si="36"/>
        <v>0.70837702708800554</v>
      </c>
      <c r="Y172" s="12">
        <f t="shared" si="37"/>
        <v>0.46366412684232844</v>
      </c>
      <c r="Z172" s="12">
        <f t="shared" si="32"/>
        <v>1.5124257586235506</v>
      </c>
      <c r="AA172" s="12">
        <f t="shared" si="33"/>
        <v>1.6445463426974198</v>
      </c>
      <c r="AB172" s="10">
        <f t="shared" si="38"/>
        <v>4.0359999999999996</v>
      </c>
      <c r="AC172" s="10">
        <f t="shared" si="39"/>
        <v>6.45</v>
      </c>
      <c r="AD172" s="10">
        <f t="shared" si="40"/>
        <v>0.41820000000000002</v>
      </c>
      <c r="AE172" s="12">
        <f t="shared" si="41"/>
        <v>0.76899770435725268</v>
      </c>
      <c r="AF172" s="12">
        <f t="shared" si="42"/>
        <v>0.152</v>
      </c>
      <c r="AG172" s="12">
        <f t="shared" si="43"/>
        <v>0.15892800000000001</v>
      </c>
      <c r="AH172" s="10">
        <f t="shared" si="44"/>
        <v>0.95660392663054294</v>
      </c>
      <c r="AI172" s="10">
        <f t="shared" si="45"/>
        <v>1.1310355639654699</v>
      </c>
      <c r="AJ172" s="13">
        <f t="shared" si="46"/>
        <v>0.95660392663054294</v>
      </c>
      <c r="AK172" s="13">
        <f t="shared" si="47"/>
        <v>1.1310355639654699</v>
      </c>
    </row>
    <row r="173" spans="1:37">
      <c r="A173" s="8">
        <f>鋼床鈑!A173</f>
        <v>171</v>
      </c>
      <c r="B173" s="43" t="s">
        <v>41</v>
      </c>
      <c r="C173" s="43" t="s">
        <v>42</v>
      </c>
      <c r="D173" s="43" t="s">
        <v>250</v>
      </c>
      <c r="E173" s="44">
        <v>418200</v>
      </c>
      <c r="F173" s="45">
        <v>121680.8575</v>
      </c>
      <c r="G173" s="45">
        <v>136115.51930000001</v>
      </c>
      <c r="H173" s="45">
        <v>727404217233.58801</v>
      </c>
      <c r="I173" s="45">
        <v>1131035563965.47</v>
      </c>
      <c r="J173" s="45">
        <v>956603926630.54297</v>
      </c>
      <c r="K173" s="45">
        <v>3249.605</v>
      </c>
      <c r="L173" s="45">
        <v>3200.395</v>
      </c>
      <c r="M173" s="45">
        <v>1596.6576</v>
      </c>
      <c r="N173" s="45">
        <v>2439.3424</v>
      </c>
      <c r="O173" s="44">
        <v>0</v>
      </c>
      <c r="P173" s="44">
        <v>0</v>
      </c>
      <c r="Q173" s="44">
        <v>26958</v>
      </c>
      <c r="R173" s="44">
        <v>20834</v>
      </c>
      <c r="S173" s="11">
        <f>(鋼床鈑!O173+鋼床鈑!W173+鋼床鈑!X173)*鋼床鈑!U173+(鋼床鈑!R173+鋼床鈑!W173+鋼床鈑!X173)*鋼床鈑!V173</f>
        <v>158928</v>
      </c>
      <c r="T173" s="11">
        <f>(鋼床鈑!T173)*鋼床鈑!W173+(鋼床鈑!T173)*鋼床鈑!X173</f>
        <v>152000</v>
      </c>
      <c r="U173" s="11">
        <f>4*((鋼床鈑!R173+鋼床鈑!W173/2+鋼床鈑!X173/2)*(鋼床鈑!T173+鋼床鈑!U173/2+鋼床鈑!V173/2))^2/((鋼床鈑!O173+鋼床鈑!W173/2+鋼床鈑!X173/2)/鋼床鈑!U173+(鋼床鈑!R173+鋼床鈑!W173/2+鋼床鈑!X173/2)/鋼床鈑!V173+(鋼床鈑!T173+鋼床鈑!U173/2+鋼床鈑!V173/2)/鋼床鈑!W173+(鋼床鈑!T173+鋼床鈑!U173/2+鋼床鈑!V173/2)/鋼床鈑!X173)</f>
        <v>768997704357.25269</v>
      </c>
      <c r="V173" s="12">
        <f t="shared" si="34"/>
        <v>0.29890183137723403</v>
      </c>
      <c r="W173" s="12">
        <f t="shared" si="35"/>
        <v>0.29437544767149948</v>
      </c>
      <c r="X173" s="12">
        <f t="shared" si="36"/>
        <v>0.70837702708800554</v>
      </c>
      <c r="Y173" s="12">
        <f t="shared" si="37"/>
        <v>0.46366412684232844</v>
      </c>
      <c r="Z173" s="12">
        <f t="shared" si="32"/>
        <v>1.5124257586235506</v>
      </c>
      <c r="AA173" s="12">
        <f t="shared" si="33"/>
        <v>1.6445463426974198</v>
      </c>
      <c r="AB173" s="10">
        <f t="shared" si="38"/>
        <v>4.0359999999999996</v>
      </c>
      <c r="AC173" s="10">
        <f t="shared" si="39"/>
        <v>6.45</v>
      </c>
      <c r="AD173" s="10">
        <f t="shared" si="40"/>
        <v>0.41820000000000002</v>
      </c>
      <c r="AE173" s="12">
        <f t="shared" si="41"/>
        <v>0.76899770435725268</v>
      </c>
      <c r="AF173" s="12">
        <f t="shared" si="42"/>
        <v>0.152</v>
      </c>
      <c r="AG173" s="12">
        <f t="shared" si="43"/>
        <v>0.15892800000000001</v>
      </c>
      <c r="AH173" s="10">
        <f t="shared" si="44"/>
        <v>0.95660392663054294</v>
      </c>
      <c r="AI173" s="10">
        <f t="shared" si="45"/>
        <v>1.1310355639654699</v>
      </c>
      <c r="AJ173" s="13">
        <f t="shared" si="46"/>
        <v>0.95660392663054294</v>
      </c>
      <c r="AK173" s="13">
        <f t="shared" si="47"/>
        <v>1.1310355639654699</v>
      </c>
    </row>
    <row r="174" spans="1:37">
      <c r="A174" s="8">
        <f>鋼床鈑!A174</f>
        <v>172</v>
      </c>
      <c r="B174" s="43" t="s">
        <v>41</v>
      </c>
      <c r="C174" s="43" t="s">
        <v>42</v>
      </c>
      <c r="D174" s="43" t="s">
        <v>251</v>
      </c>
      <c r="E174" s="44">
        <v>418200</v>
      </c>
      <c r="F174" s="45">
        <v>121680.8575</v>
      </c>
      <c r="G174" s="45">
        <v>136115.51930000001</v>
      </c>
      <c r="H174" s="45">
        <v>727404217233.58801</v>
      </c>
      <c r="I174" s="45">
        <v>1131035563965.47</v>
      </c>
      <c r="J174" s="45">
        <v>956603926630.54297</v>
      </c>
      <c r="K174" s="45">
        <v>3249.605</v>
      </c>
      <c r="L174" s="45">
        <v>3200.395</v>
      </c>
      <c r="M174" s="45">
        <v>1596.6576</v>
      </c>
      <c r="N174" s="45">
        <v>2439.3424</v>
      </c>
      <c r="O174" s="44">
        <v>0</v>
      </c>
      <c r="P174" s="44">
        <v>0</v>
      </c>
      <c r="Q174" s="44">
        <v>26958</v>
      </c>
      <c r="R174" s="44">
        <v>20834</v>
      </c>
      <c r="S174" s="11">
        <f>(鋼床鈑!O174+鋼床鈑!W174+鋼床鈑!X174)*鋼床鈑!U174+(鋼床鈑!R174+鋼床鈑!W174+鋼床鈑!X174)*鋼床鈑!V174</f>
        <v>158928</v>
      </c>
      <c r="T174" s="11">
        <f>(鋼床鈑!T174)*鋼床鈑!W174+(鋼床鈑!T174)*鋼床鈑!X174</f>
        <v>152000</v>
      </c>
      <c r="U174" s="11">
        <f>4*((鋼床鈑!R174+鋼床鈑!W174/2+鋼床鈑!X174/2)*(鋼床鈑!T174+鋼床鈑!U174/2+鋼床鈑!V174/2))^2/((鋼床鈑!O174+鋼床鈑!W174/2+鋼床鈑!X174/2)/鋼床鈑!U174+(鋼床鈑!R174+鋼床鈑!W174/2+鋼床鈑!X174/2)/鋼床鈑!V174+(鋼床鈑!T174+鋼床鈑!U174/2+鋼床鈑!V174/2)/鋼床鈑!W174+(鋼床鈑!T174+鋼床鈑!U174/2+鋼床鈑!V174/2)/鋼床鈑!X174)</f>
        <v>768997704357.25269</v>
      </c>
      <c r="V174" s="12">
        <f t="shared" si="34"/>
        <v>0.29890183137723403</v>
      </c>
      <c r="W174" s="12">
        <f t="shared" si="35"/>
        <v>0.29437544767149948</v>
      </c>
      <c r="X174" s="12">
        <f t="shared" si="36"/>
        <v>0.70837702708800554</v>
      </c>
      <c r="Y174" s="12">
        <f t="shared" si="37"/>
        <v>0.46366412684232844</v>
      </c>
      <c r="Z174" s="12">
        <f t="shared" si="32"/>
        <v>1.5124257586235506</v>
      </c>
      <c r="AA174" s="12">
        <f t="shared" si="33"/>
        <v>1.6445463426974198</v>
      </c>
      <c r="AB174" s="10">
        <f t="shared" si="38"/>
        <v>4.0359999999999996</v>
      </c>
      <c r="AC174" s="10">
        <f t="shared" si="39"/>
        <v>6.45</v>
      </c>
      <c r="AD174" s="10">
        <f t="shared" si="40"/>
        <v>0.41820000000000002</v>
      </c>
      <c r="AE174" s="12">
        <f t="shared" si="41"/>
        <v>0.76899770435725268</v>
      </c>
      <c r="AF174" s="12">
        <f t="shared" si="42"/>
        <v>0.152</v>
      </c>
      <c r="AG174" s="12">
        <f t="shared" si="43"/>
        <v>0.15892800000000001</v>
      </c>
      <c r="AH174" s="10">
        <f t="shared" si="44"/>
        <v>0.95660392663054294</v>
      </c>
      <c r="AI174" s="10">
        <f t="shared" si="45"/>
        <v>1.1310355639654699</v>
      </c>
      <c r="AJ174" s="13">
        <f t="shared" si="46"/>
        <v>0.95660392663054294</v>
      </c>
      <c r="AK174" s="13">
        <f t="shared" si="47"/>
        <v>1.1310355639654699</v>
      </c>
    </row>
    <row r="175" spans="1:37">
      <c r="A175" s="8">
        <f>鋼床鈑!A175</f>
        <v>173</v>
      </c>
      <c r="B175" s="43" t="s">
        <v>41</v>
      </c>
      <c r="C175" s="43" t="s">
        <v>42</v>
      </c>
      <c r="D175" s="43" t="s">
        <v>252</v>
      </c>
      <c r="E175" s="44">
        <v>418200</v>
      </c>
      <c r="F175" s="45">
        <v>121680.8575</v>
      </c>
      <c r="G175" s="45">
        <v>136115.51930000001</v>
      </c>
      <c r="H175" s="45">
        <v>727404217233.58801</v>
      </c>
      <c r="I175" s="45">
        <v>1131035563965.47</v>
      </c>
      <c r="J175" s="45">
        <v>956603926630.54297</v>
      </c>
      <c r="K175" s="45">
        <v>3249.605</v>
      </c>
      <c r="L175" s="45">
        <v>3200.395</v>
      </c>
      <c r="M175" s="45">
        <v>1596.6576</v>
      </c>
      <c r="N175" s="45">
        <v>2439.3424</v>
      </c>
      <c r="O175" s="44">
        <v>0</v>
      </c>
      <c r="P175" s="44">
        <v>0</v>
      </c>
      <c r="Q175" s="44">
        <v>26958</v>
      </c>
      <c r="R175" s="44">
        <v>20834</v>
      </c>
      <c r="S175" s="11">
        <f>(鋼床鈑!O175+鋼床鈑!W175+鋼床鈑!X175)*鋼床鈑!U175+(鋼床鈑!R175+鋼床鈑!W175+鋼床鈑!X175)*鋼床鈑!V175</f>
        <v>158928</v>
      </c>
      <c r="T175" s="11">
        <f>(鋼床鈑!T175)*鋼床鈑!W175+(鋼床鈑!T175)*鋼床鈑!X175</f>
        <v>152000</v>
      </c>
      <c r="U175" s="11">
        <f>4*((鋼床鈑!R175+鋼床鈑!W175/2+鋼床鈑!X175/2)*(鋼床鈑!T175+鋼床鈑!U175/2+鋼床鈑!V175/2))^2/((鋼床鈑!O175+鋼床鈑!W175/2+鋼床鈑!X175/2)/鋼床鈑!U175+(鋼床鈑!R175+鋼床鈑!W175/2+鋼床鈑!X175/2)/鋼床鈑!V175+(鋼床鈑!T175+鋼床鈑!U175/2+鋼床鈑!V175/2)/鋼床鈑!W175+(鋼床鈑!T175+鋼床鈑!U175/2+鋼床鈑!V175/2)/鋼床鈑!X175)</f>
        <v>768997704357.25269</v>
      </c>
      <c r="V175" s="12">
        <f t="shared" si="34"/>
        <v>0.29890183137723403</v>
      </c>
      <c r="W175" s="12">
        <f t="shared" si="35"/>
        <v>0.29437544767149948</v>
      </c>
      <c r="X175" s="12">
        <f t="shared" si="36"/>
        <v>0.70837702708800554</v>
      </c>
      <c r="Y175" s="12">
        <f t="shared" si="37"/>
        <v>0.46366412684232844</v>
      </c>
      <c r="Z175" s="12">
        <f t="shared" si="32"/>
        <v>1.5124257586235506</v>
      </c>
      <c r="AA175" s="12">
        <f t="shared" si="33"/>
        <v>1.6445463426974198</v>
      </c>
      <c r="AB175" s="10">
        <f t="shared" si="38"/>
        <v>4.0359999999999996</v>
      </c>
      <c r="AC175" s="10">
        <f t="shared" si="39"/>
        <v>6.45</v>
      </c>
      <c r="AD175" s="10">
        <f t="shared" si="40"/>
        <v>0.41820000000000002</v>
      </c>
      <c r="AE175" s="12">
        <f t="shared" si="41"/>
        <v>0.76899770435725268</v>
      </c>
      <c r="AF175" s="12">
        <f t="shared" si="42"/>
        <v>0.152</v>
      </c>
      <c r="AG175" s="12">
        <f t="shared" si="43"/>
        <v>0.15892800000000001</v>
      </c>
      <c r="AH175" s="10">
        <f t="shared" si="44"/>
        <v>0.95660392663054294</v>
      </c>
      <c r="AI175" s="10">
        <f t="shared" si="45"/>
        <v>1.1310355639654699</v>
      </c>
      <c r="AJ175" s="13">
        <f t="shared" si="46"/>
        <v>0.95660392663054294</v>
      </c>
      <c r="AK175" s="13">
        <f t="shared" si="47"/>
        <v>1.1310355639654699</v>
      </c>
    </row>
    <row r="176" spans="1:37">
      <c r="A176" s="8">
        <f>鋼床鈑!A176</f>
        <v>174</v>
      </c>
      <c r="B176" s="43" t="s">
        <v>41</v>
      </c>
      <c r="C176" s="43" t="s">
        <v>42</v>
      </c>
      <c r="D176" s="43" t="s">
        <v>253</v>
      </c>
      <c r="E176" s="44">
        <v>418200</v>
      </c>
      <c r="F176" s="45">
        <v>121680.8575</v>
      </c>
      <c r="G176" s="45">
        <v>136115.51930000001</v>
      </c>
      <c r="H176" s="45">
        <v>727404217233.58801</v>
      </c>
      <c r="I176" s="45">
        <v>1131035563965.47</v>
      </c>
      <c r="J176" s="45">
        <v>956603926630.54297</v>
      </c>
      <c r="K176" s="45">
        <v>3249.605</v>
      </c>
      <c r="L176" s="45">
        <v>3200.395</v>
      </c>
      <c r="M176" s="45">
        <v>1596.6576</v>
      </c>
      <c r="N176" s="45">
        <v>2439.3424</v>
      </c>
      <c r="O176" s="44">
        <v>0</v>
      </c>
      <c r="P176" s="44">
        <v>0</v>
      </c>
      <c r="Q176" s="44">
        <v>26958</v>
      </c>
      <c r="R176" s="44">
        <v>20834</v>
      </c>
      <c r="S176" s="11">
        <f>(鋼床鈑!O176+鋼床鈑!W176+鋼床鈑!X176)*鋼床鈑!U176+(鋼床鈑!R176+鋼床鈑!W176+鋼床鈑!X176)*鋼床鈑!V176</f>
        <v>158928</v>
      </c>
      <c r="T176" s="11">
        <f>(鋼床鈑!T176)*鋼床鈑!W176+(鋼床鈑!T176)*鋼床鈑!X176</f>
        <v>152000</v>
      </c>
      <c r="U176" s="11">
        <f>4*((鋼床鈑!R176+鋼床鈑!W176/2+鋼床鈑!X176/2)*(鋼床鈑!T176+鋼床鈑!U176/2+鋼床鈑!V176/2))^2/((鋼床鈑!O176+鋼床鈑!W176/2+鋼床鈑!X176/2)/鋼床鈑!U176+(鋼床鈑!R176+鋼床鈑!W176/2+鋼床鈑!X176/2)/鋼床鈑!V176+(鋼床鈑!T176+鋼床鈑!U176/2+鋼床鈑!V176/2)/鋼床鈑!W176+(鋼床鈑!T176+鋼床鈑!U176/2+鋼床鈑!V176/2)/鋼床鈑!X176)</f>
        <v>768997704357.25269</v>
      </c>
      <c r="V176" s="12">
        <f t="shared" si="34"/>
        <v>0.29890183137723403</v>
      </c>
      <c r="W176" s="12">
        <f t="shared" si="35"/>
        <v>0.29437544767149948</v>
      </c>
      <c r="X176" s="12">
        <f t="shared" si="36"/>
        <v>0.70837702708800554</v>
      </c>
      <c r="Y176" s="12">
        <f t="shared" si="37"/>
        <v>0.46366412684232844</v>
      </c>
      <c r="Z176" s="12">
        <f t="shared" si="32"/>
        <v>1.5124257586235506</v>
      </c>
      <c r="AA176" s="12">
        <f t="shared" si="33"/>
        <v>1.6445463426974198</v>
      </c>
      <c r="AB176" s="10">
        <f t="shared" si="38"/>
        <v>4.0359999999999996</v>
      </c>
      <c r="AC176" s="10">
        <f t="shared" si="39"/>
        <v>6.45</v>
      </c>
      <c r="AD176" s="10">
        <f t="shared" si="40"/>
        <v>0.41820000000000002</v>
      </c>
      <c r="AE176" s="12">
        <f t="shared" si="41"/>
        <v>0.76899770435725268</v>
      </c>
      <c r="AF176" s="12">
        <f t="shared" si="42"/>
        <v>0.152</v>
      </c>
      <c r="AG176" s="12">
        <f t="shared" si="43"/>
        <v>0.15892800000000001</v>
      </c>
      <c r="AH176" s="10">
        <f t="shared" si="44"/>
        <v>0.95660392663054294</v>
      </c>
      <c r="AI176" s="10">
        <f t="shared" si="45"/>
        <v>1.1310355639654699</v>
      </c>
      <c r="AJ176" s="13">
        <f t="shared" si="46"/>
        <v>0.95660392663054294</v>
      </c>
      <c r="AK176" s="13">
        <f t="shared" si="47"/>
        <v>1.1310355639654699</v>
      </c>
    </row>
    <row r="177" spans="1:37">
      <c r="A177" s="8">
        <f>鋼床鈑!A177</f>
        <v>175</v>
      </c>
      <c r="B177" s="43" t="s">
        <v>41</v>
      </c>
      <c r="C177" s="43" t="s">
        <v>42</v>
      </c>
      <c r="D177" s="43" t="s">
        <v>254</v>
      </c>
      <c r="E177" s="44">
        <v>418200</v>
      </c>
      <c r="F177" s="45">
        <v>121680.8575</v>
      </c>
      <c r="G177" s="45">
        <v>136115.51930000001</v>
      </c>
      <c r="H177" s="45">
        <v>727404217233.58801</v>
      </c>
      <c r="I177" s="45">
        <v>1131035563965.47</v>
      </c>
      <c r="J177" s="45">
        <v>956603926630.54297</v>
      </c>
      <c r="K177" s="45">
        <v>3249.605</v>
      </c>
      <c r="L177" s="45">
        <v>3200.395</v>
      </c>
      <c r="M177" s="45">
        <v>1596.6576</v>
      </c>
      <c r="N177" s="45">
        <v>2439.3424</v>
      </c>
      <c r="O177" s="44">
        <v>0</v>
      </c>
      <c r="P177" s="44">
        <v>0</v>
      </c>
      <c r="Q177" s="44">
        <v>26958</v>
      </c>
      <c r="R177" s="44">
        <v>20834</v>
      </c>
      <c r="S177" s="11">
        <f>(鋼床鈑!O177+鋼床鈑!W177+鋼床鈑!X177)*鋼床鈑!U177+(鋼床鈑!R177+鋼床鈑!W177+鋼床鈑!X177)*鋼床鈑!V177</f>
        <v>158928</v>
      </c>
      <c r="T177" s="11">
        <f>(鋼床鈑!T177)*鋼床鈑!W177+(鋼床鈑!T177)*鋼床鈑!X177</f>
        <v>152000</v>
      </c>
      <c r="U177" s="11">
        <f>4*((鋼床鈑!R177+鋼床鈑!W177/2+鋼床鈑!X177/2)*(鋼床鈑!T177+鋼床鈑!U177/2+鋼床鈑!V177/2))^2/((鋼床鈑!O177+鋼床鈑!W177/2+鋼床鈑!X177/2)/鋼床鈑!U177+(鋼床鈑!R177+鋼床鈑!W177/2+鋼床鈑!X177/2)/鋼床鈑!V177+(鋼床鈑!T177+鋼床鈑!U177/2+鋼床鈑!V177/2)/鋼床鈑!W177+(鋼床鈑!T177+鋼床鈑!U177/2+鋼床鈑!V177/2)/鋼床鈑!X177)</f>
        <v>768997704357.25269</v>
      </c>
      <c r="V177" s="12">
        <f t="shared" si="34"/>
        <v>0.29890183137723403</v>
      </c>
      <c r="W177" s="12">
        <f t="shared" si="35"/>
        <v>0.29437544767149948</v>
      </c>
      <c r="X177" s="12">
        <f t="shared" si="36"/>
        <v>0.70837702708800554</v>
      </c>
      <c r="Y177" s="12">
        <f t="shared" si="37"/>
        <v>0.46366412684232844</v>
      </c>
      <c r="Z177" s="12">
        <f t="shared" si="32"/>
        <v>1.5124257586235506</v>
      </c>
      <c r="AA177" s="12">
        <f t="shared" si="33"/>
        <v>1.6445463426974198</v>
      </c>
      <c r="AB177" s="10">
        <f t="shared" si="38"/>
        <v>4.0359999999999996</v>
      </c>
      <c r="AC177" s="10">
        <f t="shared" si="39"/>
        <v>6.45</v>
      </c>
      <c r="AD177" s="10">
        <f t="shared" si="40"/>
        <v>0.41820000000000002</v>
      </c>
      <c r="AE177" s="12">
        <f t="shared" si="41"/>
        <v>0.76899770435725268</v>
      </c>
      <c r="AF177" s="12">
        <f t="shared" si="42"/>
        <v>0.152</v>
      </c>
      <c r="AG177" s="12">
        <f t="shared" si="43"/>
        <v>0.15892800000000001</v>
      </c>
      <c r="AH177" s="10">
        <f t="shared" si="44"/>
        <v>0.95660392663054294</v>
      </c>
      <c r="AI177" s="10">
        <f t="shared" si="45"/>
        <v>1.1310355639654699</v>
      </c>
      <c r="AJ177" s="13">
        <f t="shared" si="46"/>
        <v>0.95660392663054294</v>
      </c>
      <c r="AK177" s="13">
        <f t="shared" si="47"/>
        <v>1.1310355639654699</v>
      </c>
    </row>
    <row r="178" spans="1:37">
      <c r="A178" s="8">
        <f>鋼床鈑!A178</f>
        <v>176</v>
      </c>
      <c r="B178" s="43" t="s">
        <v>41</v>
      </c>
      <c r="C178" s="43" t="s">
        <v>42</v>
      </c>
      <c r="D178" s="43" t="s">
        <v>255</v>
      </c>
      <c r="E178" s="44">
        <v>418200</v>
      </c>
      <c r="F178" s="45">
        <v>121680.8575</v>
      </c>
      <c r="G178" s="45">
        <v>136115.51930000001</v>
      </c>
      <c r="H178" s="45">
        <v>727404217233.58801</v>
      </c>
      <c r="I178" s="45">
        <v>1131035563965.47</v>
      </c>
      <c r="J178" s="45">
        <v>956603926630.54297</v>
      </c>
      <c r="K178" s="45">
        <v>3249.605</v>
      </c>
      <c r="L178" s="45">
        <v>3200.395</v>
      </c>
      <c r="M178" s="45">
        <v>1596.6576</v>
      </c>
      <c r="N178" s="45">
        <v>2439.3424</v>
      </c>
      <c r="O178" s="44">
        <v>0</v>
      </c>
      <c r="P178" s="44">
        <v>0</v>
      </c>
      <c r="Q178" s="44">
        <v>26958</v>
      </c>
      <c r="R178" s="44">
        <v>20834</v>
      </c>
      <c r="S178" s="11">
        <f>(鋼床鈑!O178+鋼床鈑!W178+鋼床鈑!X178)*鋼床鈑!U178+(鋼床鈑!R178+鋼床鈑!W178+鋼床鈑!X178)*鋼床鈑!V178</f>
        <v>158928</v>
      </c>
      <c r="T178" s="11">
        <f>(鋼床鈑!T178)*鋼床鈑!W178+(鋼床鈑!T178)*鋼床鈑!X178</f>
        <v>152000</v>
      </c>
      <c r="U178" s="11">
        <f>4*((鋼床鈑!R178+鋼床鈑!W178/2+鋼床鈑!X178/2)*(鋼床鈑!T178+鋼床鈑!U178/2+鋼床鈑!V178/2))^2/((鋼床鈑!O178+鋼床鈑!W178/2+鋼床鈑!X178/2)/鋼床鈑!U178+(鋼床鈑!R178+鋼床鈑!W178/2+鋼床鈑!X178/2)/鋼床鈑!V178+(鋼床鈑!T178+鋼床鈑!U178/2+鋼床鈑!V178/2)/鋼床鈑!W178+(鋼床鈑!T178+鋼床鈑!U178/2+鋼床鈑!V178/2)/鋼床鈑!X178)</f>
        <v>768997704357.25269</v>
      </c>
      <c r="V178" s="12">
        <f t="shared" si="34"/>
        <v>0.29890183137723403</v>
      </c>
      <c r="W178" s="12">
        <f t="shared" si="35"/>
        <v>0.29437544767149948</v>
      </c>
      <c r="X178" s="12">
        <f t="shared" si="36"/>
        <v>0.70837702708800554</v>
      </c>
      <c r="Y178" s="12">
        <f t="shared" si="37"/>
        <v>0.46366412684232844</v>
      </c>
      <c r="Z178" s="12">
        <f t="shared" si="32"/>
        <v>1.5124257586235506</v>
      </c>
      <c r="AA178" s="12">
        <f t="shared" si="33"/>
        <v>1.6445463426974198</v>
      </c>
      <c r="AB178" s="10">
        <f t="shared" si="38"/>
        <v>4.0359999999999996</v>
      </c>
      <c r="AC178" s="10">
        <f t="shared" si="39"/>
        <v>6.45</v>
      </c>
      <c r="AD178" s="10">
        <f t="shared" si="40"/>
        <v>0.41820000000000002</v>
      </c>
      <c r="AE178" s="12">
        <f t="shared" si="41"/>
        <v>0.76899770435725268</v>
      </c>
      <c r="AF178" s="12">
        <f t="shared" si="42"/>
        <v>0.152</v>
      </c>
      <c r="AG178" s="12">
        <f t="shared" si="43"/>
        <v>0.15892800000000001</v>
      </c>
      <c r="AH178" s="10">
        <f t="shared" si="44"/>
        <v>0.95660392663054294</v>
      </c>
      <c r="AI178" s="10">
        <f t="shared" si="45"/>
        <v>1.1310355639654699</v>
      </c>
      <c r="AJ178" s="13">
        <f t="shared" si="46"/>
        <v>0.95660392663054294</v>
      </c>
      <c r="AK178" s="13">
        <f t="shared" si="47"/>
        <v>1.1310355639654699</v>
      </c>
    </row>
    <row r="179" spans="1:37">
      <c r="A179" s="8">
        <f>鋼床鈑!A179</f>
        <v>177</v>
      </c>
      <c r="B179" s="43" t="s">
        <v>41</v>
      </c>
      <c r="C179" s="43" t="s">
        <v>42</v>
      </c>
      <c r="D179" s="43" t="s">
        <v>256</v>
      </c>
      <c r="E179" s="44">
        <v>418200</v>
      </c>
      <c r="F179" s="45">
        <v>121680.8575</v>
      </c>
      <c r="G179" s="45">
        <v>136115.51930000001</v>
      </c>
      <c r="H179" s="45">
        <v>727404217233.58801</v>
      </c>
      <c r="I179" s="45">
        <v>1131035563965.47</v>
      </c>
      <c r="J179" s="45">
        <v>956603926630.54297</v>
      </c>
      <c r="K179" s="45">
        <v>3249.605</v>
      </c>
      <c r="L179" s="45">
        <v>3200.395</v>
      </c>
      <c r="M179" s="45">
        <v>1596.6576</v>
      </c>
      <c r="N179" s="45">
        <v>2439.3424</v>
      </c>
      <c r="O179" s="44">
        <v>0</v>
      </c>
      <c r="P179" s="44">
        <v>0</v>
      </c>
      <c r="Q179" s="44">
        <v>26958</v>
      </c>
      <c r="R179" s="44">
        <v>20834</v>
      </c>
      <c r="S179" s="11">
        <f>(鋼床鈑!O179+鋼床鈑!W179+鋼床鈑!X179)*鋼床鈑!U179+(鋼床鈑!R179+鋼床鈑!W179+鋼床鈑!X179)*鋼床鈑!V179</f>
        <v>158928</v>
      </c>
      <c r="T179" s="11">
        <f>(鋼床鈑!T179)*鋼床鈑!W179+(鋼床鈑!T179)*鋼床鈑!X179</f>
        <v>152000</v>
      </c>
      <c r="U179" s="11">
        <f>4*((鋼床鈑!R179+鋼床鈑!W179/2+鋼床鈑!X179/2)*(鋼床鈑!T179+鋼床鈑!U179/2+鋼床鈑!V179/2))^2/((鋼床鈑!O179+鋼床鈑!W179/2+鋼床鈑!X179/2)/鋼床鈑!U179+(鋼床鈑!R179+鋼床鈑!W179/2+鋼床鈑!X179/2)/鋼床鈑!V179+(鋼床鈑!T179+鋼床鈑!U179/2+鋼床鈑!V179/2)/鋼床鈑!W179+(鋼床鈑!T179+鋼床鈑!U179/2+鋼床鈑!V179/2)/鋼床鈑!X179)</f>
        <v>768997704357.25269</v>
      </c>
      <c r="V179" s="12">
        <f t="shared" si="34"/>
        <v>0.29890183137723403</v>
      </c>
      <c r="W179" s="12">
        <f t="shared" si="35"/>
        <v>0.29437544767149948</v>
      </c>
      <c r="X179" s="12">
        <f t="shared" si="36"/>
        <v>0.70837702708800554</v>
      </c>
      <c r="Y179" s="12">
        <f t="shared" si="37"/>
        <v>0.46366412684232844</v>
      </c>
      <c r="Z179" s="12">
        <f t="shared" si="32"/>
        <v>1.5124257586235506</v>
      </c>
      <c r="AA179" s="12">
        <f t="shared" si="33"/>
        <v>1.6445463426974198</v>
      </c>
      <c r="AB179" s="10">
        <f t="shared" si="38"/>
        <v>4.0359999999999996</v>
      </c>
      <c r="AC179" s="10">
        <f t="shared" si="39"/>
        <v>6.45</v>
      </c>
      <c r="AD179" s="10">
        <f t="shared" si="40"/>
        <v>0.41820000000000002</v>
      </c>
      <c r="AE179" s="12">
        <f t="shared" si="41"/>
        <v>0.76899770435725268</v>
      </c>
      <c r="AF179" s="12">
        <f t="shared" si="42"/>
        <v>0.152</v>
      </c>
      <c r="AG179" s="12">
        <f t="shared" si="43"/>
        <v>0.15892800000000001</v>
      </c>
      <c r="AH179" s="10">
        <f t="shared" si="44"/>
        <v>0.95660392663054294</v>
      </c>
      <c r="AI179" s="10">
        <f t="shared" si="45"/>
        <v>1.1310355639654699</v>
      </c>
      <c r="AJ179" s="13">
        <f t="shared" si="46"/>
        <v>0.95660392663054294</v>
      </c>
      <c r="AK179" s="13">
        <f t="shared" si="47"/>
        <v>1.1310355639654699</v>
      </c>
    </row>
    <row r="180" spans="1:37">
      <c r="A180" s="8">
        <f>鋼床鈑!A180</f>
        <v>178</v>
      </c>
      <c r="B180" s="43" t="s">
        <v>41</v>
      </c>
      <c r="C180" s="43" t="s">
        <v>42</v>
      </c>
      <c r="D180" s="43" t="s">
        <v>257</v>
      </c>
      <c r="E180" s="44">
        <v>418200</v>
      </c>
      <c r="F180" s="45">
        <v>121680.8575</v>
      </c>
      <c r="G180" s="45">
        <v>136115.51930000001</v>
      </c>
      <c r="H180" s="45">
        <v>727404217233.58801</v>
      </c>
      <c r="I180" s="45">
        <v>1131035563965.47</v>
      </c>
      <c r="J180" s="45">
        <v>956603926630.54297</v>
      </c>
      <c r="K180" s="45">
        <v>3249.605</v>
      </c>
      <c r="L180" s="45">
        <v>3200.395</v>
      </c>
      <c r="M180" s="45">
        <v>1596.6576</v>
      </c>
      <c r="N180" s="45">
        <v>2439.3424</v>
      </c>
      <c r="O180" s="44">
        <v>0</v>
      </c>
      <c r="P180" s="44">
        <v>0</v>
      </c>
      <c r="Q180" s="44">
        <v>26958</v>
      </c>
      <c r="R180" s="44">
        <v>20834</v>
      </c>
      <c r="S180" s="11">
        <f>(鋼床鈑!O180+鋼床鈑!W180+鋼床鈑!X180)*鋼床鈑!U180+(鋼床鈑!R180+鋼床鈑!W180+鋼床鈑!X180)*鋼床鈑!V180</f>
        <v>158928</v>
      </c>
      <c r="T180" s="11">
        <f>(鋼床鈑!T180)*鋼床鈑!W180+(鋼床鈑!T180)*鋼床鈑!X180</f>
        <v>152000</v>
      </c>
      <c r="U180" s="11">
        <f>4*((鋼床鈑!R180+鋼床鈑!W180/2+鋼床鈑!X180/2)*(鋼床鈑!T180+鋼床鈑!U180/2+鋼床鈑!V180/2))^2/((鋼床鈑!O180+鋼床鈑!W180/2+鋼床鈑!X180/2)/鋼床鈑!U180+(鋼床鈑!R180+鋼床鈑!W180/2+鋼床鈑!X180/2)/鋼床鈑!V180+(鋼床鈑!T180+鋼床鈑!U180/2+鋼床鈑!V180/2)/鋼床鈑!W180+(鋼床鈑!T180+鋼床鈑!U180/2+鋼床鈑!V180/2)/鋼床鈑!X180)</f>
        <v>768997704357.25269</v>
      </c>
      <c r="V180" s="12">
        <f t="shared" si="34"/>
        <v>0.29890183137723403</v>
      </c>
      <c r="W180" s="12">
        <f t="shared" si="35"/>
        <v>0.29437544767149948</v>
      </c>
      <c r="X180" s="12">
        <f t="shared" si="36"/>
        <v>0.70837702708800554</v>
      </c>
      <c r="Y180" s="12">
        <f t="shared" si="37"/>
        <v>0.46366412684232844</v>
      </c>
      <c r="Z180" s="12">
        <f t="shared" si="32"/>
        <v>1.5124257586235506</v>
      </c>
      <c r="AA180" s="12">
        <f t="shared" si="33"/>
        <v>1.6445463426974198</v>
      </c>
      <c r="AB180" s="10">
        <f t="shared" si="38"/>
        <v>4.0359999999999996</v>
      </c>
      <c r="AC180" s="10">
        <f t="shared" si="39"/>
        <v>6.45</v>
      </c>
      <c r="AD180" s="10">
        <f t="shared" si="40"/>
        <v>0.41820000000000002</v>
      </c>
      <c r="AE180" s="12">
        <f t="shared" si="41"/>
        <v>0.76899770435725268</v>
      </c>
      <c r="AF180" s="12">
        <f t="shared" si="42"/>
        <v>0.152</v>
      </c>
      <c r="AG180" s="12">
        <f t="shared" si="43"/>
        <v>0.15892800000000001</v>
      </c>
      <c r="AH180" s="10">
        <f t="shared" si="44"/>
        <v>0.95660392663054294</v>
      </c>
      <c r="AI180" s="10">
        <f t="shared" si="45"/>
        <v>1.1310355639654699</v>
      </c>
      <c r="AJ180" s="13">
        <f t="shared" si="46"/>
        <v>0.95660392663054294</v>
      </c>
      <c r="AK180" s="13">
        <f t="shared" si="47"/>
        <v>1.1310355639654699</v>
      </c>
    </row>
    <row r="181" spans="1:37">
      <c r="A181" s="8">
        <f>鋼床鈑!A181</f>
        <v>179</v>
      </c>
      <c r="B181" s="43" t="s">
        <v>41</v>
      </c>
      <c r="C181" s="43" t="s">
        <v>42</v>
      </c>
      <c r="D181" s="43" t="s">
        <v>258</v>
      </c>
      <c r="E181" s="44">
        <v>418200</v>
      </c>
      <c r="F181" s="45">
        <v>121680.8575</v>
      </c>
      <c r="G181" s="45">
        <v>136115.51930000001</v>
      </c>
      <c r="H181" s="45">
        <v>727404217233.58801</v>
      </c>
      <c r="I181" s="45">
        <v>1131035563965.47</v>
      </c>
      <c r="J181" s="45">
        <v>956603926630.54297</v>
      </c>
      <c r="K181" s="45">
        <v>3249.605</v>
      </c>
      <c r="L181" s="45">
        <v>3200.395</v>
      </c>
      <c r="M181" s="45">
        <v>1596.6576</v>
      </c>
      <c r="N181" s="45">
        <v>2439.3424</v>
      </c>
      <c r="O181" s="44">
        <v>0</v>
      </c>
      <c r="P181" s="44">
        <v>0</v>
      </c>
      <c r="Q181" s="44">
        <v>26958</v>
      </c>
      <c r="R181" s="44">
        <v>20834</v>
      </c>
      <c r="S181" s="11">
        <f>(鋼床鈑!O181+鋼床鈑!W181+鋼床鈑!X181)*鋼床鈑!U181+(鋼床鈑!R181+鋼床鈑!W181+鋼床鈑!X181)*鋼床鈑!V181</f>
        <v>158928</v>
      </c>
      <c r="T181" s="11">
        <f>(鋼床鈑!T181)*鋼床鈑!W181+(鋼床鈑!T181)*鋼床鈑!X181</f>
        <v>152000</v>
      </c>
      <c r="U181" s="11">
        <f>4*((鋼床鈑!R181+鋼床鈑!W181/2+鋼床鈑!X181/2)*(鋼床鈑!T181+鋼床鈑!U181/2+鋼床鈑!V181/2))^2/((鋼床鈑!O181+鋼床鈑!W181/2+鋼床鈑!X181/2)/鋼床鈑!U181+(鋼床鈑!R181+鋼床鈑!W181/2+鋼床鈑!X181/2)/鋼床鈑!V181+(鋼床鈑!T181+鋼床鈑!U181/2+鋼床鈑!V181/2)/鋼床鈑!W181+(鋼床鈑!T181+鋼床鈑!U181/2+鋼床鈑!V181/2)/鋼床鈑!X181)</f>
        <v>768997704357.25269</v>
      </c>
      <c r="V181" s="12">
        <f t="shared" si="34"/>
        <v>0.29890183137723403</v>
      </c>
      <c r="W181" s="12">
        <f t="shared" si="35"/>
        <v>0.29437544767149948</v>
      </c>
      <c r="X181" s="12">
        <f t="shared" si="36"/>
        <v>0.70837702708800554</v>
      </c>
      <c r="Y181" s="12">
        <f t="shared" si="37"/>
        <v>0.46366412684232844</v>
      </c>
      <c r="Z181" s="12">
        <f t="shared" si="32"/>
        <v>1.5124257586235506</v>
      </c>
      <c r="AA181" s="12">
        <f t="shared" si="33"/>
        <v>1.6445463426974198</v>
      </c>
      <c r="AB181" s="10">
        <f t="shared" si="38"/>
        <v>4.0359999999999996</v>
      </c>
      <c r="AC181" s="10">
        <f t="shared" si="39"/>
        <v>6.45</v>
      </c>
      <c r="AD181" s="10">
        <f t="shared" si="40"/>
        <v>0.41820000000000002</v>
      </c>
      <c r="AE181" s="12">
        <f t="shared" si="41"/>
        <v>0.76899770435725268</v>
      </c>
      <c r="AF181" s="12">
        <f t="shared" si="42"/>
        <v>0.152</v>
      </c>
      <c r="AG181" s="12">
        <f t="shared" si="43"/>
        <v>0.15892800000000001</v>
      </c>
      <c r="AH181" s="10">
        <f t="shared" si="44"/>
        <v>0.95660392663054294</v>
      </c>
      <c r="AI181" s="10">
        <f t="shared" si="45"/>
        <v>1.1310355639654699</v>
      </c>
      <c r="AJ181" s="13">
        <f t="shared" si="46"/>
        <v>0.95660392663054294</v>
      </c>
      <c r="AK181" s="13">
        <f t="shared" si="47"/>
        <v>1.1310355639654699</v>
      </c>
    </row>
    <row r="182" spans="1:37">
      <c r="A182" s="8">
        <f>鋼床鈑!A182</f>
        <v>180</v>
      </c>
      <c r="B182" s="43" t="s">
        <v>41</v>
      </c>
      <c r="C182" s="43" t="s">
        <v>42</v>
      </c>
      <c r="D182" s="43" t="s">
        <v>259</v>
      </c>
      <c r="E182" s="44">
        <v>418200</v>
      </c>
      <c r="F182" s="45">
        <v>121680.8575</v>
      </c>
      <c r="G182" s="45">
        <v>136115.51930000001</v>
      </c>
      <c r="H182" s="45">
        <v>727404217233.58801</v>
      </c>
      <c r="I182" s="45">
        <v>1131035563965.47</v>
      </c>
      <c r="J182" s="45">
        <v>956603926630.54297</v>
      </c>
      <c r="K182" s="45">
        <v>3249.605</v>
      </c>
      <c r="L182" s="45">
        <v>3200.395</v>
      </c>
      <c r="M182" s="45">
        <v>1596.6576</v>
      </c>
      <c r="N182" s="45">
        <v>2439.3424</v>
      </c>
      <c r="O182" s="44">
        <v>0</v>
      </c>
      <c r="P182" s="44">
        <v>0</v>
      </c>
      <c r="Q182" s="44">
        <v>26958</v>
      </c>
      <c r="R182" s="44">
        <v>20834</v>
      </c>
      <c r="S182" s="11">
        <f>(鋼床鈑!O182+鋼床鈑!W182+鋼床鈑!X182)*鋼床鈑!U182+(鋼床鈑!R182+鋼床鈑!W182+鋼床鈑!X182)*鋼床鈑!V182</f>
        <v>158928</v>
      </c>
      <c r="T182" s="11">
        <f>(鋼床鈑!T182)*鋼床鈑!W182+(鋼床鈑!T182)*鋼床鈑!X182</f>
        <v>152000</v>
      </c>
      <c r="U182" s="11">
        <f>4*((鋼床鈑!R182+鋼床鈑!W182/2+鋼床鈑!X182/2)*(鋼床鈑!T182+鋼床鈑!U182/2+鋼床鈑!V182/2))^2/((鋼床鈑!O182+鋼床鈑!W182/2+鋼床鈑!X182/2)/鋼床鈑!U182+(鋼床鈑!R182+鋼床鈑!W182/2+鋼床鈑!X182/2)/鋼床鈑!V182+(鋼床鈑!T182+鋼床鈑!U182/2+鋼床鈑!V182/2)/鋼床鈑!W182+(鋼床鈑!T182+鋼床鈑!U182/2+鋼床鈑!V182/2)/鋼床鈑!X182)</f>
        <v>768997704357.25269</v>
      </c>
      <c r="V182" s="12">
        <f t="shared" si="34"/>
        <v>0.29890183137723403</v>
      </c>
      <c r="W182" s="12">
        <f t="shared" si="35"/>
        <v>0.29437544767149948</v>
      </c>
      <c r="X182" s="12">
        <f t="shared" si="36"/>
        <v>0.70837702708800554</v>
      </c>
      <c r="Y182" s="12">
        <f t="shared" si="37"/>
        <v>0.46366412684232844</v>
      </c>
      <c r="Z182" s="12">
        <f t="shared" si="32"/>
        <v>1.5124257586235506</v>
      </c>
      <c r="AA182" s="12">
        <f t="shared" si="33"/>
        <v>1.6445463426974198</v>
      </c>
      <c r="AB182" s="10">
        <f t="shared" si="38"/>
        <v>4.0359999999999996</v>
      </c>
      <c r="AC182" s="10">
        <f t="shared" si="39"/>
        <v>6.45</v>
      </c>
      <c r="AD182" s="10">
        <f t="shared" si="40"/>
        <v>0.41820000000000002</v>
      </c>
      <c r="AE182" s="12">
        <f t="shared" si="41"/>
        <v>0.76899770435725268</v>
      </c>
      <c r="AF182" s="12">
        <f t="shared" si="42"/>
        <v>0.152</v>
      </c>
      <c r="AG182" s="12">
        <f t="shared" si="43"/>
        <v>0.15892800000000001</v>
      </c>
      <c r="AH182" s="10">
        <f t="shared" si="44"/>
        <v>0.95660392663054294</v>
      </c>
      <c r="AI182" s="10">
        <f t="shared" si="45"/>
        <v>1.1310355639654699</v>
      </c>
      <c r="AJ182" s="13">
        <f t="shared" si="46"/>
        <v>0.95660392663054294</v>
      </c>
      <c r="AK182" s="13">
        <f t="shared" si="47"/>
        <v>1.1310355639654699</v>
      </c>
    </row>
    <row r="183" spans="1:37">
      <c r="A183" s="8">
        <f>鋼床鈑!A183</f>
        <v>181</v>
      </c>
      <c r="B183" s="43" t="s">
        <v>41</v>
      </c>
      <c r="C183" s="43" t="s">
        <v>42</v>
      </c>
      <c r="D183" s="43" t="s">
        <v>260</v>
      </c>
      <c r="E183" s="44">
        <v>418200</v>
      </c>
      <c r="F183" s="45">
        <v>121680.8575</v>
      </c>
      <c r="G183" s="45">
        <v>136115.51930000001</v>
      </c>
      <c r="H183" s="45">
        <v>727404217233.58801</v>
      </c>
      <c r="I183" s="45">
        <v>1131035563965.47</v>
      </c>
      <c r="J183" s="45">
        <v>956603926630.54297</v>
      </c>
      <c r="K183" s="45">
        <v>3249.605</v>
      </c>
      <c r="L183" s="45">
        <v>3200.395</v>
      </c>
      <c r="M183" s="45">
        <v>1596.6576</v>
      </c>
      <c r="N183" s="45">
        <v>2439.3424</v>
      </c>
      <c r="O183" s="44">
        <v>0</v>
      </c>
      <c r="P183" s="44">
        <v>0</v>
      </c>
      <c r="Q183" s="44">
        <v>26958</v>
      </c>
      <c r="R183" s="44">
        <v>20834</v>
      </c>
      <c r="S183" s="11">
        <f>(鋼床鈑!O183+鋼床鈑!W183+鋼床鈑!X183)*鋼床鈑!U183+(鋼床鈑!R183+鋼床鈑!W183+鋼床鈑!X183)*鋼床鈑!V183</f>
        <v>158928</v>
      </c>
      <c r="T183" s="11">
        <f>(鋼床鈑!T183)*鋼床鈑!W183+(鋼床鈑!T183)*鋼床鈑!X183</f>
        <v>152000</v>
      </c>
      <c r="U183" s="11">
        <f>4*((鋼床鈑!R183+鋼床鈑!W183/2+鋼床鈑!X183/2)*(鋼床鈑!T183+鋼床鈑!U183/2+鋼床鈑!V183/2))^2/((鋼床鈑!O183+鋼床鈑!W183/2+鋼床鈑!X183/2)/鋼床鈑!U183+(鋼床鈑!R183+鋼床鈑!W183/2+鋼床鈑!X183/2)/鋼床鈑!V183+(鋼床鈑!T183+鋼床鈑!U183/2+鋼床鈑!V183/2)/鋼床鈑!W183+(鋼床鈑!T183+鋼床鈑!U183/2+鋼床鈑!V183/2)/鋼床鈑!X183)</f>
        <v>768997704357.25269</v>
      </c>
      <c r="V183" s="12">
        <f t="shared" si="34"/>
        <v>0.29890183137723403</v>
      </c>
      <c r="W183" s="12">
        <f t="shared" si="35"/>
        <v>0.29437544767149948</v>
      </c>
      <c r="X183" s="12">
        <f t="shared" si="36"/>
        <v>0.70837702708800554</v>
      </c>
      <c r="Y183" s="12">
        <f t="shared" si="37"/>
        <v>0.46366412684232844</v>
      </c>
      <c r="Z183" s="12">
        <f t="shared" si="32"/>
        <v>1.5124257586235506</v>
      </c>
      <c r="AA183" s="12">
        <f t="shared" si="33"/>
        <v>1.6445463426974198</v>
      </c>
      <c r="AB183" s="10">
        <f t="shared" si="38"/>
        <v>4.0359999999999996</v>
      </c>
      <c r="AC183" s="10">
        <f t="shared" si="39"/>
        <v>6.45</v>
      </c>
      <c r="AD183" s="10">
        <f t="shared" si="40"/>
        <v>0.41820000000000002</v>
      </c>
      <c r="AE183" s="12">
        <f t="shared" si="41"/>
        <v>0.76899770435725268</v>
      </c>
      <c r="AF183" s="12">
        <f t="shared" si="42"/>
        <v>0.152</v>
      </c>
      <c r="AG183" s="12">
        <f t="shared" si="43"/>
        <v>0.15892800000000001</v>
      </c>
      <c r="AH183" s="10">
        <f t="shared" si="44"/>
        <v>0.95660392663054294</v>
      </c>
      <c r="AI183" s="10">
        <f t="shared" si="45"/>
        <v>1.1310355639654699</v>
      </c>
      <c r="AJ183" s="13">
        <f t="shared" si="46"/>
        <v>0.95660392663054294</v>
      </c>
      <c r="AK183" s="13">
        <f t="shared" si="47"/>
        <v>1.1310355639654699</v>
      </c>
    </row>
    <row r="184" spans="1:37">
      <c r="A184" s="8">
        <f>鋼床鈑!A184</f>
        <v>182</v>
      </c>
      <c r="B184" s="43" t="s">
        <v>41</v>
      </c>
      <c r="C184" s="43" t="s">
        <v>42</v>
      </c>
      <c r="D184" s="43" t="s">
        <v>261</v>
      </c>
      <c r="E184" s="44">
        <v>418200</v>
      </c>
      <c r="F184" s="45">
        <v>121680.8575</v>
      </c>
      <c r="G184" s="45">
        <v>136115.51930000001</v>
      </c>
      <c r="H184" s="45">
        <v>727404217233.58801</v>
      </c>
      <c r="I184" s="45">
        <v>1131035563965.47</v>
      </c>
      <c r="J184" s="45">
        <v>956603926630.54297</v>
      </c>
      <c r="K184" s="45">
        <v>3249.605</v>
      </c>
      <c r="L184" s="45">
        <v>3200.395</v>
      </c>
      <c r="M184" s="45">
        <v>1596.6576</v>
      </c>
      <c r="N184" s="45">
        <v>2439.3424</v>
      </c>
      <c r="O184" s="44">
        <v>0</v>
      </c>
      <c r="P184" s="44">
        <v>0</v>
      </c>
      <c r="Q184" s="44">
        <v>26958</v>
      </c>
      <c r="R184" s="44">
        <v>20834</v>
      </c>
      <c r="S184" s="11">
        <f>(鋼床鈑!O184+鋼床鈑!W184+鋼床鈑!X184)*鋼床鈑!U184+(鋼床鈑!R184+鋼床鈑!W184+鋼床鈑!X184)*鋼床鈑!V184</f>
        <v>158928</v>
      </c>
      <c r="T184" s="11">
        <f>(鋼床鈑!T184)*鋼床鈑!W184+(鋼床鈑!T184)*鋼床鈑!X184</f>
        <v>152000</v>
      </c>
      <c r="U184" s="11">
        <f>4*((鋼床鈑!R184+鋼床鈑!W184/2+鋼床鈑!X184/2)*(鋼床鈑!T184+鋼床鈑!U184/2+鋼床鈑!V184/2))^2/((鋼床鈑!O184+鋼床鈑!W184/2+鋼床鈑!X184/2)/鋼床鈑!U184+(鋼床鈑!R184+鋼床鈑!W184/2+鋼床鈑!X184/2)/鋼床鈑!V184+(鋼床鈑!T184+鋼床鈑!U184/2+鋼床鈑!V184/2)/鋼床鈑!W184+(鋼床鈑!T184+鋼床鈑!U184/2+鋼床鈑!V184/2)/鋼床鈑!X184)</f>
        <v>768997704357.25269</v>
      </c>
      <c r="V184" s="12">
        <f t="shared" si="34"/>
        <v>0.29890183137723403</v>
      </c>
      <c r="W184" s="12">
        <f t="shared" si="35"/>
        <v>0.29437544767149948</v>
      </c>
      <c r="X184" s="12">
        <f t="shared" si="36"/>
        <v>0.70837702708800554</v>
      </c>
      <c r="Y184" s="12">
        <f t="shared" si="37"/>
        <v>0.46366412684232844</v>
      </c>
      <c r="Z184" s="12">
        <f t="shared" si="32"/>
        <v>1.5124257586235506</v>
      </c>
      <c r="AA184" s="12">
        <f t="shared" si="33"/>
        <v>1.6445463426974198</v>
      </c>
      <c r="AB184" s="10">
        <f t="shared" si="38"/>
        <v>4.0359999999999996</v>
      </c>
      <c r="AC184" s="10">
        <f t="shared" si="39"/>
        <v>6.45</v>
      </c>
      <c r="AD184" s="10">
        <f t="shared" si="40"/>
        <v>0.41820000000000002</v>
      </c>
      <c r="AE184" s="12">
        <f t="shared" si="41"/>
        <v>0.76899770435725268</v>
      </c>
      <c r="AF184" s="12">
        <f t="shared" si="42"/>
        <v>0.152</v>
      </c>
      <c r="AG184" s="12">
        <f t="shared" si="43"/>
        <v>0.15892800000000001</v>
      </c>
      <c r="AH184" s="10">
        <f t="shared" si="44"/>
        <v>0.95660392663054294</v>
      </c>
      <c r="AI184" s="10">
        <f t="shared" si="45"/>
        <v>1.1310355639654699</v>
      </c>
      <c r="AJ184" s="13">
        <f t="shared" si="46"/>
        <v>0.95660392663054294</v>
      </c>
      <c r="AK184" s="13">
        <f t="shared" si="47"/>
        <v>1.1310355639654699</v>
      </c>
    </row>
    <row r="185" spans="1:37">
      <c r="A185" s="8">
        <f>鋼床鈑!A185</f>
        <v>183</v>
      </c>
      <c r="B185" s="43" t="s">
        <v>41</v>
      </c>
      <c r="C185" s="43" t="s">
        <v>42</v>
      </c>
      <c r="D185" s="43" t="s">
        <v>262</v>
      </c>
      <c r="E185" s="44">
        <v>418200</v>
      </c>
      <c r="F185" s="45">
        <v>121680.8575</v>
      </c>
      <c r="G185" s="45">
        <v>136115.51930000001</v>
      </c>
      <c r="H185" s="45">
        <v>727404217233.58801</v>
      </c>
      <c r="I185" s="45">
        <v>1131035563965.47</v>
      </c>
      <c r="J185" s="45">
        <v>956603926630.54297</v>
      </c>
      <c r="K185" s="45">
        <v>3249.605</v>
      </c>
      <c r="L185" s="45">
        <v>3200.395</v>
      </c>
      <c r="M185" s="45">
        <v>1596.6576</v>
      </c>
      <c r="N185" s="45">
        <v>2439.3424</v>
      </c>
      <c r="O185" s="44">
        <v>0</v>
      </c>
      <c r="P185" s="44">
        <v>0</v>
      </c>
      <c r="Q185" s="44">
        <v>26958</v>
      </c>
      <c r="R185" s="44">
        <v>20834</v>
      </c>
      <c r="S185" s="11">
        <f>(鋼床鈑!O185+鋼床鈑!W185+鋼床鈑!X185)*鋼床鈑!U185+(鋼床鈑!R185+鋼床鈑!W185+鋼床鈑!X185)*鋼床鈑!V185</f>
        <v>158928</v>
      </c>
      <c r="T185" s="11">
        <f>(鋼床鈑!T185)*鋼床鈑!W185+(鋼床鈑!T185)*鋼床鈑!X185</f>
        <v>152000</v>
      </c>
      <c r="U185" s="11">
        <f>4*((鋼床鈑!R185+鋼床鈑!W185/2+鋼床鈑!X185/2)*(鋼床鈑!T185+鋼床鈑!U185/2+鋼床鈑!V185/2))^2/((鋼床鈑!O185+鋼床鈑!W185/2+鋼床鈑!X185/2)/鋼床鈑!U185+(鋼床鈑!R185+鋼床鈑!W185/2+鋼床鈑!X185/2)/鋼床鈑!V185+(鋼床鈑!T185+鋼床鈑!U185/2+鋼床鈑!V185/2)/鋼床鈑!W185+(鋼床鈑!T185+鋼床鈑!U185/2+鋼床鈑!V185/2)/鋼床鈑!X185)</f>
        <v>768997704357.25269</v>
      </c>
      <c r="V185" s="12">
        <f t="shared" si="34"/>
        <v>0.29890183137723403</v>
      </c>
      <c r="W185" s="12">
        <f t="shared" si="35"/>
        <v>0.29437544767149948</v>
      </c>
      <c r="X185" s="12">
        <f t="shared" si="36"/>
        <v>0.70837702708800554</v>
      </c>
      <c r="Y185" s="12">
        <f t="shared" si="37"/>
        <v>0.46366412684232844</v>
      </c>
      <c r="Z185" s="12">
        <f t="shared" si="32"/>
        <v>1.5124257586235506</v>
      </c>
      <c r="AA185" s="12">
        <f t="shared" si="33"/>
        <v>1.6445463426974198</v>
      </c>
      <c r="AB185" s="10">
        <f t="shared" si="38"/>
        <v>4.0359999999999996</v>
      </c>
      <c r="AC185" s="10">
        <f t="shared" si="39"/>
        <v>6.45</v>
      </c>
      <c r="AD185" s="10">
        <f t="shared" si="40"/>
        <v>0.41820000000000002</v>
      </c>
      <c r="AE185" s="12">
        <f t="shared" si="41"/>
        <v>0.76899770435725268</v>
      </c>
      <c r="AF185" s="12">
        <f t="shared" si="42"/>
        <v>0.152</v>
      </c>
      <c r="AG185" s="12">
        <f t="shared" si="43"/>
        <v>0.15892800000000001</v>
      </c>
      <c r="AH185" s="10">
        <f t="shared" si="44"/>
        <v>0.95660392663054294</v>
      </c>
      <c r="AI185" s="10">
        <f t="shared" si="45"/>
        <v>1.1310355639654699</v>
      </c>
      <c r="AJ185" s="13">
        <f t="shared" si="46"/>
        <v>0.95660392663054294</v>
      </c>
      <c r="AK185" s="13">
        <f t="shared" si="47"/>
        <v>1.1310355639654699</v>
      </c>
    </row>
    <row r="186" spans="1:37">
      <c r="A186" s="8">
        <f>鋼床鈑!A186</f>
        <v>184</v>
      </c>
      <c r="B186" s="43" t="s">
        <v>41</v>
      </c>
      <c r="C186" s="43" t="s">
        <v>42</v>
      </c>
      <c r="D186" s="43" t="s">
        <v>263</v>
      </c>
      <c r="E186" s="44">
        <v>418200</v>
      </c>
      <c r="F186" s="45">
        <v>121680.8575</v>
      </c>
      <c r="G186" s="45">
        <v>136115.51930000001</v>
      </c>
      <c r="H186" s="45">
        <v>727404217233.58801</v>
      </c>
      <c r="I186" s="45">
        <v>1131035563965.47</v>
      </c>
      <c r="J186" s="45">
        <v>956603926630.54297</v>
      </c>
      <c r="K186" s="45">
        <v>3249.605</v>
      </c>
      <c r="L186" s="45">
        <v>3200.395</v>
      </c>
      <c r="M186" s="45">
        <v>1596.6576</v>
      </c>
      <c r="N186" s="45">
        <v>2439.3424</v>
      </c>
      <c r="O186" s="44">
        <v>0</v>
      </c>
      <c r="P186" s="44">
        <v>0</v>
      </c>
      <c r="Q186" s="44">
        <v>26958</v>
      </c>
      <c r="R186" s="44">
        <v>20834</v>
      </c>
      <c r="S186" s="11">
        <f>(鋼床鈑!O186+鋼床鈑!W186+鋼床鈑!X186)*鋼床鈑!U186+(鋼床鈑!R186+鋼床鈑!W186+鋼床鈑!X186)*鋼床鈑!V186</f>
        <v>158928</v>
      </c>
      <c r="T186" s="11">
        <f>(鋼床鈑!T186)*鋼床鈑!W186+(鋼床鈑!T186)*鋼床鈑!X186</f>
        <v>152000</v>
      </c>
      <c r="U186" s="11">
        <f>4*((鋼床鈑!R186+鋼床鈑!W186/2+鋼床鈑!X186/2)*(鋼床鈑!T186+鋼床鈑!U186/2+鋼床鈑!V186/2))^2/((鋼床鈑!O186+鋼床鈑!W186/2+鋼床鈑!X186/2)/鋼床鈑!U186+(鋼床鈑!R186+鋼床鈑!W186/2+鋼床鈑!X186/2)/鋼床鈑!V186+(鋼床鈑!T186+鋼床鈑!U186/2+鋼床鈑!V186/2)/鋼床鈑!W186+(鋼床鈑!T186+鋼床鈑!U186/2+鋼床鈑!V186/2)/鋼床鈑!X186)</f>
        <v>768997704357.25269</v>
      </c>
      <c r="V186" s="12">
        <f t="shared" si="34"/>
        <v>0.29890183137723403</v>
      </c>
      <c r="W186" s="12">
        <f t="shared" si="35"/>
        <v>0.29437544767149948</v>
      </c>
      <c r="X186" s="12">
        <f t="shared" si="36"/>
        <v>0.70837702708800554</v>
      </c>
      <c r="Y186" s="12">
        <f t="shared" si="37"/>
        <v>0.46366412684232844</v>
      </c>
      <c r="Z186" s="12">
        <f t="shared" si="32"/>
        <v>1.5124257586235506</v>
      </c>
      <c r="AA186" s="12">
        <f t="shared" si="33"/>
        <v>1.6445463426974198</v>
      </c>
      <c r="AB186" s="10">
        <f t="shared" si="38"/>
        <v>4.0359999999999996</v>
      </c>
      <c r="AC186" s="10">
        <f t="shared" si="39"/>
        <v>6.45</v>
      </c>
      <c r="AD186" s="10">
        <f t="shared" si="40"/>
        <v>0.41820000000000002</v>
      </c>
      <c r="AE186" s="12">
        <f t="shared" si="41"/>
        <v>0.76899770435725268</v>
      </c>
      <c r="AF186" s="12">
        <f t="shared" si="42"/>
        <v>0.152</v>
      </c>
      <c r="AG186" s="12">
        <f t="shared" si="43"/>
        <v>0.15892800000000001</v>
      </c>
      <c r="AH186" s="10">
        <f t="shared" si="44"/>
        <v>0.95660392663054294</v>
      </c>
      <c r="AI186" s="10">
        <f t="shared" si="45"/>
        <v>1.1310355639654699</v>
      </c>
      <c r="AJ186" s="13">
        <f t="shared" si="46"/>
        <v>0.95660392663054294</v>
      </c>
      <c r="AK186" s="13">
        <f t="shared" si="47"/>
        <v>1.1310355639654699</v>
      </c>
    </row>
    <row r="187" spans="1:37">
      <c r="A187" s="8">
        <f>鋼床鈑!A187</f>
        <v>185</v>
      </c>
      <c r="B187" s="43" t="s">
        <v>41</v>
      </c>
      <c r="C187" s="43" t="s">
        <v>42</v>
      </c>
      <c r="D187" s="43" t="s">
        <v>264</v>
      </c>
      <c r="E187" s="44">
        <v>418200</v>
      </c>
      <c r="F187" s="45">
        <v>121680.8575</v>
      </c>
      <c r="G187" s="45">
        <v>136115.51930000001</v>
      </c>
      <c r="H187" s="45">
        <v>727404217233.58801</v>
      </c>
      <c r="I187" s="45">
        <v>1131035563965.47</v>
      </c>
      <c r="J187" s="45">
        <v>956603926630.54297</v>
      </c>
      <c r="K187" s="45">
        <v>3249.605</v>
      </c>
      <c r="L187" s="45">
        <v>3200.395</v>
      </c>
      <c r="M187" s="45">
        <v>1596.6576</v>
      </c>
      <c r="N187" s="45">
        <v>2439.3424</v>
      </c>
      <c r="O187" s="44">
        <v>0</v>
      </c>
      <c r="P187" s="44">
        <v>0</v>
      </c>
      <c r="Q187" s="44">
        <v>26958</v>
      </c>
      <c r="R187" s="44">
        <v>20834</v>
      </c>
      <c r="S187" s="11">
        <f>(鋼床鈑!O187+鋼床鈑!W187+鋼床鈑!X187)*鋼床鈑!U187+(鋼床鈑!R187+鋼床鈑!W187+鋼床鈑!X187)*鋼床鈑!V187</f>
        <v>158928</v>
      </c>
      <c r="T187" s="11">
        <f>(鋼床鈑!T187)*鋼床鈑!W187+(鋼床鈑!T187)*鋼床鈑!X187</f>
        <v>152000</v>
      </c>
      <c r="U187" s="11">
        <f>4*((鋼床鈑!R187+鋼床鈑!W187/2+鋼床鈑!X187/2)*(鋼床鈑!T187+鋼床鈑!U187/2+鋼床鈑!V187/2))^2/((鋼床鈑!O187+鋼床鈑!W187/2+鋼床鈑!X187/2)/鋼床鈑!U187+(鋼床鈑!R187+鋼床鈑!W187/2+鋼床鈑!X187/2)/鋼床鈑!V187+(鋼床鈑!T187+鋼床鈑!U187/2+鋼床鈑!V187/2)/鋼床鈑!W187+(鋼床鈑!T187+鋼床鈑!U187/2+鋼床鈑!V187/2)/鋼床鈑!X187)</f>
        <v>768997704357.25269</v>
      </c>
      <c r="V187" s="12">
        <f t="shared" si="34"/>
        <v>0.29890183137723403</v>
      </c>
      <c r="W187" s="12">
        <f t="shared" si="35"/>
        <v>0.29437544767149948</v>
      </c>
      <c r="X187" s="12">
        <f t="shared" si="36"/>
        <v>0.70837702708800554</v>
      </c>
      <c r="Y187" s="12">
        <f t="shared" si="37"/>
        <v>0.46366412684232844</v>
      </c>
      <c r="Z187" s="12">
        <f t="shared" si="32"/>
        <v>1.5124257586235506</v>
      </c>
      <c r="AA187" s="12">
        <f t="shared" si="33"/>
        <v>1.6445463426974198</v>
      </c>
      <c r="AB187" s="10">
        <f t="shared" si="38"/>
        <v>4.0359999999999996</v>
      </c>
      <c r="AC187" s="10">
        <f t="shared" si="39"/>
        <v>6.45</v>
      </c>
      <c r="AD187" s="10">
        <f t="shared" si="40"/>
        <v>0.41820000000000002</v>
      </c>
      <c r="AE187" s="12">
        <f t="shared" si="41"/>
        <v>0.76899770435725268</v>
      </c>
      <c r="AF187" s="12">
        <f t="shared" si="42"/>
        <v>0.152</v>
      </c>
      <c r="AG187" s="12">
        <f t="shared" si="43"/>
        <v>0.15892800000000001</v>
      </c>
      <c r="AH187" s="10">
        <f t="shared" si="44"/>
        <v>0.95660392663054294</v>
      </c>
      <c r="AI187" s="10">
        <f t="shared" si="45"/>
        <v>1.1310355639654699</v>
      </c>
      <c r="AJ187" s="13">
        <f t="shared" si="46"/>
        <v>0.95660392663054294</v>
      </c>
      <c r="AK187" s="13">
        <f t="shared" si="47"/>
        <v>1.1310355639654699</v>
      </c>
    </row>
    <row r="188" spans="1:37">
      <c r="A188" s="8">
        <f>鋼床鈑!A188</f>
        <v>186</v>
      </c>
      <c r="B188" s="43" t="s">
        <v>41</v>
      </c>
      <c r="C188" s="43" t="s">
        <v>42</v>
      </c>
      <c r="D188" s="43" t="s">
        <v>265</v>
      </c>
      <c r="E188" s="44">
        <v>418200</v>
      </c>
      <c r="F188" s="45">
        <v>121680.8575</v>
      </c>
      <c r="G188" s="45">
        <v>136115.51930000001</v>
      </c>
      <c r="H188" s="45">
        <v>727404217233.58801</v>
      </c>
      <c r="I188" s="45">
        <v>1131035563965.47</v>
      </c>
      <c r="J188" s="45">
        <v>956603926630.54297</v>
      </c>
      <c r="K188" s="45">
        <v>3249.605</v>
      </c>
      <c r="L188" s="45">
        <v>3200.395</v>
      </c>
      <c r="M188" s="45">
        <v>1596.6576</v>
      </c>
      <c r="N188" s="45">
        <v>2439.3424</v>
      </c>
      <c r="O188" s="44">
        <v>0</v>
      </c>
      <c r="P188" s="44">
        <v>0</v>
      </c>
      <c r="Q188" s="44">
        <v>26958</v>
      </c>
      <c r="R188" s="44">
        <v>20834</v>
      </c>
      <c r="S188" s="11">
        <f>(鋼床鈑!O188+鋼床鈑!W188+鋼床鈑!X188)*鋼床鈑!U188+(鋼床鈑!R188+鋼床鈑!W188+鋼床鈑!X188)*鋼床鈑!V188</f>
        <v>158928</v>
      </c>
      <c r="T188" s="11">
        <f>(鋼床鈑!T188)*鋼床鈑!W188+(鋼床鈑!T188)*鋼床鈑!X188</f>
        <v>152000</v>
      </c>
      <c r="U188" s="11">
        <f>4*((鋼床鈑!R188+鋼床鈑!W188/2+鋼床鈑!X188/2)*(鋼床鈑!T188+鋼床鈑!U188/2+鋼床鈑!V188/2))^2/((鋼床鈑!O188+鋼床鈑!W188/2+鋼床鈑!X188/2)/鋼床鈑!U188+(鋼床鈑!R188+鋼床鈑!W188/2+鋼床鈑!X188/2)/鋼床鈑!V188+(鋼床鈑!T188+鋼床鈑!U188/2+鋼床鈑!V188/2)/鋼床鈑!W188+(鋼床鈑!T188+鋼床鈑!U188/2+鋼床鈑!V188/2)/鋼床鈑!X188)</f>
        <v>768997704357.25269</v>
      </c>
      <c r="V188" s="12">
        <f t="shared" si="34"/>
        <v>0.29890183137723403</v>
      </c>
      <c r="W188" s="12">
        <f t="shared" si="35"/>
        <v>0.29437544767149948</v>
      </c>
      <c r="X188" s="12">
        <f t="shared" si="36"/>
        <v>0.70837702708800554</v>
      </c>
      <c r="Y188" s="12">
        <f t="shared" si="37"/>
        <v>0.46366412684232844</v>
      </c>
      <c r="Z188" s="12">
        <f t="shared" si="32"/>
        <v>1.5124257586235506</v>
      </c>
      <c r="AA188" s="12">
        <f t="shared" si="33"/>
        <v>1.6445463426974198</v>
      </c>
      <c r="AB188" s="10">
        <f t="shared" si="38"/>
        <v>4.0359999999999996</v>
      </c>
      <c r="AC188" s="10">
        <f t="shared" si="39"/>
        <v>6.45</v>
      </c>
      <c r="AD188" s="10">
        <f t="shared" si="40"/>
        <v>0.41820000000000002</v>
      </c>
      <c r="AE188" s="12">
        <f t="shared" si="41"/>
        <v>0.76899770435725268</v>
      </c>
      <c r="AF188" s="12">
        <f t="shared" si="42"/>
        <v>0.152</v>
      </c>
      <c r="AG188" s="12">
        <f t="shared" si="43"/>
        <v>0.15892800000000001</v>
      </c>
      <c r="AH188" s="10">
        <f t="shared" si="44"/>
        <v>0.95660392663054294</v>
      </c>
      <c r="AI188" s="10">
        <f t="shared" si="45"/>
        <v>1.1310355639654699</v>
      </c>
      <c r="AJ188" s="13">
        <f t="shared" si="46"/>
        <v>0.95660392663054294</v>
      </c>
      <c r="AK188" s="13">
        <f t="shared" si="47"/>
        <v>1.1310355639654699</v>
      </c>
    </row>
    <row r="189" spans="1:37">
      <c r="A189" s="8">
        <f>鋼床鈑!A189</f>
        <v>187</v>
      </c>
      <c r="B189" s="43" t="s">
        <v>41</v>
      </c>
      <c r="C189" s="43" t="s">
        <v>42</v>
      </c>
      <c r="D189" s="43" t="s">
        <v>266</v>
      </c>
      <c r="E189" s="44">
        <v>418200</v>
      </c>
      <c r="F189" s="45">
        <v>121680.8575</v>
      </c>
      <c r="G189" s="45">
        <v>136115.51930000001</v>
      </c>
      <c r="H189" s="45">
        <v>727404217233.58801</v>
      </c>
      <c r="I189" s="45">
        <v>1131035563965.47</v>
      </c>
      <c r="J189" s="45">
        <v>956603926630.54297</v>
      </c>
      <c r="K189" s="45">
        <v>3249.605</v>
      </c>
      <c r="L189" s="45">
        <v>3200.395</v>
      </c>
      <c r="M189" s="45">
        <v>1596.6576</v>
      </c>
      <c r="N189" s="45">
        <v>2439.3424</v>
      </c>
      <c r="O189" s="44">
        <v>0</v>
      </c>
      <c r="P189" s="44">
        <v>0</v>
      </c>
      <c r="Q189" s="44">
        <v>26958</v>
      </c>
      <c r="R189" s="44">
        <v>20834</v>
      </c>
      <c r="S189" s="11">
        <f>(鋼床鈑!O189+鋼床鈑!W189+鋼床鈑!X189)*鋼床鈑!U189+(鋼床鈑!R189+鋼床鈑!W189+鋼床鈑!X189)*鋼床鈑!V189</f>
        <v>158928</v>
      </c>
      <c r="T189" s="11">
        <f>(鋼床鈑!T189)*鋼床鈑!W189+(鋼床鈑!T189)*鋼床鈑!X189</f>
        <v>152000</v>
      </c>
      <c r="U189" s="11">
        <f>4*((鋼床鈑!R189+鋼床鈑!W189/2+鋼床鈑!X189/2)*(鋼床鈑!T189+鋼床鈑!U189/2+鋼床鈑!V189/2))^2/((鋼床鈑!O189+鋼床鈑!W189/2+鋼床鈑!X189/2)/鋼床鈑!U189+(鋼床鈑!R189+鋼床鈑!W189/2+鋼床鈑!X189/2)/鋼床鈑!V189+(鋼床鈑!T189+鋼床鈑!U189/2+鋼床鈑!V189/2)/鋼床鈑!W189+(鋼床鈑!T189+鋼床鈑!U189/2+鋼床鈑!V189/2)/鋼床鈑!X189)</f>
        <v>768997704357.25269</v>
      </c>
      <c r="V189" s="12">
        <f t="shared" si="34"/>
        <v>0.29890183137723403</v>
      </c>
      <c r="W189" s="12">
        <f t="shared" si="35"/>
        <v>0.29437544767149948</v>
      </c>
      <c r="X189" s="12">
        <f t="shared" si="36"/>
        <v>0.70837702708800554</v>
      </c>
      <c r="Y189" s="12">
        <f t="shared" si="37"/>
        <v>0.46366412684232844</v>
      </c>
      <c r="Z189" s="12">
        <f t="shared" si="32"/>
        <v>1.5124257586235506</v>
      </c>
      <c r="AA189" s="12">
        <f t="shared" si="33"/>
        <v>1.6445463426974198</v>
      </c>
      <c r="AB189" s="10">
        <f t="shared" si="38"/>
        <v>4.0359999999999996</v>
      </c>
      <c r="AC189" s="10">
        <f t="shared" si="39"/>
        <v>6.45</v>
      </c>
      <c r="AD189" s="10">
        <f t="shared" si="40"/>
        <v>0.41820000000000002</v>
      </c>
      <c r="AE189" s="12">
        <f t="shared" si="41"/>
        <v>0.76899770435725268</v>
      </c>
      <c r="AF189" s="12">
        <f t="shared" si="42"/>
        <v>0.152</v>
      </c>
      <c r="AG189" s="12">
        <f t="shared" si="43"/>
        <v>0.15892800000000001</v>
      </c>
      <c r="AH189" s="10">
        <f t="shared" si="44"/>
        <v>0.95660392663054294</v>
      </c>
      <c r="AI189" s="10">
        <f t="shared" si="45"/>
        <v>1.1310355639654699</v>
      </c>
      <c r="AJ189" s="13">
        <f t="shared" si="46"/>
        <v>0.95660392663054294</v>
      </c>
      <c r="AK189" s="13">
        <f t="shared" si="47"/>
        <v>1.1310355639654699</v>
      </c>
    </row>
    <row r="190" spans="1:37">
      <c r="A190" s="8">
        <f>鋼床鈑!A190</f>
        <v>188</v>
      </c>
      <c r="B190" s="43" t="s">
        <v>41</v>
      </c>
      <c r="C190" s="43" t="s">
        <v>42</v>
      </c>
      <c r="D190" s="43" t="s">
        <v>267</v>
      </c>
      <c r="E190" s="44">
        <v>418200</v>
      </c>
      <c r="F190" s="45">
        <v>121680.8575</v>
      </c>
      <c r="G190" s="45">
        <v>136115.51930000001</v>
      </c>
      <c r="H190" s="45">
        <v>727404217233.58801</v>
      </c>
      <c r="I190" s="45">
        <v>1131035563965.47</v>
      </c>
      <c r="J190" s="45">
        <v>956603926630.54297</v>
      </c>
      <c r="K190" s="45">
        <v>3249.605</v>
      </c>
      <c r="L190" s="45">
        <v>3200.395</v>
      </c>
      <c r="M190" s="45">
        <v>1596.6576</v>
      </c>
      <c r="N190" s="45">
        <v>2439.3424</v>
      </c>
      <c r="O190" s="44">
        <v>0</v>
      </c>
      <c r="P190" s="44">
        <v>0</v>
      </c>
      <c r="Q190" s="44">
        <v>26958</v>
      </c>
      <c r="R190" s="44">
        <v>20834</v>
      </c>
      <c r="S190" s="11">
        <f>(鋼床鈑!O190+鋼床鈑!W190+鋼床鈑!X190)*鋼床鈑!U190+(鋼床鈑!R190+鋼床鈑!W190+鋼床鈑!X190)*鋼床鈑!V190</f>
        <v>158928</v>
      </c>
      <c r="T190" s="11">
        <f>(鋼床鈑!T190)*鋼床鈑!W190+(鋼床鈑!T190)*鋼床鈑!X190</f>
        <v>152000</v>
      </c>
      <c r="U190" s="11">
        <f>4*((鋼床鈑!R190+鋼床鈑!W190/2+鋼床鈑!X190/2)*(鋼床鈑!T190+鋼床鈑!U190/2+鋼床鈑!V190/2))^2/((鋼床鈑!O190+鋼床鈑!W190/2+鋼床鈑!X190/2)/鋼床鈑!U190+(鋼床鈑!R190+鋼床鈑!W190/2+鋼床鈑!X190/2)/鋼床鈑!V190+(鋼床鈑!T190+鋼床鈑!U190/2+鋼床鈑!V190/2)/鋼床鈑!W190+(鋼床鈑!T190+鋼床鈑!U190/2+鋼床鈑!V190/2)/鋼床鈑!X190)</f>
        <v>768997704357.25269</v>
      </c>
      <c r="V190" s="12">
        <f t="shared" si="34"/>
        <v>0.29890183137723403</v>
      </c>
      <c r="W190" s="12">
        <f t="shared" si="35"/>
        <v>0.29437544767149948</v>
      </c>
      <c r="X190" s="12">
        <f t="shared" si="36"/>
        <v>0.70837702708800554</v>
      </c>
      <c r="Y190" s="12">
        <f t="shared" si="37"/>
        <v>0.46366412684232844</v>
      </c>
      <c r="Z190" s="12">
        <f t="shared" si="32"/>
        <v>1.5124257586235506</v>
      </c>
      <c r="AA190" s="12">
        <f t="shared" si="33"/>
        <v>1.6445463426974198</v>
      </c>
      <c r="AB190" s="10">
        <f t="shared" si="38"/>
        <v>4.0359999999999996</v>
      </c>
      <c r="AC190" s="10">
        <f t="shared" si="39"/>
        <v>6.45</v>
      </c>
      <c r="AD190" s="10">
        <f t="shared" si="40"/>
        <v>0.41820000000000002</v>
      </c>
      <c r="AE190" s="12">
        <f t="shared" si="41"/>
        <v>0.76899770435725268</v>
      </c>
      <c r="AF190" s="12">
        <f t="shared" si="42"/>
        <v>0.152</v>
      </c>
      <c r="AG190" s="12">
        <f t="shared" si="43"/>
        <v>0.15892800000000001</v>
      </c>
      <c r="AH190" s="10">
        <f t="shared" si="44"/>
        <v>0.95660392663054294</v>
      </c>
      <c r="AI190" s="10">
        <f t="shared" si="45"/>
        <v>1.1310355639654699</v>
      </c>
      <c r="AJ190" s="13">
        <f t="shared" si="46"/>
        <v>0.95660392663054294</v>
      </c>
      <c r="AK190" s="13">
        <f t="shared" si="47"/>
        <v>1.1310355639654699</v>
      </c>
    </row>
    <row r="191" spans="1:37">
      <c r="A191" s="8">
        <f>鋼床鈑!A191</f>
        <v>189</v>
      </c>
      <c r="B191" s="43" t="s">
        <v>41</v>
      </c>
      <c r="C191" s="43" t="s">
        <v>42</v>
      </c>
      <c r="D191" s="43" t="s">
        <v>268</v>
      </c>
      <c r="E191" s="44">
        <v>418200</v>
      </c>
      <c r="F191" s="45">
        <v>121680.8575</v>
      </c>
      <c r="G191" s="45">
        <v>136115.51930000001</v>
      </c>
      <c r="H191" s="45">
        <v>727404217233.58801</v>
      </c>
      <c r="I191" s="45">
        <v>1131035563965.47</v>
      </c>
      <c r="J191" s="45">
        <v>956603926630.54297</v>
      </c>
      <c r="K191" s="45">
        <v>3249.605</v>
      </c>
      <c r="L191" s="45">
        <v>3200.395</v>
      </c>
      <c r="M191" s="45">
        <v>1596.6576</v>
      </c>
      <c r="N191" s="45">
        <v>2439.3424</v>
      </c>
      <c r="O191" s="44">
        <v>0</v>
      </c>
      <c r="P191" s="44">
        <v>0</v>
      </c>
      <c r="Q191" s="44">
        <v>26958</v>
      </c>
      <c r="R191" s="44">
        <v>20834</v>
      </c>
      <c r="S191" s="11">
        <f>(鋼床鈑!O191+鋼床鈑!W191+鋼床鈑!X191)*鋼床鈑!U191+(鋼床鈑!R191+鋼床鈑!W191+鋼床鈑!X191)*鋼床鈑!V191</f>
        <v>136224</v>
      </c>
      <c r="T191" s="11">
        <f>(鋼床鈑!T191)*鋼床鈑!W191+(鋼床鈑!T191)*鋼床鈑!X191</f>
        <v>152000</v>
      </c>
      <c r="U191" s="11">
        <f>4*((鋼床鈑!R191+鋼床鈑!W191/2+鋼床鈑!X191/2)*(鋼床鈑!T191+鋼床鈑!U191/2+鋼床鈑!V191/2))^2/((鋼床鈑!O191+鋼床鈑!W191/2+鋼床鈑!X191/2)/鋼床鈑!U191+(鋼床鈑!R191+鋼床鈑!W191/2+鋼床鈑!X191/2)/鋼床鈑!V191+(鋼床鈑!T191+鋼床鈑!U191/2+鋼床鈑!V191/2)/鋼床鈑!W191+(鋼床鈑!T191+鋼床鈑!U191/2+鋼床鈑!V191/2)/鋼床鈑!X191)</f>
        <v>748283049018.55042</v>
      </c>
      <c r="V191" s="12">
        <f t="shared" si="34"/>
        <v>0.29890183137723403</v>
      </c>
      <c r="W191" s="12">
        <f t="shared" si="35"/>
        <v>0.29437544767149948</v>
      </c>
      <c r="X191" s="12">
        <f t="shared" si="36"/>
        <v>0.70837702708800554</v>
      </c>
      <c r="Y191" s="12">
        <f t="shared" si="37"/>
        <v>0.46366412684232844</v>
      </c>
      <c r="Z191" s="12">
        <f t="shared" si="32"/>
        <v>1.5124257586235506</v>
      </c>
      <c r="AA191" s="12">
        <f t="shared" si="33"/>
        <v>1.6445463426974198</v>
      </c>
      <c r="AB191" s="10">
        <f t="shared" si="38"/>
        <v>4.0359999999999996</v>
      </c>
      <c r="AC191" s="10">
        <f t="shared" si="39"/>
        <v>6.45</v>
      </c>
      <c r="AD191" s="10">
        <f t="shared" si="40"/>
        <v>0.41820000000000002</v>
      </c>
      <c r="AE191" s="12">
        <f t="shared" si="41"/>
        <v>0.74828304901855036</v>
      </c>
      <c r="AF191" s="12">
        <f t="shared" si="42"/>
        <v>0.152</v>
      </c>
      <c r="AG191" s="12">
        <f t="shared" si="43"/>
        <v>0.13622400000000001</v>
      </c>
      <c r="AH191" s="10">
        <f t="shared" si="44"/>
        <v>0.95660392663054294</v>
      </c>
      <c r="AI191" s="10">
        <f t="shared" si="45"/>
        <v>1.1310355639654699</v>
      </c>
      <c r="AJ191" s="13">
        <f t="shared" si="46"/>
        <v>0.95660392663054294</v>
      </c>
      <c r="AK191" s="13">
        <f t="shared" si="47"/>
        <v>1.1310355639654699</v>
      </c>
    </row>
    <row r="192" spans="1:37">
      <c r="A192" s="8">
        <f>鋼床鈑!A192</f>
        <v>190</v>
      </c>
      <c r="B192" s="43" t="s">
        <v>41</v>
      </c>
      <c r="C192" s="43" t="s">
        <v>42</v>
      </c>
      <c r="D192" s="43" t="s">
        <v>269</v>
      </c>
      <c r="E192" s="44">
        <v>418200</v>
      </c>
      <c r="F192" s="45">
        <v>121680.8575</v>
      </c>
      <c r="G192" s="45">
        <v>136115.51930000001</v>
      </c>
      <c r="H192" s="45">
        <v>727404217233.58801</v>
      </c>
      <c r="I192" s="45">
        <v>1131035563965.47</v>
      </c>
      <c r="J192" s="45">
        <v>956603926630.54297</v>
      </c>
      <c r="K192" s="45">
        <v>3249.605</v>
      </c>
      <c r="L192" s="45">
        <v>3200.395</v>
      </c>
      <c r="M192" s="45">
        <v>1596.6576</v>
      </c>
      <c r="N192" s="45">
        <v>2439.3424</v>
      </c>
      <c r="O192" s="44">
        <v>0</v>
      </c>
      <c r="P192" s="44">
        <v>0</v>
      </c>
      <c r="Q192" s="44">
        <v>26958</v>
      </c>
      <c r="R192" s="44">
        <v>20834</v>
      </c>
      <c r="S192" s="11">
        <f>(鋼床鈑!O192+鋼床鈑!W192+鋼床鈑!X192)*鋼床鈑!U192+(鋼床鈑!R192+鋼床鈑!W192+鋼床鈑!X192)*鋼床鈑!V192</f>
        <v>136224</v>
      </c>
      <c r="T192" s="11">
        <f>(鋼床鈑!T192)*鋼床鈑!W192+(鋼床鈑!T192)*鋼床鈑!X192</f>
        <v>152000</v>
      </c>
      <c r="U192" s="11">
        <f>4*((鋼床鈑!R192+鋼床鈑!W192/2+鋼床鈑!X192/2)*(鋼床鈑!T192+鋼床鈑!U192/2+鋼床鈑!V192/2))^2/((鋼床鈑!O192+鋼床鈑!W192/2+鋼床鈑!X192/2)/鋼床鈑!U192+(鋼床鈑!R192+鋼床鈑!W192/2+鋼床鈑!X192/2)/鋼床鈑!V192+(鋼床鈑!T192+鋼床鈑!U192/2+鋼床鈑!V192/2)/鋼床鈑!W192+(鋼床鈑!T192+鋼床鈑!U192/2+鋼床鈑!V192/2)/鋼床鈑!X192)</f>
        <v>748283049018.55042</v>
      </c>
      <c r="V192" s="12">
        <f t="shared" si="34"/>
        <v>0.29890183137723403</v>
      </c>
      <c r="W192" s="12">
        <f t="shared" si="35"/>
        <v>0.29437544767149948</v>
      </c>
      <c r="X192" s="12">
        <f t="shared" si="36"/>
        <v>0.70837702708800554</v>
      </c>
      <c r="Y192" s="12">
        <f t="shared" si="37"/>
        <v>0.46366412684232844</v>
      </c>
      <c r="Z192" s="12">
        <f t="shared" si="32"/>
        <v>1.5124257586235506</v>
      </c>
      <c r="AA192" s="12">
        <f t="shared" si="33"/>
        <v>1.6445463426974198</v>
      </c>
      <c r="AB192" s="10">
        <f t="shared" si="38"/>
        <v>4.0359999999999996</v>
      </c>
      <c r="AC192" s="10">
        <f t="shared" si="39"/>
        <v>6.45</v>
      </c>
      <c r="AD192" s="10">
        <f t="shared" si="40"/>
        <v>0.41820000000000002</v>
      </c>
      <c r="AE192" s="12">
        <f t="shared" si="41"/>
        <v>0.74828304901855036</v>
      </c>
      <c r="AF192" s="12">
        <f t="shared" si="42"/>
        <v>0.152</v>
      </c>
      <c r="AG192" s="12">
        <f t="shared" si="43"/>
        <v>0.13622400000000001</v>
      </c>
      <c r="AH192" s="10">
        <f t="shared" si="44"/>
        <v>0.95660392663054294</v>
      </c>
      <c r="AI192" s="10">
        <f t="shared" si="45"/>
        <v>1.1310355639654699</v>
      </c>
      <c r="AJ192" s="13">
        <f t="shared" si="46"/>
        <v>0.95660392663054294</v>
      </c>
      <c r="AK192" s="13">
        <f t="shared" si="47"/>
        <v>1.1310355639654699</v>
      </c>
    </row>
    <row r="193" spans="1:37">
      <c r="A193" s="8">
        <f>鋼床鈑!A193</f>
        <v>191</v>
      </c>
      <c r="B193" s="43" t="s">
        <v>41</v>
      </c>
      <c r="C193" s="43" t="s">
        <v>42</v>
      </c>
      <c r="D193" s="43" t="s">
        <v>270</v>
      </c>
      <c r="E193" s="44">
        <v>418200</v>
      </c>
      <c r="F193" s="45">
        <v>121680.8575</v>
      </c>
      <c r="G193" s="45">
        <v>136115.51930000001</v>
      </c>
      <c r="H193" s="45">
        <v>727404217233.58801</v>
      </c>
      <c r="I193" s="45">
        <v>1131035563965.47</v>
      </c>
      <c r="J193" s="45">
        <v>956603926630.54297</v>
      </c>
      <c r="K193" s="45">
        <v>3249.605</v>
      </c>
      <c r="L193" s="45">
        <v>3200.395</v>
      </c>
      <c r="M193" s="45">
        <v>1596.6576</v>
      </c>
      <c r="N193" s="45">
        <v>2439.3424</v>
      </c>
      <c r="O193" s="44">
        <v>0</v>
      </c>
      <c r="P193" s="44">
        <v>0</v>
      </c>
      <c r="Q193" s="44">
        <v>26958</v>
      </c>
      <c r="R193" s="44">
        <v>20834</v>
      </c>
      <c r="S193" s="11">
        <f>(鋼床鈑!O193+鋼床鈑!W193+鋼床鈑!X193)*鋼床鈑!U193+(鋼床鈑!R193+鋼床鈑!W193+鋼床鈑!X193)*鋼床鈑!V193</f>
        <v>136224</v>
      </c>
      <c r="T193" s="11">
        <f>(鋼床鈑!T193)*鋼床鈑!W193+(鋼床鈑!T193)*鋼床鈑!X193</f>
        <v>152000</v>
      </c>
      <c r="U193" s="11">
        <f>4*((鋼床鈑!R193+鋼床鈑!W193/2+鋼床鈑!X193/2)*(鋼床鈑!T193+鋼床鈑!U193/2+鋼床鈑!V193/2))^2/((鋼床鈑!O193+鋼床鈑!W193/2+鋼床鈑!X193/2)/鋼床鈑!U193+(鋼床鈑!R193+鋼床鈑!W193/2+鋼床鈑!X193/2)/鋼床鈑!V193+(鋼床鈑!T193+鋼床鈑!U193/2+鋼床鈑!V193/2)/鋼床鈑!W193+(鋼床鈑!T193+鋼床鈑!U193/2+鋼床鈑!V193/2)/鋼床鈑!X193)</f>
        <v>748283049018.55042</v>
      </c>
      <c r="V193" s="12">
        <f t="shared" si="34"/>
        <v>0.29890183137723403</v>
      </c>
      <c r="W193" s="12">
        <f t="shared" si="35"/>
        <v>0.29437544767149948</v>
      </c>
      <c r="X193" s="12">
        <f t="shared" si="36"/>
        <v>0.70837702708800554</v>
      </c>
      <c r="Y193" s="12">
        <f t="shared" si="37"/>
        <v>0.46366412684232844</v>
      </c>
      <c r="Z193" s="12">
        <f t="shared" si="32"/>
        <v>1.5124257586235506</v>
      </c>
      <c r="AA193" s="12">
        <f t="shared" si="33"/>
        <v>1.6445463426974198</v>
      </c>
      <c r="AB193" s="10">
        <f t="shared" si="38"/>
        <v>4.0359999999999996</v>
      </c>
      <c r="AC193" s="10">
        <f t="shared" si="39"/>
        <v>6.45</v>
      </c>
      <c r="AD193" s="10">
        <f t="shared" si="40"/>
        <v>0.41820000000000002</v>
      </c>
      <c r="AE193" s="12">
        <f t="shared" si="41"/>
        <v>0.74828304901855036</v>
      </c>
      <c r="AF193" s="12">
        <f t="shared" si="42"/>
        <v>0.152</v>
      </c>
      <c r="AG193" s="12">
        <f t="shared" si="43"/>
        <v>0.13622400000000001</v>
      </c>
      <c r="AH193" s="10">
        <f t="shared" si="44"/>
        <v>0.95660392663054294</v>
      </c>
      <c r="AI193" s="10">
        <f t="shared" si="45"/>
        <v>1.1310355639654699</v>
      </c>
      <c r="AJ193" s="13">
        <f t="shared" si="46"/>
        <v>0.95660392663054294</v>
      </c>
      <c r="AK193" s="13">
        <f t="shared" si="47"/>
        <v>1.1310355639654699</v>
      </c>
    </row>
    <row r="194" spans="1:37">
      <c r="A194" s="8">
        <f>鋼床鈑!A194</f>
        <v>192</v>
      </c>
      <c r="B194" s="43" t="s">
        <v>41</v>
      </c>
      <c r="C194" s="43" t="s">
        <v>42</v>
      </c>
      <c r="D194" s="43" t="s">
        <v>271</v>
      </c>
      <c r="E194" s="44">
        <v>418200</v>
      </c>
      <c r="F194" s="45">
        <v>121680.8575</v>
      </c>
      <c r="G194" s="45">
        <v>136115.51930000001</v>
      </c>
      <c r="H194" s="45">
        <v>727404217233.58801</v>
      </c>
      <c r="I194" s="45">
        <v>1131035563965.47</v>
      </c>
      <c r="J194" s="45">
        <v>956603926630.54297</v>
      </c>
      <c r="K194" s="45">
        <v>3249.605</v>
      </c>
      <c r="L194" s="45">
        <v>3200.395</v>
      </c>
      <c r="M194" s="45">
        <v>1596.6576</v>
      </c>
      <c r="N194" s="45">
        <v>2439.3424</v>
      </c>
      <c r="O194" s="44">
        <v>0</v>
      </c>
      <c r="P194" s="44">
        <v>0</v>
      </c>
      <c r="Q194" s="44">
        <v>26958</v>
      </c>
      <c r="R194" s="44">
        <v>20834</v>
      </c>
      <c r="S194" s="11">
        <f>(鋼床鈑!O194+鋼床鈑!W194+鋼床鈑!X194)*鋼床鈑!U194+(鋼床鈑!R194+鋼床鈑!W194+鋼床鈑!X194)*鋼床鈑!V194</f>
        <v>136224</v>
      </c>
      <c r="T194" s="11">
        <f>(鋼床鈑!T194)*鋼床鈑!W194+(鋼床鈑!T194)*鋼床鈑!X194</f>
        <v>152000</v>
      </c>
      <c r="U194" s="11">
        <f>4*((鋼床鈑!R194+鋼床鈑!W194/2+鋼床鈑!X194/2)*(鋼床鈑!T194+鋼床鈑!U194/2+鋼床鈑!V194/2))^2/((鋼床鈑!O194+鋼床鈑!W194/2+鋼床鈑!X194/2)/鋼床鈑!U194+(鋼床鈑!R194+鋼床鈑!W194/2+鋼床鈑!X194/2)/鋼床鈑!V194+(鋼床鈑!T194+鋼床鈑!U194/2+鋼床鈑!V194/2)/鋼床鈑!W194+(鋼床鈑!T194+鋼床鈑!U194/2+鋼床鈑!V194/2)/鋼床鈑!X194)</f>
        <v>748283049018.55042</v>
      </c>
      <c r="V194" s="12">
        <f t="shared" si="34"/>
        <v>0.29890183137723403</v>
      </c>
      <c r="W194" s="12">
        <f t="shared" si="35"/>
        <v>0.29437544767149948</v>
      </c>
      <c r="X194" s="12">
        <f t="shared" si="36"/>
        <v>0.70837702708800554</v>
      </c>
      <c r="Y194" s="12">
        <f t="shared" si="37"/>
        <v>0.46366412684232844</v>
      </c>
      <c r="Z194" s="12">
        <f t="shared" si="32"/>
        <v>1.5124257586235506</v>
      </c>
      <c r="AA194" s="12">
        <f t="shared" si="33"/>
        <v>1.6445463426974198</v>
      </c>
      <c r="AB194" s="10">
        <f t="shared" si="38"/>
        <v>4.0359999999999996</v>
      </c>
      <c r="AC194" s="10">
        <f t="shared" si="39"/>
        <v>6.45</v>
      </c>
      <c r="AD194" s="10">
        <f t="shared" si="40"/>
        <v>0.41820000000000002</v>
      </c>
      <c r="AE194" s="12">
        <f t="shared" si="41"/>
        <v>0.74828304901855036</v>
      </c>
      <c r="AF194" s="12">
        <f t="shared" si="42"/>
        <v>0.152</v>
      </c>
      <c r="AG194" s="12">
        <f t="shared" si="43"/>
        <v>0.13622400000000001</v>
      </c>
      <c r="AH194" s="10">
        <f t="shared" si="44"/>
        <v>0.95660392663054294</v>
      </c>
      <c r="AI194" s="10">
        <f t="shared" si="45"/>
        <v>1.1310355639654699</v>
      </c>
      <c r="AJ194" s="13">
        <f t="shared" si="46"/>
        <v>0.95660392663054294</v>
      </c>
      <c r="AK194" s="13">
        <f t="shared" si="47"/>
        <v>1.1310355639654699</v>
      </c>
    </row>
    <row r="195" spans="1:37">
      <c r="A195" s="8">
        <f>鋼床鈑!A195</f>
        <v>193</v>
      </c>
      <c r="B195" s="43" t="s">
        <v>41</v>
      </c>
      <c r="C195" s="43" t="s">
        <v>42</v>
      </c>
      <c r="D195" s="43" t="s">
        <v>272</v>
      </c>
      <c r="E195" s="44">
        <v>418200</v>
      </c>
      <c r="F195" s="45">
        <v>121680.8575</v>
      </c>
      <c r="G195" s="45">
        <v>136115.51930000001</v>
      </c>
      <c r="H195" s="45">
        <v>727404217233.58801</v>
      </c>
      <c r="I195" s="45">
        <v>1131035563965.47</v>
      </c>
      <c r="J195" s="45">
        <v>956603926630.54297</v>
      </c>
      <c r="K195" s="45">
        <v>3249.605</v>
      </c>
      <c r="L195" s="45">
        <v>3200.395</v>
      </c>
      <c r="M195" s="45">
        <v>1596.6576</v>
      </c>
      <c r="N195" s="45">
        <v>2439.3424</v>
      </c>
      <c r="O195" s="44">
        <v>0</v>
      </c>
      <c r="P195" s="44">
        <v>0</v>
      </c>
      <c r="Q195" s="44">
        <v>26958</v>
      </c>
      <c r="R195" s="44">
        <v>20834</v>
      </c>
      <c r="S195" s="11">
        <f>(鋼床鈑!O195+鋼床鈑!W195+鋼床鈑!X195)*鋼床鈑!U195+(鋼床鈑!R195+鋼床鈑!W195+鋼床鈑!X195)*鋼床鈑!V195</f>
        <v>136224</v>
      </c>
      <c r="T195" s="11">
        <f>(鋼床鈑!T195)*鋼床鈑!W195+(鋼床鈑!T195)*鋼床鈑!X195</f>
        <v>152000</v>
      </c>
      <c r="U195" s="11">
        <f>4*((鋼床鈑!R195+鋼床鈑!W195/2+鋼床鈑!X195/2)*(鋼床鈑!T195+鋼床鈑!U195/2+鋼床鈑!V195/2))^2/((鋼床鈑!O195+鋼床鈑!W195/2+鋼床鈑!X195/2)/鋼床鈑!U195+(鋼床鈑!R195+鋼床鈑!W195/2+鋼床鈑!X195/2)/鋼床鈑!V195+(鋼床鈑!T195+鋼床鈑!U195/2+鋼床鈑!V195/2)/鋼床鈑!W195+(鋼床鈑!T195+鋼床鈑!U195/2+鋼床鈑!V195/2)/鋼床鈑!X195)</f>
        <v>748283049018.55042</v>
      </c>
      <c r="V195" s="12">
        <f t="shared" si="34"/>
        <v>0.29890183137723403</v>
      </c>
      <c r="W195" s="12">
        <f t="shared" si="35"/>
        <v>0.29437544767149948</v>
      </c>
      <c r="X195" s="12">
        <f t="shared" si="36"/>
        <v>0.70837702708800554</v>
      </c>
      <c r="Y195" s="12">
        <f t="shared" si="37"/>
        <v>0.46366412684232844</v>
      </c>
      <c r="Z195" s="12">
        <f t="shared" si="32"/>
        <v>1.5124257586235506</v>
      </c>
      <c r="AA195" s="12">
        <f t="shared" si="33"/>
        <v>1.6445463426974198</v>
      </c>
      <c r="AB195" s="10">
        <f t="shared" si="38"/>
        <v>4.0359999999999996</v>
      </c>
      <c r="AC195" s="10">
        <f t="shared" si="39"/>
        <v>6.45</v>
      </c>
      <c r="AD195" s="10">
        <f t="shared" si="40"/>
        <v>0.41820000000000002</v>
      </c>
      <c r="AE195" s="12">
        <f t="shared" si="41"/>
        <v>0.74828304901855036</v>
      </c>
      <c r="AF195" s="12">
        <f t="shared" si="42"/>
        <v>0.152</v>
      </c>
      <c r="AG195" s="12">
        <f t="shared" si="43"/>
        <v>0.13622400000000001</v>
      </c>
      <c r="AH195" s="10">
        <f t="shared" si="44"/>
        <v>0.95660392663054294</v>
      </c>
      <c r="AI195" s="10">
        <f t="shared" si="45"/>
        <v>1.1310355639654699</v>
      </c>
      <c r="AJ195" s="13">
        <f t="shared" si="46"/>
        <v>0.95660392663054294</v>
      </c>
      <c r="AK195" s="13">
        <f t="shared" si="47"/>
        <v>1.1310355639654699</v>
      </c>
    </row>
    <row r="196" spans="1:37">
      <c r="A196" s="8">
        <f>鋼床鈑!A196</f>
        <v>194</v>
      </c>
      <c r="B196" s="43" t="s">
        <v>41</v>
      </c>
      <c r="C196" s="43" t="s">
        <v>42</v>
      </c>
      <c r="D196" s="43" t="s">
        <v>273</v>
      </c>
      <c r="E196" s="44">
        <v>418200</v>
      </c>
      <c r="F196" s="45">
        <v>121680.8575</v>
      </c>
      <c r="G196" s="45">
        <v>136115.51930000001</v>
      </c>
      <c r="H196" s="45">
        <v>727404217233.58801</v>
      </c>
      <c r="I196" s="45">
        <v>1131035563965.47</v>
      </c>
      <c r="J196" s="45">
        <v>956603926630.54297</v>
      </c>
      <c r="K196" s="45">
        <v>3249.605</v>
      </c>
      <c r="L196" s="45">
        <v>3200.395</v>
      </c>
      <c r="M196" s="45">
        <v>1596.6576</v>
      </c>
      <c r="N196" s="45">
        <v>2439.3424</v>
      </c>
      <c r="O196" s="44">
        <v>0</v>
      </c>
      <c r="P196" s="44">
        <v>0</v>
      </c>
      <c r="Q196" s="44">
        <v>26958</v>
      </c>
      <c r="R196" s="44">
        <v>20834</v>
      </c>
      <c r="S196" s="11">
        <f>(鋼床鈑!O196+鋼床鈑!W196+鋼床鈑!X196)*鋼床鈑!U196+(鋼床鈑!R196+鋼床鈑!W196+鋼床鈑!X196)*鋼床鈑!V196</f>
        <v>136224</v>
      </c>
      <c r="T196" s="11">
        <f>(鋼床鈑!T196)*鋼床鈑!W196+(鋼床鈑!T196)*鋼床鈑!X196</f>
        <v>152000</v>
      </c>
      <c r="U196" s="11">
        <f>4*((鋼床鈑!R196+鋼床鈑!W196/2+鋼床鈑!X196/2)*(鋼床鈑!T196+鋼床鈑!U196/2+鋼床鈑!V196/2))^2/((鋼床鈑!O196+鋼床鈑!W196/2+鋼床鈑!X196/2)/鋼床鈑!U196+(鋼床鈑!R196+鋼床鈑!W196/2+鋼床鈑!X196/2)/鋼床鈑!V196+(鋼床鈑!T196+鋼床鈑!U196/2+鋼床鈑!V196/2)/鋼床鈑!W196+(鋼床鈑!T196+鋼床鈑!U196/2+鋼床鈑!V196/2)/鋼床鈑!X196)</f>
        <v>748283049018.55042</v>
      </c>
      <c r="V196" s="12">
        <f t="shared" si="34"/>
        <v>0.29890183137723403</v>
      </c>
      <c r="W196" s="12">
        <f t="shared" si="35"/>
        <v>0.29437544767149948</v>
      </c>
      <c r="X196" s="12">
        <f t="shared" si="36"/>
        <v>0.70837702708800554</v>
      </c>
      <c r="Y196" s="12">
        <f t="shared" si="37"/>
        <v>0.46366412684232844</v>
      </c>
      <c r="Z196" s="12">
        <f t="shared" ref="Z196:Z211" si="48">SQRT(AH196/AD196)</f>
        <v>1.5124257586235506</v>
      </c>
      <c r="AA196" s="12">
        <f t="shared" ref="AA196:AA211" si="49">SQRT(AI196/AD196)</f>
        <v>1.6445463426974198</v>
      </c>
      <c r="AB196" s="10">
        <f t="shared" si="38"/>
        <v>4.0359999999999996</v>
      </c>
      <c r="AC196" s="10">
        <f t="shared" si="39"/>
        <v>6.45</v>
      </c>
      <c r="AD196" s="10">
        <f t="shared" si="40"/>
        <v>0.41820000000000002</v>
      </c>
      <c r="AE196" s="12">
        <f t="shared" si="41"/>
        <v>0.74828304901855036</v>
      </c>
      <c r="AF196" s="12">
        <f t="shared" si="42"/>
        <v>0.152</v>
      </c>
      <c r="AG196" s="12">
        <f t="shared" si="43"/>
        <v>0.13622400000000001</v>
      </c>
      <c r="AH196" s="10">
        <f t="shared" si="44"/>
        <v>0.95660392663054294</v>
      </c>
      <c r="AI196" s="10">
        <f t="shared" si="45"/>
        <v>1.1310355639654699</v>
      </c>
      <c r="AJ196" s="13">
        <f t="shared" si="46"/>
        <v>0.95660392663054294</v>
      </c>
      <c r="AK196" s="13">
        <f t="shared" si="47"/>
        <v>1.1310355639654699</v>
      </c>
    </row>
    <row r="197" spans="1:37">
      <c r="A197" s="8">
        <f>鋼床鈑!A197</f>
        <v>195</v>
      </c>
      <c r="B197" s="43" t="s">
        <v>41</v>
      </c>
      <c r="C197" s="43" t="s">
        <v>42</v>
      </c>
      <c r="D197" s="43" t="s">
        <v>274</v>
      </c>
      <c r="E197" s="44">
        <v>418200</v>
      </c>
      <c r="F197" s="45">
        <v>121680.8575</v>
      </c>
      <c r="G197" s="45">
        <v>136115.51930000001</v>
      </c>
      <c r="H197" s="45">
        <v>727404217233.58801</v>
      </c>
      <c r="I197" s="45">
        <v>1131035563965.47</v>
      </c>
      <c r="J197" s="45">
        <v>956603926630.54297</v>
      </c>
      <c r="K197" s="45">
        <v>3249.605</v>
      </c>
      <c r="L197" s="45">
        <v>3200.395</v>
      </c>
      <c r="M197" s="45">
        <v>1596.6576</v>
      </c>
      <c r="N197" s="45">
        <v>2439.3424</v>
      </c>
      <c r="O197" s="44">
        <v>0</v>
      </c>
      <c r="P197" s="44">
        <v>0</v>
      </c>
      <c r="Q197" s="44">
        <v>26958</v>
      </c>
      <c r="R197" s="44">
        <v>20834</v>
      </c>
      <c r="S197" s="11">
        <f>(鋼床鈑!O197+鋼床鈑!W197+鋼床鈑!X197)*鋼床鈑!U197+(鋼床鈑!R197+鋼床鈑!W197+鋼床鈑!X197)*鋼床鈑!V197</f>
        <v>136224</v>
      </c>
      <c r="T197" s="11">
        <f>(鋼床鈑!T197)*鋼床鈑!W197+(鋼床鈑!T197)*鋼床鈑!X197</f>
        <v>152000</v>
      </c>
      <c r="U197" s="11">
        <f>4*((鋼床鈑!R197+鋼床鈑!W197/2+鋼床鈑!X197/2)*(鋼床鈑!T197+鋼床鈑!U197/2+鋼床鈑!V197/2))^2/((鋼床鈑!O197+鋼床鈑!W197/2+鋼床鈑!X197/2)/鋼床鈑!U197+(鋼床鈑!R197+鋼床鈑!W197/2+鋼床鈑!X197/2)/鋼床鈑!V197+(鋼床鈑!T197+鋼床鈑!U197/2+鋼床鈑!V197/2)/鋼床鈑!W197+(鋼床鈑!T197+鋼床鈑!U197/2+鋼床鈑!V197/2)/鋼床鈑!X197)</f>
        <v>748283049018.55042</v>
      </c>
      <c r="V197" s="12">
        <f t="shared" ref="V197:V211" si="50">AH197/(L197/1000)</f>
        <v>0.29890183137723403</v>
      </c>
      <c r="W197" s="12">
        <f t="shared" ref="W197:W211" si="51">AH197/(K197/1000)</f>
        <v>0.29437544767149948</v>
      </c>
      <c r="X197" s="12">
        <f t="shared" ref="X197:X211" si="52">AI197/(M197/1000)</f>
        <v>0.70837702708800554</v>
      </c>
      <c r="Y197" s="12">
        <f t="shared" ref="Y197:Y211" si="53">AI197/(N197/1000)</f>
        <v>0.46366412684232844</v>
      </c>
      <c r="Z197" s="12">
        <f t="shared" si="48"/>
        <v>1.5124257586235506</v>
      </c>
      <c r="AA197" s="12">
        <f t="shared" si="49"/>
        <v>1.6445463426974198</v>
      </c>
      <c r="AB197" s="10">
        <f t="shared" ref="AB197:AB211" si="54">(M197+N197)/1000</f>
        <v>4.0359999999999996</v>
      </c>
      <c r="AC197" s="10">
        <f t="shared" ref="AC197:AC211" si="55">(K197+L197)/1000</f>
        <v>6.45</v>
      </c>
      <c r="AD197" s="10">
        <f t="shared" ref="AD197:AD211" si="56">E197/1000^2</f>
        <v>0.41820000000000002</v>
      </c>
      <c r="AE197" s="12">
        <f t="shared" ref="AE197:AE211" si="57">U197/(1000^4)</f>
        <v>0.74828304901855036</v>
      </c>
      <c r="AF197" s="12">
        <f t="shared" ref="AF197:AF211" si="58">T197/1000^2</f>
        <v>0.152</v>
      </c>
      <c r="AG197" s="12">
        <f t="shared" ref="AG197:AG211" si="59">S197/1000^2</f>
        <v>0.13622400000000001</v>
      </c>
      <c r="AH197" s="10">
        <f t="shared" ref="AH197:AH211" si="60">J197/(1000^4)</f>
        <v>0.95660392663054294</v>
      </c>
      <c r="AI197" s="10">
        <f t="shared" ref="AI197:AI211" si="61">I197/(1000^4)</f>
        <v>1.1310355639654699</v>
      </c>
      <c r="AJ197" s="13">
        <f t="shared" ref="AJ197:AJ211" si="62">AH197</f>
        <v>0.95660392663054294</v>
      </c>
      <c r="AK197" s="13">
        <f t="shared" ref="AK197:AK211" si="63">AI197</f>
        <v>1.1310355639654699</v>
      </c>
    </row>
    <row r="198" spans="1:37">
      <c r="A198" s="8">
        <f>鋼床鈑!A198</f>
        <v>196</v>
      </c>
      <c r="B198" s="43" t="s">
        <v>41</v>
      </c>
      <c r="C198" s="43" t="s">
        <v>42</v>
      </c>
      <c r="D198" s="43" t="s">
        <v>275</v>
      </c>
      <c r="E198" s="44">
        <v>418200</v>
      </c>
      <c r="F198" s="45">
        <v>121680.8575</v>
      </c>
      <c r="G198" s="45">
        <v>136115.51930000001</v>
      </c>
      <c r="H198" s="45">
        <v>727404217233.58801</v>
      </c>
      <c r="I198" s="45">
        <v>1131035563965.47</v>
      </c>
      <c r="J198" s="45">
        <v>956603926630.54297</v>
      </c>
      <c r="K198" s="45">
        <v>3249.605</v>
      </c>
      <c r="L198" s="45">
        <v>3200.395</v>
      </c>
      <c r="M198" s="45">
        <v>1596.6576</v>
      </c>
      <c r="N198" s="45">
        <v>2439.3424</v>
      </c>
      <c r="O198" s="44">
        <v>0</v>
      </c>
      <c r="P198" s="44">
        <v>0</v>
      </c>
      <c r="Q198" s="44">
        <v>26958</v>
      </c>
      <c r="R198" s="44">
        <v>20834</v>
      </c>
      <c r="S198" s="11">
        <f>(鋼床鈑!O198+鋼床鈑!W198+鋼床鈑!X198)*鋼床鈑!U198+(鋼床鈑!R198+鋼床鈑!W198+鋼床鈑!X198)*鋼床鈑!V198</f>
        <v>136224</v>
      </c>
      <c r="T198" s="11">
        <f>(鋼床鈑!T198)*鋼床鈑!W198+(鋼床鈑!T198)*鋼床鈑!X198</f>
        <v>152000</v>
      </c>
      <c r="U198" s="11">
        <f>4*((鋼床鈑!R198+鋼床鈑!W198/2+鋼床鈑!X198/2)*(鋼床鈑!T198+鋼床鈑!U198/2+鋼床鈑!V198/2))^2/((鋼床鈑!O198+鋼床鈑!W198/2+鋼床鈑!X198/2)/鋼床鈑!U198+(鋼床鈑!R198+鋼床鈑!W198/2+鋼床鈑!X198/2)/鋼床鈑!V198+(鋼床鈑!T198+鋼床鈑!U198/2+鋼床鈑!V198/2)/鋼床鈑!W198+(鋼床鈑!T198+鋼床鈑!U198/2+鋼床鈑!V198/2)/鋼床鈑!X198)</f>
        <v>748283049018.55042</v>
      </c>
      <c r="V198" s="12">
        <f t="shared" si="50"/>
        <v>0.29890183137723403</v>
      </c>
      <c r="W198" s="12">
        <f t="shared" si="51"/>
        <v>0.29437544767149948</v>
      </c>
      <c r="X198" s="12">
        <f t="shared" si="52"/>
        <v>0.70837702708800554</v>
      </c>
      <c r="Y198" s="12">
        <f t="shared" si="53"/>
        <v>0.46366412684232844</v>
      </c>
      <c r="Z198" s="12">
        <f t="shared" si="48"/>
        <v>1.5124257586235506</v>
      </c>
      <c r="AA198" s="12">
        <f t="shared" si="49"/>
        <v>1.6445463426974198</v>
      </c>
      <c r="AB198" s="10">
        <f t="shared" si="54"/>
        <v>4.0359999999999996</v>
      </c>
      <c r="AC198" s="10">
        <f t="shared" si="55"/>
        <v>6.45</v>
      </c>
      <c r="AD198" s="10">
        <f t="shared" si="56"/>
        <v>0.41820000000000002</v>
      </c>
      <c r="AE198" s="12">
        <f t="shared" si="57"/>
        <v>0.74828304901855036</v>
      </c>
      <c r="AF198" s="12">
        <f t="shared" si="58"/>
        <v>0.152</v>
      </c>
      <c r="AG198" s="12">
        <f t="shared" si="59"/>
        <v>0.13622400000000001</v>
      </c>
      <c r="AH198" s="10">
        <f t="shared" si="60"/>
        <v>0.95660392663054294</v>
      </c>
      <c r="AI198" s="10">
        <f t="shared" si="61"/>
        <v>1.1310355639654699</v>
      </c>
      <c r="AJ198" s="13">
        <f t="shared" si="62"/>
        <v>0.95660392663054294</v>
      </c>
      <c r="AK198" s="13">
        <f t="shared" si="63"/>
        <v>1.1310355639654699</v>
      </c>
    </row>
    <row r="199" spans="1:37">
      <c r="A199" s="8">
        <f>鋼床鈑!A199</f>
        <v>197</v>
      </c>
      <c r="B199" s="43" t="s">
        <v>41</v>
      </c>
      <c r="C199" s="43" t="s">
        <v>42</v>
      </c>
      <c r="D199" s="43" t="s">
        <v>276</v>
      </c>
      <c r="E199" s="44">
        <v>418200</v>
      </c>
      <c r="F199" s="45">
        <v>121680.8575</v>
      </c>
      <c r="G199" s="45">
        <v>136115.51930000001</v>
      </c>
      <c r="H199" s="45">
        <v>727404217233.58801</v>
      </c>
      <c r="I199" s="45">
        <v>1131035563965.47</v>
      </c>
      <c r="J199" s="45">
        <v>956603926630.54297</v>
      </c>
      <c r="K199" s="45">
        <v>3249.605</v>
      </c>
      <c r="L199" s="45">
        <v>3200.395</v>
      </c>
      <c r="M199" s="45">
        <v>1596.6576</v>
      </c>
      <c r="N199" s="45">
        <v>2439.3424</v>
      </c>
      <c r="O199" s="44">
        <v>0</v>
      </c>
      <c r="P199" s="44">
        <v>0</v>
      </c>
      <c r="Q199" s="44">
        <v>26958</v>
      </c>
      <c r="R199" s="44">
        <v>20834</v>
      </c>
      <c r="S199" s="11">
        <f>(鋼床鈑!O199+鋼床鈑!W199+鋼床鈑!X199)*鋼床鈑!U199+(鋼床鈑!R199+鋼床鈑!W199+鋼床鈑!X199)*鋼床鈑!V199</f>
        <v>124872</v>
      </c>
      <c r="T199" s="11">
        <f>(鋼床鈑!T199)*鋼床鈑!W199+(鋼床鈑!T199)*鋼床鈑!X199</f>
        <v>152000</v>
      </c>
      <c r="U199" s="11">
        <f>4*((鋼床鈑!R199+鋼床鈑!W199/2+鋼床鈑!X199/2)*(鋼床鈑!T199+鋼床鈑!U199/2+鋼床鈑!V199/2))^2/((鋼床鈑!O199+鋼床鈑!W199/2+鋼床鈑!X199/2)/鋼床鈑!U199+(鋼床鈑!R199+鋼床鈑!W199/2+鋼床鈑!X199/2)/鋼床鈑!V199+(鋼床鈑!T199+鋼床鈑!U199/2+鋼床鈑!V199/2)/鋼床鈑!W199+(鋼床鈑!T199+鋼床鈑!U199/2+鋼床鈑!V199/2)/鋼床鈑!X199)</f>
        <v>734329162865.53711</v>
      </c>
      <c r="V199" s="12">
        <f t="shared" si="50"/>
        <v>0.29890183137723403</v>
      </c>
      <c r="W199" s="12">
        <f t="shared" si="51"/>
        <v>0.29437544767149948</v>
      </c>
      <c r="X199" s="12">
        <f t="shared" si="52"/>
        <v>0.70837702708800554</v>
      </c>
      <c r="Y199" s="12">
        <f t="shared" si="53"/>
        <v>0.46366412684232844</v>
      </c>
      <c r="Z199" s="12">
        <f t="shared" si="48"/>
        <v>1.5124257586235506</v>
      </c>
      <c r="AA199" s="12">
        <f t="shared" si="49"/>
        <v>1.6445463426974198</v>
      </c>
      <c r="AB199" s="10">
        <f t="shared" si="54"/>
        <v>4.0359999999999996</v>
      </c>
      <c r="AC199" s="10">
        <f t="shared" si="55"/>
        <v>6.45</v>
      </c>
      <c r="AD199" s="10">
        <f t="shared" si="56"/>
        <v>0.41820000000000002</v>
      </c>
      <c r="AE199" s="12">
        <f t="shared" si="57"/>
        <v>0.73432916286553707</v>
      </c>
      <c r="AF199" s="12">
        <f t="shared" si="58"/>
        <v>0.152</v>
      </c>
      <c r="AG199" s="12">
        <f t="shared" si="59"/>
        <v>0.124872</v>
      </c>
      <c r="AH199" s="10">
        <f t="shared" si="60"/>
        <v>0.95660392663054294</v>
      </c>
      <c r="AI199" s="10">
        <f t="shared" si="61"/>
        <v>1.1310355639654699</v>
      </c>
      <c r="AJ199" s="13">
        <f t="shared" si="62"/>
        <v>0.95660392663054294</v>
      </c>
      <c r="AK199" s="13">
        <f t="shared" si="63"/>
        <v>1.1310355639654699</v>
      </c>
    </row>
    <row r="200" spans="1:37">
      <c r="A200" s="8">
        <f>鋼床鈑!A200</f>
        <v>198</v>
      </c>
      <c r="B200" s="43" t="s">
        <v>41</v>
      </c>
      <c r="C200" s="43" t="s">
        <v>42</v>
      </c>
      <c r="D200" s="43" t="s">
        <v>277</v>
      </c>
      <c r="E200" s="44">
        <v>418200</v>
      </c>
      <c r="F200" s="45">
        <v>121680.8575</v>
      </c>
      <c r="G200" s="45">
        <v>136115.51930000001</v>
      </c>
      <c r="H200" s="45">
        <v>727404217233.58801</v>
      </c>
      <c r="I200" s="45">
        <v>1131035563965.47</v>
      </c>
      <c r="J200" s="45">
        <v>956603926630.54297</v>
      </c>
      <c r="K200" s="45">
        <v>3249.605</v>
      </c>
      <c r="L200" s="45">
        <v>3200.395</v>
      </c>
      <c r="M200" s="45">
        <v>1596.6576</v>
      </c>
      <c r="N200" s="45">
        <v>2439.3424</v>
      </c>
      <c r="O200" s="44">
        <v>0</v>
      </c>
      <c r="P200" s="44">
        <v>0</v>
      </c>
      <c r="Q200" s="44">
        <v>26958</v>
      </c>
      <c r="R200" s="44">
        <v>20834</v>
      </c>
      <c r="S200" s="11">
        <f>(鋼床鈑!O200+鋼床鈑!W200+鋼床鈑!X200)*鋼床鈑!U200+(鋼床鈑!R200+鋼床鈑!W200+鋼床鈑!X200)*鋼床鈑!V200</f>
        <v>124872</v>
      </c>
      <c r="T200" s="11">
        <f>(鋼床鈑!T200)*鋼床鈑!W200+(鋼床鈑!T200)*鋼床鈑!X200</f>
        <v>152000</v>
      </c>
      <c r="U200" s="11">
        <f>4*((鋼床鈑!R200+鋼床鈑!W200/2+鋼床鈑!X200/2)*(鋼床鈑!T200+鋼床鈑!U200/2+鋼床鈑!V200/2))^2/((鋼床鈑!O200+鋼床鈑!W200/2+鋼床鈑!X200/2)/鋼床鈑!U200+(鋼床鈑!R200+鋼床鈑!W200/2+鋼床鈑!X200/2)/鋼床鈑!V200+(鋼床鈑!T200+鋼床鈑!U200/2+鋼床鈑!V200/2)/鋼床鈑!W200+(鋼床鈑!T200+鋼床鈑!U200/2+鋼床鈑!V200/2)/鋼床鈑!X200)</f>
        <v>734329162865.53711</v>
      </c>
      <c r="V200" s="12">
        <f t="shared" si="50"/>
        <v>0.29890183137723403</v>
      </c>
      <c r="W200" s="12">
        <f t="shared" si="51"/>
        <v>0.29437544767149948</v>
      </c>
      <c r="X200" s="12">
        <f t="shared" si="52"/>
        <v>0.70837702708800554</v>
      </c>
      <c r="Y200" s="12">
        <f t="shared" si="53"/>
        <v>0.46366412684232844</v>
      </c>
      <c r="Z200" s="12">
        <f t="shared" si="48"/>
        <v>1.5124257586235506</v>
      </c>
      <c r="AA200" s="12">
        <f t="shared" si="49"/>
        <v>1.6445463426974198</v>
      </c>
      <c r="AB200" s="10">
        <f t="shared" si="54"/>
        <v>4.0359999999999996</v>
      </c>
      <c r="AC200" s="10">
        <f t="shared" si="55"/>
        <v>6.45</v>
      </c>
      <c r="AD200" s="10">
        <f t="shared" si="56"/>
        <v>0.41820000000000002</v>
      </c>
      <c r="AE200" s="12">
        <f t="shared" si="57"/>
        <v>0.73432916286553707</v>
      </c>
      <c r="AF200" s="12">
        <f t="shared" si="58"/>
        <v>0.152</v>
      </c>
      <c r="AG200" s="12">
        <f t="shared" si="59"/>
        <v>0.124872</v>
      </c>
      <c r="AH200" s="10">
        <f t="shared" si="60"/>
        <v>0.95660392663054294</v>
      </c>
      <c r="AI200" s="10">
        <f t="shared" si="61"/>
        <v>1.1310355639654699</v>
      </c>
      <c r="AJ200" s="13">
        <f t="shared" si="62"/>
        <v>0.95660392663054294</v>
      </c>
      <c r="AK200" s="13">
        <f t="shared" si="63"/>
        <v>1.1310355639654699</v>
      </c>
    </row>
    <row r="201" spans="1:37">
      <c r="A201" s="8">
        <f>鋼床鈑!A201</f>
        <v>199</v>
      </c>
      <c r="B201" s="43" t="s">
        <v>41</v>
      </c>
      <c r="C201" s="43" t="s">
        <v>42</v>
      </c>
      <c r="D201" s="43" t="s">
        <v>278</v>
      </c>
      <c r="E201" s="44">
        <v>418200</v>
      </c>
      <c r="F201" s="45">
        <v>121680.8575</v>
      </c>
      <c r="G201" s="45">
        <v>136115.51930000001</v>
      </c>
      <c r="H201" s="45">
        <v>727404217233.58801</v>
      </c>
      <c r="I201" s="45">
        <v>1131035563965.47</v>
      </c>
      <c r="J201" s="45">
        <v>956603926630.54297</v>
      </c>
      <c r="K201" s="45">
        <v>3249.605</v>
      </c>
      <c r="L201" s="45">
        <v>3200.395</v>
      </c>
      <c r="M201" s="45">
        <v>1596.6576</v>
      </c>
      <c r="N201" s="45">
        <v>2439.3424</v>
      </c>
      <c r="O201" s="44">
        <v>0</v>
      </c>
      <c r="P201" s="44">
        <v>0</v>
      </c>
      <c r="Q201" s="44">
        <v>26958</v>
      </c>
      <c r="R201" s="44">
        <v>20834</v>
      </c>
      <c r="S201" s="11">
        <f>(鋼床鈑!O201+鋼床鈑!W201+鋼床鈑!X201)*鋼床鈑!U201+(鋼床鈑!R201+鋼床鈑!W201+鋼床鈑!X201)*鋼床鈑!V201</f>
        <v>124872</v>
      </c>
      <c r="T201" s="11">
        <f>(鋼床鈑!T201)*鋼床鈑!W201+(鋼床鈑!T201)*鋼床鈑!X201</f>
        <v>152000</v>
      </c>
      <c r="U201" s="11">
        <f>4*((鋼床鈑!R201+鋼床鈑!W201/2+鋼床鈑!X201/2)*(鋼床鈑!T201+鋼床鈑!U201/2+鋼床鈑!V201/2))^2/((鋼床鈑!O201+鋼床鈑!W201/2+鋼床鈑!X201/2)/鋼床鈑!U201+(鋼床鈑!R201+鋼床鈑!W201/2+鋼床鈑!X201/2)/鋼床鈑!V201+(鋼床鈑!T201+鋼床鈑!U201/2+鋼床鈑!V201/2)/鋼床鈑!W201+(鋼床鈑!T201+鋼床鈑!U201/2+鋼床鈑!V201/2)/鋼床鈑!X201)</f>
        <v>734329162865.53711</v>
      </c>
      <c r="V201" s="12">
        <f t="shared" si="50"/>
        <v>0.29890183137723403</v>
      </c>
      <c r="W201" s="12">
        <f t="shared" si="51"/>
        <v>0.29437544767149948</v>
      </c>
      <c r="X201" s="12">
        <f t="shared" si="52"/>
        <v>0.70837702708800554</v>
      </c>
      <c r="Y201" s="12">
        <f t="shared" si="53"/>
        <v>0.46366412684232844</v>
      </c>
      <c r="Z201" s="12">
        <f t="shared" si="48"/>
        <v>1.5124257586235506</v>
      </c>
      <c r="AA201" s="12">
        <f t="shared" si="49"/>
        <v>1.6445463426974198</v>
      </c>
      <c r="AB201" s="10">
        <f t="shared" si="54"/>
        <v>4.0359999999999996</v>
      </c>
      <c r="AC201" s="10">
        <f t="shared" si="55"/>
        <v>6.45</v>
      </c>
      <c r="AD201" s="10">
        <f t="shared" si="56"/>
        <v>0.41820000000000002</v>
      </c>
      <c r="AE201" s="12">
        <f t="shared" si="57"/>
        <v>0.73432916286553707</v>
      </c>
      <c r="AF201" s="12">
        <f t="shared" si="58"/>
        <v>0.152</v>
      </c>
      <c r="AG201" s="12">
        <f t="shared" si="59"/>
        <v>0.124872</v>
      </c>
      <c r="AH201" s="10">
        <f t="shared" si="60"/>
        <v>0.95660392663054294</v>
      </c>
      <c r="AI201" s="10">
        <f t="shared" si="61"/>
        <v>1.1310355639654699</v>
      </c>
      <c r="AJ201" s="13">
        <f t="shared" si="62"/>
        <v>0.95660392663054294</v>
      </c>
      <c r="AK201" s="13">
        <f t="shared" si="63"/>
        <v>1.1310355639654699</v>
      </c>
    </row>
    <row r="202" spans="1:37">
      <c r="A202" s="8">
        <f>鋼床鈑!A202</f>
        <v>200</v>
      </c>
      <c r="B202" s="43" t="s">
        <v>41</v>
      </c>
      <c r="C202" s="43" t="s">
        <v>42</v>
      </c>
      <c r="D202" s="43" t="s">
        <v>279</v>
      </c>
      <c r="E202" s="44">
        <v>418200</v>
      </c>
      <c r="F202" s="45">
        <v>121680.8575</v>
      </c>
      <c r="G202" s="45">
        <v>136115.51930000001</v>
      </c>
      <c r="H202" s="45">
        <v>727404217233.58801</v>
      </c>
      <c r="I202" s="45">
        <v>1131035563965.47</v>
      </c>
      <c r="J202" s="45">
        <v>956603926630.54297</v>
      </c>
      <c r="K202" s="45">
        <v>3249.605</v>
      </c>
      <c r="L202" s="45">
        <v>3200.395</v>
      </c>
      <c r="M202" s="45">
        <v>1596.6576</v>
      </c>
      <c r="N202" s="45">
        <v>2439.3424</v>
      </c>
      <c r="O202" s="44">
        <v>0</v>
      </c>
      <c r="P202" s="44">
        <v>0</v>
      </c>
      <c r="Q202" s="44">
        <v>26958</v>
      </c>
      <c r="R202" s="44">
        <v>20834</v>
      </c>
      <c r="S202" s="11">
        <f>(鋼床鈑!O202+鋼床鈑!W202+鋼床鈑!X202)*鋼床鈑!U202+(鋼床鈑!R202+鋼床鈑!W202+鋼床鈑!X202)*鋼床鈑!V202</f>
        <v>124872</v>
      </c>
      <c r="T202" s="11">
        <f>(鋼床鈑!T202)*鋼床鈑!W202+(鋼床鈑!T202)*鋼床鈑!X202</f>
        <v>152000</v>
      </c>
      <c r="U202" s="11">
        <f>4*((鋼床鈑!R202+鋼床鈑!W202/2+鋼床鈑!X202/2)*(鋼床鈑!T202+鋼床鈑!U202/2+鋼床鈑!V202/2))^2/((鋼床鈑!O202+鋼床鈑!W202/2+鋼床鈑!X202/2)/鋼床鈑!U202+(鋼床鈑!R202+鋼床鈑!W202/2+鋼床鈑!X202/2)/鋼床鈑!V202+(鋼床鈑!T202+鋼床鈑!U202/2+鋼床鈑!V202/2)/鋼床鈑!W202+(鋼床鈑!T202+鋼床鈑!U202/2+鋼床鈑!V202/2)/鋼床鈑!X202)</f>
        <v>734329162865.53711</v>
      </c>
      <c r="V202" s="12">
        <f t="shared" si="50"/>
        <v>0.29890183137723403</v>
      </c>
      <c r="W202" s="12">
        <f t="shared" si="51"/>
        <v>0.29437544767149948</v>
      </c>
      <c r="X202" s="12">
        <f t="shared" si="52"/>
        <v>0.70837702708800554</v>
      </c>
      <c r="Y202" s="12">
        <f t="shared" si="53"/>
        <v>0.46366412684232844</v>
      </c>
      <c r="Z202" s="12">
        <f t="shared" si="48"/>
        <v>1.5124257586235506</v>
      </c>
      <c r="AA202" s="12">
        <f t="shared" si="49"/>
        <v>1.6445463426974198</v>
      </c>
      <c r="AB202" s="10">
        <f t="shared" si="54"/>
        <v>4.0359999999999996</v>
      </c>
      <c r="AC202" s="10">
        <f t="shared" si="55"/>
        <v>6.45</v>
      </c>
      <c r="AD202" s="10">
        <f t="shared" si="56"/>
        <v>0.41820000000000002</v>
      </c>
      <c r="AE202" s="12">
        <f t="shared" si="57"/>
        <v>0.73432916286553707</v>
      </c>
      <c r="AF202" s="12">
        <f t="shared" si="58"/>
        <v>0.152</v>
      </c>
      <c r="AG202" s="12">
        <f t="shared" si="59"/>
        <v>0.124872</v>
      </c>
      <c r="AH202" s="10">
        <f t="shared" si="60"/>
        <v>0.95660392663054294</v>
      </c>
      <c r="AI202" s="10">
        <f t="shared" si="61"/>
        <v>1.1310355639654699</v>
      </c>
      <c r="AJ202" s="13">
        <f t="shared" si="62"/>
        <v>0.95660392663054294</v>
      </c>
      <c r="AK202" s="13">
        <f t="shared" si="63"/>
        <v>1.1310355639654699</v>
      </c>
    </row>
    <row r="203" spans="1:37">
      <c r="A203" s="8">
        <f>鋼床鈑!A203</f>
        <v>201</v>
      </c>
      <c r="B203" s="43" t="s">
        <v>41</v>
      </c>
      <c r="C203" s="43" t="s">
        <v>42</v>
      </c>
      <c r="D203" s="43" t="s">
        <v>280</v>
      </c>
      <c r="E203" s="44">
        <v>418200</v>
      </c>
      <c r="F203" s="45">
        <v>121680.8575</v>
      </c>
      <c r="G203" s="45">
        <v>136115.51930000001</v>
      </c>
      <c r="H203" s="45">
        <v>727404217233.58801</v>
      </c>
      <c r="I203" s="45">
        <v>1131035563965.47</v>
      </c>
      <c r="J203" s="45">
        <v>956603926630.54297</v>
      </c>
      <c r="K203" s="45">
        <v>3249.605</v>
      </c>
      <c r="L203" s="45">
        <v>3200.395</v>
      </c>
      <c r="M203" s="45">
        <v>1596.6576</v>
      </c>
      <c r="N203" s="45">
        <v>2439.3424</v>
      </c>
      <c r="O203" s="44">
        <v>0</v>
      </c>
      <c r="P203" s="44">
        <v>0</v>
      </c>
      <c r="Q203" s="44">
        <v>26958</v>
      </c>
      <c r="R203" s="44">
        <v>20834</v>
      </c>
      <c r="S203" s="11">
        <f>(鋼床鈑!O203+鋼床鈑!W203+鋼床鈑!X203)*鋼床鈑!U203+(鋼床鈑!R203+鋼床鈑!W203+鋼床鈑!X203)*鋼床鈑!V203</f>
        <v>124872</v>
      </c>
      <c r="T203" s="11">
        <f>(鋼床鈑!T203)*鋼床鈑!W203+(鋼床鈑!T203)*鋼床鈑!X203</f>
        <v>152000</v>
      </c>
      <c r="U203" s="11">
        <f>4*((鋼床鈑!R203+鋼床鈑!W203/2+鋼床鈑!X203/2)*(鋼床鈑!T203+鋼床鈑!U203/2+鋼床鈑!V203/2))^2/((鋼床鈑!O203+鋼床鈑!W203/2+鋼床鈑!X203/2)/鋼床鈑!U203+(鋼床鈑!R203+鋼床鈑!W203/2+鋼床鈑!X203/2)/鋼床鈑!V203+(鋼床鈑!T203+鋼床鈑!U203/2+鋼床鈑!V203/2)/鋼床鈑!W203+(鋼床鈑!T203+鋼床鈑!U203/2+鋼床鈑!V203/2)/鋼床鈑!X203)</f>
        <v>734329162865.53711</v>
      </c>
      <c r="V203" s="12">
        <f t="shared" si="50"/>
        <v>0.29890183137723403</v>
      </c>
      <c r="W203" s="12">
        <f t="shared" si="51"/>
        <v>0.29437544767149948</v>
      </c>
      <c r="X203" s="12">
        <f t="shared" si="52"/>
        <v>0.70837702708800554</v>
      </c>
      <c r="Y203" s="12">
        <f t="shared" si="53"/>
        <v>0.46366412684232844</v>
      </c>
      <c r="Z203" s="12">
        <f t="shared" si="48"/>
        <v>1.5124257586235506</v>
      </c>
      <c r="AA203" s="12">
        <f t="shared" si="49"/>
        <v>1.6445463426974198</v>
      </c>
      <c r="AB203" s="10">
        <f t="shared" si="54"/>
        <v>4.0359999999999996</v>
      </c>
      <c r="AC203" s="10">
        <f t="shared" si="55"/>
        <v>6.45</v>
      </c>
      <c r="AD203" s="10">
        <f t="shared" si="56"/>
        <v>0.41820000000000002</v>
      </c>
      <c r="AE203" s="12">
        <f t="shared" si="57"/>
        <v>0.73432916286553707</v>
      </c>
      <c r="AF203" s="12">
        <f t="shared" si="58"/>
        <v>0.152</v>
      </c>
      <c r="AG203" s="12">
        <f t="shared" si="59"/>
        <v>0.124872</v>
      </c>
      <c r="AH203" s="10">
        <f t="shared" si="60"/>
        <v>0.95660392663054294</v>
      </c>
      <c r="AI203" s="10">
        <f t="shared" si="61"/>
        <v>1.1310355639654699</v>
      </c>
      <c r="AJ203" s="13">
        <f t="shared" si="62"/>
        <v>0.95660392663054294</v>
      </c>
      <c r="AK203" s="13">
        <f t="shared" si="63"/>
        <v>1.1310355639654699</v>
      </c>
    </row>
    <row r="204" spans="1:37">
      <c r="A204" s="8">
        <f>鋼床鈑!A204</f>
        <v>202</v>
      </c>
      <c r="B204" s="43" t="s">
        <v>41</v>
      </c>
      <c r="C204" s="43" t="s">
        <v>42</v>
      </c>
      <c r="D204" s="43" t="s">
        <v>281</v>
      </c>
      <c r="E204" s="44">
        <v>418200</v>
      </c>
      <c r="F204" s="45">
        <v>121680.8575</v>
      </c>
      <c r="G204" s="45">
        <v>136115.51930000001</v>
      </c>
      <c r="H204" s="45">
        <v>727404217233.58801</v>
      </c>
      <c r="I204" s="45">
        <v>1131035563965.47</v>
      </c>
      <c r="J204" s="45">
        <v>956603926630.54297</v>
      </c>
      <c r="K204" s="45">
        <v>3249.605</v>
      </c>
      <c r="L204" s="45">
        <v>3200.395</v>
      </c>
      <c r="M204" s="45">
        <v>1596.6576</v>
      </c>
      <c r="N204" s="45">
        <v>2439.3424</v>
      </c>
      <c r="O204" s="44">
        <v>0</v>
      </c>
      <c r="P204" s="44">
        <v>0</v>
      </c>
      <c r="Q204" s="44">
        <v>26958</v>
      </c>
      <c r="R204" s="44">
        <v>20834</v>
      </c>
      <c r="S204" s="11">
        <f>(鋼床鈑!O204+鋼床鈑!W204+鋼床鈑!X204)*鋼床鈑!U204+(鋼床鈑!R204+鋼床鈑!W204+鋼床鈑!X204)*鋼床鈑!V204</f>
        <v>124872</v>
      </c>
      <c r="T204" s="11">
        <f>(鋼床鈑!T204)*鋼床鈑!W204+(鋼床鈑!T204)*鋼床鈑!X204</f>
        <v>152000</v>
      </c>
      <c r="U204" s="11">
        <f>4*((鋼床鈑!R204+鋼床鈑!W204/2+鋼床鈑!X204/2)*(鋼床鈑!T204+鋼床鈑!U204/2+鋼床鈑!V204/2))^2/((鋼床鈑!O204+鋼床鈑!W204/2+鋼床鈑!X204/2)/鋼床鈑!U204+(鋼床鈑!R204+鋼床鈑!W204/2+鋼床鈑!X204/2)/鋼床鈑!V204+(鋼床鈑!T204+鋼床鈑!U204/2+鋼床鈑!V204/2)/鋼床鈑!W204+(鋼床鈑!T204+鋼床鈑!U204/2+鋼床鈑!V204/2)/鋼床鈑!X204)</f>
        <v>734329162865.53711</v>
      </c>
      <c r="V204" s="12">
        <f t="shared" si="50"/>
        <v>0.29890183137723403</v>
      </c>
      <c r="W204" s="12">
        <f t="shared" si="51"/>
        <v>0.29437544767149948</v>
      </c>
      <c r="X204" s="12">
        <f t="shared" si="52"/>
        <v>0.70837702708800554</v>
      </c>
      <c r="Y204" s="12">
        <f t="shared" si="53"/>
        <v>0.46366412684232844</v>
      </c>
      <c r="Z204" s="12">
        <f t="shared" si="48"/>
        <v>1.5124257586235506</v>
      </c>
      <c r="AA204" s="12">
        <f t="shared" si="49"/>
        <v>1.6445463426974198</v>
      </c>
      <c r="AB204" s="10">
        <f t="shared" si="54"/>
        <v>4.0359999999999996</v>
      </c>
      <c r="AC204" s="10">
        <f t="shared" si="55"/>
        <v>6.45</v>
      </c>
      <c r="AD204" s="10">
        <f t="shared" si="56"/>
        <v>0.41820000000000002</v>
      </c>
      <c r="AE204" s="12">
        <f t="shared" si="57"/>
        <v>0.73432916286553707</v>
      </c>
      <c r="AF204" s="12">
        <f t="shared" si="58"/>
        <v>0.152</v>
      </c>
      <c r="AG204" s="12">
        <f t="shared" si="59"/>
        <v>0.124872</v>
      </c>
      <c r="AH204" s="10">
        <f t="shared" si="60"/>
        <v>0.95660392663054294</v>
      </c>
      <c r="AI204" s="10">
        <f t="shared" si="61"/>
        <v>1.1310355639654699</v>
      </c>
      <c r="AJ204" s="13">
        <f t="shared" si="62"/>
        <v>0.95660392663054294</v>
      </c>
      <c r="AK204" s="13">
        <f t="shared" si="63"/>
        <v>1.1310355639654699</v>
      </c>
    </row>
    <row r="205" spans="1:37">
      <c r="A205" s="8">
        <f>鋼床鈑!A205</f>
        <v>203</v>
      </c>
      <c r="B205" s="43" t="s">
        <v>41</v>
      </c>
      <c r="C205" s="43" t="s">
        <v>42</v>
      </c>
      <c r="D205" s="43" t="s">
        <v>282</v>
      </c>
      <c r="E205" s="44">
        <v>418200</v>
      </c>
      <c r="F205" s="45">
        <v>121680.8575</v>
      </c>
      <c r="G205" s="45">
        <v>136115.51930000001</v>
      </c>
      <c r="H205" s="45">
        <v>727404217233.58801</v>
      </c>
      <c r="I205" s="45">
        <v>1131035563965.47</v>
      </c>
      <c r="J205" s="45">
        <v>956603926630.54297</v>
      </c>
      <c r="K205" s="45">
        <v>3249.605</v>
      </c>
      <c r="L205" s="45">
        <v>3200.395</v>
      </c>
      <c r="M205" s="45">
        <v>1596.6576</v>
      </c>
      <c r="N205" s="45">
        <v>2439.3424</v>
      </c>
      <c r="O205" s="44">
        <v>0</v>
      </c>
      <c r="P205" s="44">
        <v>0</v>
      </c>
      <c r="Q205" s="44">
        <v>26958</v>
      </c>
      <c r="R205" s="44">
        <v>20834</v>
      </c>
      <c r="S205" s="11">
        <f>(鋼床鈑!O205+鋼床鈑!W205+鋼床鈑!X205)*鋼床鈑!U205+(鋼床鈑!R205+鋼床鈑!W205+鋼床鈑!X205)*鋼床鈑!V205</f>
        <v>124872</v>
      </c>
      <c r="T205" s="11">
        <f>(鋼床鈑!T205)*鋼床鈑!W205+(鋼床鈑!T205)*鋼床鈑!X205</f>
        <v>152000</v>
      </c>
      <c r="U205" s="11">
        <f>4*((鋼床鈑!R205+鋼床鈑!W205/2+鋼床鈑!X205/2)*(鋼床鈑!T205+鋼床鈑!U205/2+鋼床鈑!V205/2))^2/((鋼床鈑!O205+鋼床鈑!W205/2+鋼床鈑!X205/2)/鋼床鈑!U205+(鋼床鈑!R205+鋼床鈑!W205/2+鋼床鈑!X205/2)/鋼床鈑!V205+(鋼床鈑!T205+鋼床鈑!U205/2+鋼床鈑!V205/2)/鋼床鈑!W205+(鋼床鈑!T205+鋼床鈑!U205/2+鋼床鈑!V205/2)/鋼床鈑!X205)</f>
        <v>734329162865.53711</v>
      </c>
      <c r="V205" s="12">
        <f t="shared" si="50"/>
        <v>0.29890183137723403</v>
      </c>
      <c r="W205" s="12">
        <f t="shared" si="51"/>
        <v>0.29437544767149948</v>
      </c>
      <c r="X205" s="12">
        <f t="shared" si="52"/>
        <v>0.70837702708800554</v>
      </c>
      <c r="Y205" s="12">
        <f t="shared" si="53"/>
        <v>0.46366412684232844</v>
      </c>
      <c r="Z205" s="12">
        <f t="shared" si="48"/>
        <v>1.5124257586235506</v>
      </c>
      <c r="AA205" s="12">
        <f t="shared" si="49"/>
        <v>1.6445463426974198</v>
      </c>
      <c r="AB205" s="10">
        <f t="shared" si="54"/>
        <v>4.0359999999999996</v>
      </c>
      <c r="AC205" s="10">
        <f t="shared" si="55"/>
        <v>6.45</v>
      </c>
      <c r="AD205" s="10">
        <f t="shared" si="56"/>
        <v>0.41820000000000002</v>
      </c>
      <c r="AE205" s="12">
        <f t="shared" si="57"/>
        <v>0.73432916286553707</v>
      </c>
      <c r="AF205" s="12">
        <f t="shared" si="58"/>
        <v>0.152</v>
      </c>
      <c r="AG205" s="12">
        <f t="shared" si="59"/>
        <v>0.124872</v>
      </c>
      <c r="AH205" s="10">
        <f t="shared" si="60"/>
        <v>0.95660392663054294</v>
      </c>
      <c r="AI205" s="10">
        <f t="shared" si="61"/>
        <v>1.1310355639654699</v>
      </c>
      <c r="AJ205" s="13">
        <f t="shared" si="62"/>
        <v>0.95660392663054294</v>
      </c>
      <c r="AK205" s="13">
        <f t="shared" si="63"/>
        <v>1.1310355639654699</v>
      </c>
    </row>
    <row r="206" spans="1:37">
      <c r="A206" s="8">
        <f>鋼床鈑!A206</f>
        <v>204</v>
      </c>
      <c r="B206" s="43" t="s">
        <v>41</v>
      </c>
      <c r="C206" s="43" t="s">
        <v>42</v>
      </c>
      <c r="D206" s="43" t="s">
        <v>283</v>
      </c>
      <c r="E206" s="44">
        <v>418200</v>
      </c>
      <c r="F206" s="45">
        <v>121680.8575</v>
      </c>
      <c r="G206" s="45">
        <v>136115.51930000001</v>
      </c>
      <c r="H206" s="45">
        <v>727404217233.58801</v>
      </c>
      <c r="I206" s="45">
        <v>1131035563965.47</v>
      </c>
      <c r="J206" s="45">
        <v>956603926630.54297</v>
      </c>
      <c r="K206" s="45">
        <v>3249.605</v>
      </c>
      <c r="L206" s="45">
        <v>3200.395</v>
      </c>
      <c r="M206" s="45">
        <v>1596.6576</v>
      </c>
      <c r="N206" s="45">
        <v>2439.3424</v>
      </c>
      <c r="O206" s="44">
        <v>0</v>
      </c>
      <c r="P206" s="44">
        <v>0</v>
      </c>
      <c r="Q206" s="44">
        <v>26958</v>
      </c>
      <c r="R206" s="44">
        <v>20834</v>
      </c>
      <c r="S206" s="11">
        <f>(鋼床鈑!O206+鋼床鈑!W206+鋼床鈑!X206)*鋼床鈑!U206+(鋼床鈑!R206+鋼床鈑!W206+鋼床鈑!X206)*鋼床鈑!V206</f>
        <v>124872</v>
      </c>
      <c r="T206" s="11">
        <f>(鋼床鈑!T206)*鋼床鈑!W206+(鋼床鈑!T206)*鋼床鈑!X206</f>
        <v>152000</v>
      </c>
      <c r="U206" s="11">
        <f>4*((鋼床鈑!R206+鋼床鈑!W206/2+鋼床鈑!X206/2)*(鋼床鈑!T206+鋼床鈑!U206/2+鋼床鈑!V206/2))^2/((鋼床鈑!O206+鋼床鈑!W206/2+鋼床鈑!X206/2)/鋼床鈑!U206+(鋼床鈑!R206+鋼床鈑!W206/2+鋼床鈑!X206/2)/鋼床鈑!V206+(鋼床鈑!T206+鋼床鈑!U206/2+鋼床鈑!V206/2)/鋼床鈑!W206+(鋼床鈑!T206+鋼床鈑!U206/2+鋼床鈑!V206/2)/鋼床鈑!X206)</f>
        <v>734329162865.53711</v>
      </c>
      <c r="V206" s="12">
        <f t="shared" si="50"/>
        <v>0.29890183137723403</v>
      </c>
      <c r="W206" s="12">
        <f t="shared" si="51"/>
        <v>0.29437544767149948</v>
      </c>
      <c r="X206" s="12">
        <f t="shared" si="52"/>
        <v>0.70837702708800554</v>
      </c>
      <c r="Y206" s="12">
        <f t="shared" si="53"/>
        <v>0.46366412684232844</v>
      </c>
      <c r="Z206" s="12">
        <f t="shared" si="48"/>
        <v>1.5124257586235506</v>
      </c>
      <c r="AA206" s="12">
        <f t="shared" si="49"/>
        <v>1.6445463426974198</v>
      </c>
      <c r="AB206" s="10">
        <f t="shared" si="54"/>
        <v>4.0359999999999996</v>
      </c>
      <c r="AC206" s="10">
        <f t="shared" si="55"/>
        <v>6.45</v>
      </c>
      <c r="AD206" s="10">
        <f t="shared" si="56"/>
        <v>0.41820000000000002</v>
      </c>
      <c r="AE206" s="12">
        <f t="shared" si="57"/>
        <v>0.73432916286553707</v>
      </c>
      <c r="AF206" s="12">
        <f t="shared" si="58"/>
        <v>0.152</v>
      </c>
      <c r="AG206" s="12">
        <f t="shared" si="59"/>
        <v>0.124872</v>
      </c>
      <c r="AH206" s="10">
        <f t="shared" si="60"/>
        <v>0.95660392663054294</v>
      </c>
      <c r="AI206" s="10">
        <f t="shared" si="61"/>
        <v>1.1310355639654699</v>
      </c>
      <c r="AJ206" s="13">
        <f t="shared" si="62"/>
        <v>0.95660392663054294</v>
      </c>
      <c r="AK206" s="13">
        <f t="shared" si="63"/>
        <v>1.1310355639654699</v>
      </c>
    </row>
    <row r="207" spans="1:37">
      <c r="A207" s="8">
        <f>鋼床鈑!A207</f>
        <v>205</v>
      </c>
      <c r="B207" s="43" t="s">
        <v>41</v>
      </c>
      <c r="C207" s="43" t="s">
        <v>42</v>
      </c>
      <c r="D207" s="43" t="s">
        <v>284</v>
      </c>
      <c r="E207" s="44">
        <v>406520</v>
      </c>
      <c r="F207" s="45">
        <v>123128.8296</v>
      </c>
      <c r="G207" s="45">
        <v>124465.7882</v>
      </c>
      <c r="H207" s="45">
        <v>652508378185.57898</v>
      </c>
      <c r="I207" s="45">
        <v>954411590147.38306</v>
      </c>
      <c r="J207" s="45">
        <v>933352013810.10706</v>
      </c>
      <c r="K207" s="45">
        <v>3248.1570000000002</v>
      </c>
      <c r="L207" s="45">
        <v>3201.8429999999998</v>
      </c>
      <c r="M207" s="45">
        <v>1471.1478</v>
      </c>
      <c r="N207" s="45">
        <v>2272.8521999999998</v>
      </c>
      <c r="O207" s="44">
        <v>0</v>
      </c>
      <c r="P207" s="44">
        <v>0</v>
      </c>
      <c r="Q207" s="44">
        <v>26374</v>
      </c>
      <c r="R207" s="44">
        <v>20250</v>
      </c>
      <c r="S207" s="11">
        <f>(鋼床鈑!O207+鋼床鈑!W207+鋼床鈑!X207)*鋼床鈑!U207+(鋼床鈑!R207+鋼床鈑!W207+鋼床鈑!X207)*鋼床鈑!V207</f>
        <v>124872</v>
      </c>
      <c r="T207" s="11">
        <f>(鋼床鈑!T207)*鋼床鈑!W207+(鋼床鈑!T207)*鋼床鈑!X207</f>
        <v>140904</v>
      </c>
      <c r="U207" s="11">
        <f>4*((鋼床鈑!R207+鋼床鈑!W207/2+鋼床鈑!X207/2)*(鋼床鈑!T207+鋼床鈑!U207/2+鋼床鈑!V207/2))^2/((鋼床鈑!O207+鋼床鈑!W207/2+鋼床鈑!X207/2)/鋼床鈑!U207+(鋼床鈑!R207+鋼床鈑!W207/2+鋼床鈑!X207/2)/鋼床鈑!V207+(鋼床鈑!T207+鋼床鈑!U207/2+鋼床鈑!V207/2)/鋼床鈑!W207+(鋼床鈑!T207+鋼床鈑!U207/2+鋼床鈑!V207/2)/鋼床鈑!X207)</f>
        <v>660569852962.53906</v>
      </c>
      <c r="V207" s="12">
        <f t="shared" si="50"/>
        <v>0.29150461587595239</v>
      </c>
      <c r="W207" s="12">
        <f t="shared" si="51"/>
        <v>0.28734818354226938</v>
      </c>
      <c r="X207" s="12">
        <f t="shared" si="52"/>
        <v>0.64875302817798663</v>
      </c>
      <c r="Y207" s="12">
        <f t="shared" si="53"/>
        <v>0.41991801761125652</v>
      </c>
      <c r="Z207" s="12">
        <f t="shared" si="48"/>
        <v>1.5152412192451488</v>
      </c>
      <c r="AA207" s="12">
        <f t="shared" si="49"/>
        <v>1.5322403465356746</v>
      </c>
      <c r="AB207" s="10">
        <f t="shared" si="54"/>
        <v>3.7440000000000002</v>
      </c>
      <c r="AC207" s="10">
        <f t="shared" si="55"/>
        <v>6.45</v>
      </c>
      <c r="AD207" s="10">
        <f t="shared" si="56"/>
        <v>0.40651999999999999</v>
      </c>
      <c r="AE207" s="12">
        <f t="shared" si="57"/>
        <v>0.66056985296253912</v>
      </c>
      <c r="AF207" s="12">
        <f t="shared" si="58"/>
        <v>0.140904</v>
      </c>
      <c r="AG207" s="12">
        <f t="shared" si="59"/>
        <v>0.124872</v>
      </c>
      <c r="AH207" s="10">
        <f t="shared" si="60"/>
        <v>0.93335201381010702</v>
      </c>
      <c r="AI207" s="10">
        <f t="shared" si="61"/>
        <v>0.95441159014738308</v>
      </c>
      <c r="AJ207" s="13">
        <f t="shared" si="62"/>
        <v>0.93335201381010702</v>
      </c>
      <c r="AK207" s="13">
        <f t="shared" si="63"/>
        <v>0.95441159014738308</v>
      </c>
    </row>
    <row r="208" spans="1:37">
      <c r="A208" s="8">
        <f>鋼床鈑!A208</f>
        <v>206</v>
      </c>
      <c r="B208" s="43" t="s">
        <v>41</v>
      </c>
      <c r="C208" s="43" t="s">
        <v>42</v>
      </c>
      <c r="D208" s="43" t="s">
        <v>285</v>
      </c>
      <c r="E208" s="44">
        <v>394200</v>
      </c>
      <c r="F208" s="45">
        <v>124597.2164</v>
      </c>
      <c r="G208" s="45">
        <v>112192.0336</v>
      </c>
      <c r="H208" s="45">
        <v>575245309102.24597</v>
      </c>
      <c r="I208" s="45">
        <v>786488513686.35205</v>
      </c>
      <c r="J208" s="45">
        <v>908824063905.53003</v>
      </c>
      <c r="K208" s="45">
        <v>3246.5367999999999</v>
      </c>
      <c r="L208" s="45">
        <v>3203.4632000000001</v>
      </c>
      <c r="M208" s="45">
        <v>1340.0766000000001</v>
      </c>
      <c r="N208" s="45">
        <v>2095.9234000000001</v>
      </c>
      <c r="O208" s="44">
        <v>0</v>
      </c>
      <c r="P208" s="44">
        <v>0</v>
      </c>
      <c r="Q208" s="44">
        <v>25758</v>
      </c>
      <c r="R208" s="44">
        <v>19634</v>
      </c>
      <c r="S208" s="11">
        <f>(鋼床鈑!O208+鋼床鈑!W208+鋼床鈑!X208)*鋼床鈑!U208+(鋼床鈑!R208+鋼床鈑!W208+鋼床鈑!X208)*鋼床鈑!V208</f>
        <v>124872</v>
      </c>
      <c r="T208" s="11">
        <f>(鋼床鈑!T208)*鋼床鈑!W208+(鋼床鈑!T208)*鋼床鈑!X208</f>
        <v>129200</v>
      </c>
      <c r="U208" s="11">
        <f>4*((鋼床鈑!R208+鋼床鈑!W208/2+鋼床鈑!X208/2)*(鋼床鈑!T208+鋼床鈑!U208/2+鋼床鈑!V208/2))^2/((鋼床鈑!O208+鋼床鈑!W208/2+鋼床鈑!X208/2)/鋼床鈑!U208+(鋼床鈑!R208+鋼床鈑!W208/2+鋼床鈑!X208/2)/鋼床鈑!V208+(鋼床鈑!T208+鋼床鈑!U208/2+鋼床鈑!V208/2)/鋼床鈑!W208+(鋼床鈑!T208+鋼床鈑!U208/2+鋼床鈑!V208/2)/鋼床鈑!X208)</f>
        <v>584276610802.55212</v>
      </c>
      <c r="V208" s="12">
        <f t="shared" si="50"/>
        <v>0.28370048512045648</v>
      </c>
      <c r="W208" s="12">
        <f t="shared" si="51"/>
        <v>0.2799364738158921</v>
      </c>
      <c r="X208" s="12">
        <f t="shared" si="52"/>
        <v>0.58689817707909531</v>
      </c>
      <c r="Y208" s="12">
        <f t="shared" si="53"/>
        <v>0.37524678320130972</v>
      </c>
      <c r="Z208" s="12">
        <f t="shared" si="48"/>
        <v>1.5183839307970546</v>
      </c>
      <c r="AA208" s="12">
        <f t="shared" si="49"/>
        <v>1.4124981321506775</v>
      </c>
      <c r="AB208" s="10">
        <f t="shared" si="54"/>
        <v>3.4359999999999999</v>
      </c>
      <c r="AC208" s="10">
        <f t="shared" si="55"/>
        <v>6.45</v>
      </c>
      <c r="AD208" s="10">
        <f t="shared" si="56"/>
        <v>0.39419999999999999</v>
      </c>
      <c r="AE208" s="12">
        <f t="shared" si="57"/>
        <v>0.58427661080255211</v>
      </c>
      <c r="AF208" s="12">
        <f t="shared" si="58"/>
        <v>0.12920000000000001</v>
      </c>
      <c r="AG208" s="12">
        <f t="shared" si="59"/>
        <v>0.124872</v>
      </c>
      <c r="AH208" s="10">
        <f t="shared" si="60"/>
        <v>0.90882406390553006</v>
      </c>
      <c r="AI208" s="10">
        <f t="shared" si="61"/>
        <v>0.78648851368635209</v>
      </c>
      <c r="AJ208" s="13">
        <f t="shared" si="62"/>
        <v>0.90882406390553006</v>
      </c>
      <c r="AK208" s="13">
        <f t="shared" si="63"/>
        <v>0.78648851368635209</v>
      </c>
    </row>
    <row r="209" spans="1:37">
      <c r="A209" s="8">
        <f>鋼床鈑!A209</f>
        <v>207</v>
      </c>
      <c r="B209" s="43" t="s">
        <v>41</v>
      </c>
      <c r="C209" s="43" t="s">
        <v>42</v>
      </c>
      <c r="D209" s="43" t="s">
        <v>286</v>
      </c>
      <c r="E209" s="44">
        <v>381880</v>
      </c>
      <c r="F209" s="45">
        <v>126036.17600000001</v>
      </c>
      <c r="G209" s="45">
        <v>99952.655100000004</v>
      </c>
      <c r="H209" s="45">
        <v>500087000505.23499</v>
      </c>
      <c r="I209" s="45">
        <v>636821901635.849</v>
      </c>
      <c r="J209" s="45">
        <v>884293910722.58801</v>
      </c>
      <c r="K209" s="45">
        <v>3244.8119999999999</v>
      </c>
      <c r="L209" s="45">
        <v>3205.1880000000001</v>
      </c>
      <c r="M209" s="45">
        <v>1210.4848999999999</v>
      </c>
      <c r="N209" s="45">
        <v>1917.5151000000001</v>
      </c>
      <c r="O209" s="44">
        <v>0</v>
      </c>
      <c r="P209" s="44">
        <v>0</v>
      </c>
      <c r="Q209" s="44">
        <v>25142</v>
      </c>
      <c r="R209" s="44">
        <v>19018</v>
      </c>
      <c r="S209" s="11">
        <f>(鋼床鈑!O209+鋼床鈑!W209+鋼床鈑!X209)*鋼床鈑!U209+(鋼床鈑!R209+鋼床鈑!W209+鋼床鈑!X209)*鋼床鈑!V209</f>
        <v>124872</v>
      </c>
      <c r="T209" s="11">
        <f>(鋼床鈑!T209)*鋼床鈑!W209+(鋼床鈑!T209)*鋼床鈑!X209</f>
        <v>117496</v>
      </c>
      <c r="U209" s="11">
        <f>4*((鋼床鈑!R209+鋼床鈑!W209/2+鋼床鈑!X209/2)*(鋼床鈑!T209+鋼床鈑!U209/2+鋼床鈑!V209/2))^2/((鋼床鈑!O209+鋼床鈑!W209/2+鋼床鈑!X209/2)/鋼床鈑!U209+(鋼床鈑!R209+鋼床鈑!W209/2+鋼床鈑!X209/2)/鋼床鈑!V209+(鋼床鈑!T209+鋼床鈑!U209/2+鋼床鈑!V209/2)/鋼床鈑!W209+(鋼床鈑!T209+鋼床鈑!U209/2+鋼床鈑!V209/2)/鋼床鈑!X209)</f>
        <v>509775922855.93024</v>
      </c>
      <c r="V209" s="12">
        <f t="shared" si="50"/>
        <v>0.2758945530566656</v>
      </c>
      <c r="W209" s="12">
        <f t="shared" si="51"/>
        <v>0.27252546857031718</v>
      </c>
      <c r="X209" s="12">
        <f t="shared" si="52"/>
        <v>0.52608826564945088</v>
      </c>
      <c r="Y209" s="12">
        <f t="shared" si="53"/>
        <v>0.33210789403215074</v>
      </c>
      <c r="Z209" s="12">
        <f t="shared" si="48"/>
        <v>1.5217203913383588</v>
      </c>
      <c r="AA209" s="12">
        <f t="shared" si="49"/>
        <v>1.291354673727855</v>
      </c>
      <c r="AB209" s="10">
        <f t="shared" si="54"/>
        <v>3.1280000000000001</v>
      </c>
      <c r="AC209" s="10">
        <f t="shared" si="55"/>
        <v>6.45</v>
      </c>
      <c r="AD209" s="10">
        <f t="shared" si="56"/>
        <v>0.38188</v>
      </c>
      <c r="AE209" s="12">
        <f t="shared" si="57"/>
        <v>0.50977592285593021</v>
      </c>
      <c r="AF209" s="12">
        <f t="shared" si="58"/>
        <v>0.117496</v>
      </c>
      <c r="AG209" s="12">
        <f t="shared" si="59"/>
        <v>0.124872</v>
      </c>
      <c r="AH209" s="10">
        <f t="shared" si="60"/>
        <v>0.88429391072258801</v>
      </c>
      <c r="AI209" s="10">
        <f t="shared" si="61"/>
        <v>0.63682190163584895</v>
      </c>
      <c r="AJ209" s="13">
        <f t="shared" si="62"/>
        <v>0.88429391072258801</v>
      </c>
      <c r="AK209" s="13">
        <f t="shared" si="63"/>
        <v>0.63682190163584895</v>
      </c>
    </row>
    <row r="210" spans="1:37">
      <c r="A210" s="8">
        <f>鋼床鈑!A210</f>
        <v>208</v>
      </c>
      <c r="B210" s="43" t="s">
        <v>41</v>
      </c>
      <c r="C210" s="43" t="s">
        <v>42</v>
      </c>
      <c r="D210" s="43" t="s">
        <v>287</v>
      </c>
      <c r="E210" s="44">
        <v>370200</v>
      </c>
      <c r="F210" s="45">
        <v>127370.12270000001</v>
      </c>
      <c r="G210" s="45">
        <v>88399.1011</v>
      </c>
      <c r="H210" s="45">
        <v>431046094522.45599</v>
      </c>
      <c r="I210" s="45">
        <v>511218448784.33301</v>
      </c>
      <c r="J210" s="45">
        <v>861035817034.64697</v>
      </c>
      <c r="K210" s="45">
        <v>3243.0708</v>
      </c>
      <c r="L210" s="45">
        <v>3206.9292</v>
      </c>
      <c r="M210" s="45">
        <v>1089.1252999999999</v>
      </c>
      <c r="N210" s="45">
        <v>1746.8747000000001</v>
      </c>
      <c r="O210" s="44">
        <v>0</v>
      </c>
      <c r="P210" s="44">
        <v>0</v>
      </c>
      <c r="Q210" s="44">
        <v>24558</v>
      </c>
      <c r="R210" s="44">
        <v>18434</v>
      </c>
      <c r="S210" s="11">
        <f>(鋼床鈑!O210+鋼床鈑!W210+鋼床鈑!X210)*鋼床鈑!U210+(鋼床鈑!R210+鋼床鈑!W210+鋼床鈑!X210)*鋼床鈑!V210</f>
        <v>124872</v>
      </c>
      <c r="T210" s="11">
        <f>(鋼床鈑!T210)*鋼床鈑!W210+(鋼床鈑!T210)*鋼床鈑!X210</f>
        <v>106400</v>
      </c>
      <c r="U210" s="11">
        <f>4*((鋼床鈑!R210+鋼床鈑!W210/2+鋼床鈑!X210/2)*(鋼床鈑!T210+鋼床鈑!U210/2+鋼床鈑!V210/2))^2/((鋼床鈑!O210+鋼床鈑!W210/2+鋼床鈑!X210/2)/鋼床鈑!U210+(鋼床鈑!R210+鋼床鈑!W210/2+鋼床鈑!X210/2)/鋼床鈑!V210+(鋼床鈑!T210+鋼床鈑!U210/2+鋼床鈑!V210/2)/鋼床鈑!W210+(鋼床鈑!T210+鋼床鈑!U210/2+鋼床鈑!V210/2)/鋼床鈑!X210)</f>
        <v>441076362180.82904</v>
      </c>
      <c r="V210" s="12">
        <f t="shared" si="50"/>
        <v>0.26849230629558235</v>
      </c>
      <c r="W210" s="12">
        <f t="shared" si="51"/>
        <v>0.2655001602292022</v>
      </c>
      <c r="X210" s="12">
        <f t="shared" si="52"/>
        <v>0.46938442141077158</v>
      </c>
      <c r="Y210" s="12">
        <f t="shared" si="53"/>
        <v>0.29264746279989801</v>
      </c>
      <c r="Z210" s="12">
        <f t="shared" si="48"/>
        <v>1.5250792125760804</v>
      </c>
      <c r="AA210" s="12">
        <f t="shared" si="49"/>
        <v>1.1751276684832279</v>
      </c>
      <c r="AB210" s="10">
        <f t="shared" si="54"/>
        <v>2.8359999999999999</v>
      </c>
      <c r="AC210" s="10">
        <f t="shared" si="55"/>
        <v>6.45</v>
      </c>
      <c r="AD210" s="10">
        <f t="shared" si="56"/>
        <v>0.37019999999999997</v>
      </c>
      <c r="AE210" s="12">
        <f t="shared" si="57"/>
        <v>0.44107636218082902</v>
      </c>
      <c r="AF210" s="12">
        <f t="shared" si="58"/>
        <v>0.10639999999999999</v>
      </c>
      <c r="AG210" s="12">
        <f t="shared" si="59"/>
        <v>0.124872</v>
      </c>
      <c r="AH210" s="10">
        <f t="shared" si="60"/>
        <v>0.86103581703464693</v>
      </c>
      <c r="AI210" s="10">
        <f t="shared" si="61"/>
        <v>0.51121844878433298</v>
      </c>
      <c r="AJ210" s="13">
        <f t="shared" si="62"/>
        <v>0.86103581703464693</v>
      </c>
      <c r="AK210" s="13">
        <f t="shared" si="63"/>
        <v>0.51121844878433298</v>
      </c>
    </row>
    <row r="211" spans="1:37">
      <c r="A211" s="8">
        <f>鋼床鈑!A211</f>
        <v>209</v>
      </c>
      <c r="B211" s="43" t="s">
        <v>41</v>
      </c>
      <c r="C211" s="43" t="s">
        <v>42</v>
      </c>
      <c r="D211" s="43" t="s">
        <v>288</v>
      </c>
      <c r="E211" s="44">
        <v>370200</v>
      </c>
      <c r="F211" s="45">
        <v>127370.12270000001</v>
      </c>
      <c r="G211" s="45">
        <v>88399.1011</v>
      </c>
      <c r="H211" s="45">
        <v>431046094522.45599</v>
      </c>
      <c r="I211" s="45">
        <v>511218448784.33301</v>
      </c>
      <c r="J211" s="45">
        <v>861035817034.64697</v>
      </c>
      <c r="K211" s="45">
        <v>3243.0708</v>
      </c>
      <c r="L211" s="45">
        <v>3206.9292</v>
      </c>
      <c r="M211" s="45">
        <v>1089.1252999999999</v>
      </c>
      <c r="N211" s="45">
        <v>1746.8747000000001</v>
      </c>
      <c r="O211" s="44">
        <v>0</v>
      </c>
      <c r="P211" s="44">
        <v>0</v>
      </c>
      <c r="Q211" s="44">
        <v>24558</v>
      </c>
      <c r="R211" s="44">
        <v>18434</v>
      </c>
      <c r="S211" s="11">
        <f>(鋼床鈑!O211+鋼床鈑!W211+鋼床鈑!X211)*鋼床鈑!U211+(鋼床鈑!R211+鋼床鈑!W211+鋼床鈑!X211)*鋼床鈑!V211</f>
        <v>124872</v>
      </c>
      <c r="T211" s="11">
        <f>(鋼床鈑!T211)*鋼床鈑!W211+(鋼床鈑!T211)*鋼床鈑!X211</f>
        <v>106400</v>
      </c>
      <c r="U211" s="11">
        <f>4*((鋼床鈑!R211+鋼床鈑!W211/2+鋼床鈑!X211/2)*(鋼床鈑!T211+鋼床鈑!U211/2+鋼床鈑!V211/2))^2/((鋼床鈑!O211+鋼床鈑!W211/2+鋼床鈑!X211/2)/鋼床鈑!U211+(鋼床鈑!R211+鋼床鈑!W211/2+鋼床鈑!X211/2)/鋼床鈑!V211+(鋼床鈑!T211+鋼床鈑!U211/2+鋼床鈑!V211/2)/鋼床鈑!W211+(鋼床鈑!T211+鋼床鈑!U211/2+鋼床鈑!V211/2)/鋼床鈑!X211)</f>
        <v>441076362180.82904</v>
      </c>
      <c r="V211" s="12">
        <f t="shared" si="50"/>
        <v>0.26849230629558235</v>
      </c>
      <c r="W211" s="12">
        <f t="shared" si="51"/>
        <v>0.2655001602292022</v>
      </c>
      <c r="X211" s="12">
        <f t="shared" si="52"/>
        <v>0.46938442141077158</v>
      </c>
      <c r="Y211" s="12">
        <f t="shared" si="53"/>
        <v>0.29264746279989801</v>
      </c>
      <c r="Z211" s="12">
        <f t="shared" si="48"/>
        <v>1.5250792125760804</v>
      </c>
      <c r="AA211" s="12">
        <f t="shared" si="49"/>
        <v>1.1751276684832279</v>
      </c>
      <c r="AB211" s="10">
        <f t="shared" si="54"/>
        <v>2.8359999999999999</v>
      </c>
      <c r="AC211" s="10">
        <f t="shared" si="55"/>
        <v>6.45</v>
      </c>
      <c r="AD211" s="10">
        <f t="shared" si="56"/>
        <v>0.37019999999999997</v>
      </c>
      <c r="AE211" s="12">
        <f t="shared" si="57"/>
        <v>0.44107636218082902</v>
      </c>
      <c r="AF211" s="12">
        <f t="shared" si="58"/>
        <v>0.10639999999999999</v>
      </c>
      <c r="AG211" s="12">
        <f t="shared" si="59"/>
        <v>0.124872</v>
      </c>
      <c r="AH211" s="10">
        <f t="shared" si="60"/>
        <v>0.86103581703464693</v>
      </c>
      <c r="AI211" s="10">
        <f t="shared" si="61"/>
        <v>0.51121844878433298</v>
      </c>
      <c r="AJ211" s="13">
        <f t="shared" si="62"/>
        <v>0.86103581703464693</v>
      </c>
      <c r="AK211" s="13">
        <f t="shared" si="63"/>
        <v>0.51121844878433298</v>
      </c>
    </row>
    <row r="212" spans="1:37">
      <c r="A212" s="8"/>
    </row>
    <row r="213" spans="1:37">
      <c r="A213" s="8"/>
    </row>
    <row r="214" spans="1:37">
      <c r="A214" s="8"/>
    </row>
    <row r="215" spans="1:37">
      <c r="A215" s="8"/>
    </row>
    <row r="216" spans="1:37">
      <c r="A216" s="8"/>
    </row>
    <row r="217" spans="1:37">
      <c r="A217" s="8"/>
    </row>
    <row r="218" spans="1:37">
      <c r="A218" s="8"/>
    </row>
    <row r="219" spans="1:37">
      <c r="A219" s="8"/>
    </row>
    <row r="220" spans="1:37">
      <c r="A220" s="8"/>
    </row>
    <row r="221" spans="1:37">
      <c r="A221" s="8"/>
    </row>
    <row r="222" spans="1:37">
      <c r="A222" s="8"/>
    </row>
    <row r="223" spans="1:37">
      <c r="A223" s="8"/>
    </row>
    <row r="224" spans="1:37">
      <c r="A224" s="8"/>
    </row>
    <row r="225" spans="1:1">
      <c r="A225" s="8"/>
    </row>
    <row r="226" spans="1:1">
      <c r="A226" s="8"/>
    </row>
    <row r="227" spans="1:1">
      <c r="A227" s="8"/>
    </row>
    <row r="228" spans="1:1">
      <c r="A228" s="8"/>
    </row>
    <row r="229" spans="1:1">
      <c r="A229" s="8"/>
    </row>
    <row r="230" spans="1:1">
      <c r="A230" s="8"/>
    </row>
    <row r="231" spans="1:1">
      <c r="A231" s="8"/>
    </row>
    <row r="232" spans="1:1">
      <c r="A232" s="8"/>
    </row>
    <row r="233" spans="1:1">
      <c r="A233" s="8"/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21603-71A7-4C7C-96E5-8B5249B7E57C}">
  <sheetPr codeName="工作表5">
    <tabColor theme="0" tint="-0.499984740745262"/>
    <outlinePr summaryBelow="0"/>
  </sheetPr>
  <dimension ref="A1:AD420"/>
  <sheetViews>
    <sheetView zoomScale="80" zoomScaleNormal="80" workbookViewId="0">
      <pane ySplit="1" topLeftCell="A2" activePane="bottomLeft" state="frozen"/>
      <selection pane="bottomLeft" activeCell="P17" sqref="P17"/>
    </sheetView>
  </sheetViews>
  <sheetFormatPr defaultRowHeight="15.75"/>
  <cols>
    <col min="1" max="2" width="20.7109375" style="22" customWidth="1"/>
    <col min="3" max="5" width="13.140625" style="22" customWidth="1"/>
    <col min="6" max="6" width="10" style="22" customWidth="1"/>
    <col min="7" max="7" width="13.140625" style="22" customWidth="1"/>
    <col min="8" max="8" width="11.5703125" style="22" customWidth="1"/>
    <col min="9" max="9" width="13.140625" style="22" customWidth="1"/>
    <col min="10" max="13" width="10" style="22" customWidth="1"/>
    <col min="14" max="18" width="12.42578125" bestFit="1" customWidth="1"/>
    <col min="19" max="19" width="12.42578125" customWidth="1"/>
    <col min="20" max="30" width="12.42578125" bestFit="1" customWidth="1"/>
  </cols>
  <sheetData>
    <row r="1" spans="1:30" s="49" customFormat="1" ht="45" customHeight="1">
      <c r="A1" s="46" t="s">
        <v>50</v>
      </c>
      <c r="B1" s="46" t="s">
        <v>3</v>
      </c>
      <c r="C1" s="46" t="s">
        <v>53</v>
      </c>
      <c r="D1" s="46" t="s">
        <v>54</v>
      </c>
      <c r="E1" s="46" t="s">
        <v>55</v>
      </c>
      <c r="F1" s="46" t="s">
        <v>56</v>
      </c>
      <c r="G1" s="46" t="s">
        <v>57</v>
      </c>
      <c r="H1" s="46" t="s">
        <v>58</v>
      </c>
      <c r="I1" s="46" t="s">
        <v>59</v>
      </c>
      <c r="J1" s="46" t="s">
        <v>60</v>
      </c>
      <c r="K1" s="46" t="s">
        <v>61</v>
      </c>
      <c r="L1" s="46" t="s">
        <v>62</v>
      </c>
      <c r="M1" s="46" t="s">
        <v>63</v>
      </c>
      <c r="N1" s="48" t="s">
        <v>800</v>
      </c>
      <c r="O1" s="48" t="s">
        <v>801</v>
      </c>
      <c r="P1" s="48" t="s">
        <v>803</v>
      </c>
      <c r="Q1" s="48" t="s">
        <v>804</v>
      </c>
      <c r="R1" s="48" t="s">
        <v>805</v>
      </c>
      <c r="S1" s="48"/>
      <c r="T1" s="48" t="s">
        <v>806</v>
      </c>
      <c r="U1" s="48" t="s">
        <v>807</v>
      </c>
      <c r="V1" s="48" t="s">
        <v>808</v>
      </c>
      <c r="W1" s="48" t="s">
        <v>809</v>
      </c>
      <c r="X1" s="48"/>
      <c r="Y1" s="48"/>
      <c r="Z1" s="48"/>
      <c r="AA1" s="48"/>
      <c r="AB1" s="48"/>
      <c r="AC1" s="48"/>
      <c r="AD1" s="48"/>
    </row>
    <row r="2" spans="1:30" ht="20.25" customHeight="1">
      <c r="A2" s="24" t="s">
        <v>33</v>
      </c>
      <c r="B2" s="24" t="s">
        <v>33</v>
      </c>
      <c r="C2" s="24" t="s">
        <v>36</v>
      </c>
      <c r="D2" s="24" t="s">
        <v>36</v>
      </c>
      <c r="E2" s="24" t="s">
        <v>36</v>
      </c>
      <c r="F2" s="24" t="s">
        <v>36</v>
      </c>
      <c r="G2" s="24" t="s">
        <v>36</v>
      </c>
      <c r="H2" s="24" t="s">
        <v>36</v>
      </c>
      <c r="I2" s="24" t="s">
        <v>36</v>
      </c>
      <c r="J2" s="24" t="s">
        <v>36</v>
      </c>
      <c r="K2" s="24" t="s">
        <v>36</v>
      </c>
      <c r="L2" s="24" t="s">
        <v>36</v>
      </c>
      <c r="M2" s="24" t="s">
        <v>36</v>
      </c>
      <c r="N2" s="21" t="s">
        <v>799</v>
      </c>
      <c r="O2" s="21" t="s">
        <v>802</v>
      </c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</row>
    <row r="3" spans="1:30" ht="20.25" customHeight="1">
      <c r="A3" s="36">
        <v>1</v>
      </c>
      <c r="B3" s="36" t="s">
        <v>337</v>
      </c>
      <c r="C3" s="31">
        <v>2884.5</v>
      </c>
      <c r="D3" s="31">
        <v>2800</v>
      </c>
      <c r="E3" s="31">
        <v>1750</v>
      </c>
      <c r="F3" s="31">
        <v>120</v>
      </c>
      <c r="G3" s="31">
        <v>2800</v>
      </c>
      <c r="H3" s="31">
        <v>20</v>
      </c>
      <c r="I3" s="31">
        <v>2800</v>
      </c>
      <c r="J3" s="31">
        <v>16</v>
      </c>
      <c r="K3" s="31">
        <v>28</v>
      </c>
      <c r="L3" s="31">
        <v>25</v>
      </c>
      <c r="M3" s="31">
        <v>25</v>
      </c>
      <c r="N3" s="56">
        <v>2000</v>
      </c>
      <c r="O3" s="56">
        <v>3500</v>
      </c>
      <c r="P3" s="57">
        <f>5+5/(N3/I3)^2</f>
        <v>14.799999999999999</v>
      </c>
      <c r="Q3" s="56">
        <f>I3/L3</f>
        <v>112</v>
      </c>
      <c r="R3" s="57">
        <f>P3/O3</f>
        <v>4.2285714285714279E-3</v>
      </c>
      <c r="S3" s="57" t="str">
        <f>IF(Q3&lt;1590*SQRT(R3),1,IF(Q3&lt;=1990*SQRT(R3),"II","III"))</f>
        <v>II</v>
      </c>
      <c r="T3" s="57">
        <f>IF(Q3&lt;1590*SQRT(R3),1,IF(Q3&lt;=1990*SQRT(R3),1590*SQRT(R3)/Q3,3170000*R3/(Q3)^2))</f>
        <v>0.92315778653154368</v>
      </c>
      <c r="U3" s="56">
        <f>MIN(15800000*(1+(I3/N3)^2)/O3/(I3/L3)^2,1)</f>
        <v>1</v>
      </c>
      <c r="V3" s="56">
        <f>O3/3*(T3+0.87*(1-T3)/SQRT(1+(N3/I4)^2))</f>
        <v>1140.4844349375437</v>
      </c>
      <c r="W3" s="56">
        <f>O3/3*(U3+0.87*(1-U3)/SQRT(1+(N3/I4)^2))</f>
        <v>1166.6666666666667</v>
      </c>
      <c r="X3" s="56">
        <f>(W3-V3)/V3*100</f>
        <v>2.295711447439162</v>
      </c>
      <c r="Y3" s="56"/>
      <c r="Z3" s="56"/>
      <c r="AA3" s="56"/>
      <c r="AB3" s="56"/>
      <c r="AC3" s="56"/>
      <c r="AD3" s="56"/>
    </row>
    <row r="4" spans="1:30" ht="20.25" customHeight="1">
      <c r="A4" s="37">
        <v>2</v>
      </c>
      <c r="B4" s="37" t="s">
        <v>338</v>
      </c>
      <c r="C4" s="34">
        <v>2862</v>
      </c>
      <c r="D4" s="34">
        <v>2800</v>
      </c>
      <c r="E4" s="34">
        <v>1750</v>
      </c>
      <c r="F4" s="34">
        <v>120</v>
      </c>
      <c r="G4" s="34">
        <v>2800</v>
      </c>
      <c r="H4" s="34">
        <v>20</v>
      </c>
      <c r="I4" s="34">
        <v>2800</v>
      </c>
      <c r="J4" s="34">
        <v>16</v>
      </c>
      <c r="K4" s="34">
        <v>28</v>
      </c>
      <c r="L4" s="31">
        <v>25</v>
      </c>
      <c r="M4" s="34">
        <v>25</v>
      </c>
      <c r="N4" s="56">
        <v>2000</v>
      </c>
      <c r="O4" s="56">
        <v>3500</v>
      </c>
      <c r="P4" s="57">
        <f t="shared" ref="P4:P67" si="0">5+5/(N4/I4)^2</f>
        <v>14.799999999999999</v>
      </c>
      <c r="Q4" s="56">
        <f t="shared" ref="Q4:Q67" si="1">I4/L4</f>
        <v>112</v>
      </c>
      <c r="R4" s="57">
        <f t="shared" ref="R4:R67" si="2">P4/O4</f>
        <v>4.2285714285714279E-3</v>
      </c>
      <c r="S4" s="57" t="str">
        <f t="shared" ref="S4:S67" si="3">IF(Q4&lt;1590*SQRT(R4),1,IF(Q4&lt;=1990*SQRT(R4),"II","III"))</f>
        <v>II</v>
      </c>
      <c r="T4" s="57">
        <f t="shared" ref="T4:T67" si="4">IF(Q4&lt;1590*SQRT(R4),1,IF(Q4&lt;=1990*SQRT(R4),1590*SQRT(R4)/Q4,3170000*R4/(Q4)^2))</f>
        <v>0.92315778653154368</v>
      </c>
      <c r="U4" s="56">
        <f>MIN(15500000*(1+(I4/N4)^2)/O4/(I4/L4)^2,1)</f>
        <v>1</v>
      </c>
      <c r="V4" s="56">
        <f t="shared" ref="V4:V67" si="5">O4/3*(T4+0.87*(1-T4)/SQRT(1+(N4/I5)^2))</f>
        <v>1143.1103435216019</v>
      </c>
      <c r="W4" s="56">
        <f t="shared" ref="W4:W67" si="6">O4/3*(U4+0.87*(1-U4)/SQRT(1+(N4/I5)^2))</f>
        <v>1166.6666666666667</v>
      </c>
      <c r="X4" s="56">
        <f t="shared" ref="X4:X67" si="7">(W4-V4)/V4*100</f>
        <v>2.0607217210977606</v>
      </c>
      <c r="Y4" s="56"/>
      <c r="Z4" s="56"/>
      <c r="AA4" s="56"/>
      <c r="AB4" s="56"/>
      <c r="AC4" s="56"/>
      <c r="AD4" s="56"/>
    </row>
    <row r="5" spans="1:30" ht="20.25" customHeight="1">
      <c r="A5" s="38">
        <v>3</v>
      </c>
      <c r="B5" s="38" t="s">
        <v>339</v>
      </c>
      <c r="C5" s="26">
        <v>2827</v>
      </c>
      <c r="D5" s="26">
        <v>2800</v>
      </c>
      <c r="E5" s="26">
        <v>1750</v>
      </c>
      <c r="F5" s="26">
        <v>120</v>
      </c>
      <c r="G5" s="26">
        <v>2800</v>
      </c>
      <c r="H5" s="26">
        <v>20</v>
      </c>
      <c r="I5" s="26">
        <v>3192</v>
      </c>
      <c r="J5" s="26">
        <v>16</v>
      </c>
      <c r="K5" s="26">
        <v>28</v>
      </c>
      <c r="L5" s="31">
        <v>25</v>
      </c>
      <c r="M5" s="26">
        <v>25</v>
      </c>
      <c r="N5" s="56">
        <v>2000</v>
      </c>
      <c r="O5" s="56">
        <v>3500</v>
      </c>
      <c r="P5" s="57">
        <f t="shared" si="0"/>
        <v>17.736080000000001</v>
      </c>
      <c r="Q5" s="56">
        <f t="shared" si="1"/>
        <v>127.68</v>
      </c>
      <c r="R5" s="57">
        <f t="shared" si="2"/>
        <v>5.0674514285714289E-3</v>
      </c>
      <c r="S5" s="57" t="str">
        <f t="shared" si="3"/>
        <v>II</v>
      </c>
      <c r="T5" s="57">
        <f t="shared" si="4"/>
        <v>0.88648021592879522</v>
      </c>
      <c r="U5" s="56">
        <f t="shared" ref="U5:U68" si="8">MIN(15500000*(1+(I5/N5)^2)/O5/(I5/L5)^2,1)</f>
        <v>0.96361941261137074</v>
      </c>
      <c r="V5" s="56">
        <f t="shared" si="5"/>
        <v>1135.0480857106413</v>
      </c>
      <c r="W5" s="56">
        <f t="shared" si="6"/>
        <v>1156.5336087421238</v>
      </c>
      <c r="X5" s="56">
        <f t="shared" si="7"/>
        <v>1.8929174280779999</v>
      </c>
      <c r="Y5" s="56"/>
      <c r="Z5" s="56"/>
      <c r="AA5" s="56"/>
      <c r="AB5" s="56"/>
      <c r="AC5" s="56"/>
      <c r="AD5" s="56"/>
    </row>
    <row r="6" spans="1:30" ht="20.25" customHeight="1">
      <c r="A6" s="38">
        <v>4</v>
      </c>
      <c r="B6" s="38" t="s">
        <v>340</v>
      </c>
      <c r="C6" s="26">
        <v>2804</v>
      </c>
      <c r="D6" s="26">
        <v>2800</v>
      </c>
      <c r="E6" s="26">
        <v>1750</v>
      </c>
      <c r="F6" s="26">
        <v>120</v>
      </c>
      <c r="G6" s="26">
        <v>2800</v>
      </c>
      <c r="H6" s="26">
        <v>20</v>
      </c>
      <c r="I6" s="26">
        <v>3615</v>
      </c>
      <c r="J6" s="26">
        <v>16</v>
      </c>
      <c r="K6" s="26">
        <v>28</v>
      </c>
      <c r="L6" s="31">
        <v>25</v>
      </c>
      <c r="M6" s="26">
        <v>25</v>
      </c>
      <c r="N6" s="56">
        <v>2000</v>
      </c>
      <c r="O6" s="56">
        <v>3500</v>
      </c>
      <c r="P6" s="57">
        <f t="shared" si="0"/>
        <v>21.335281249999998</v>
      </c>
      <c r="Q6" s="56">
        <f t="shared" si="1"/>
        <v>144.6</v>
      </c>
      <c r="R6" s="57">
        <f t="shared" si="2"/>
        <v>6.0957946428571424E-3</v>
      </c>
      <c r="S6" s="57" t="str">
        <f t="shared" si="3"/>
        <v>II</v>
      </c>
      <c r="T6" s="57">
        <f t="shared" si="4"/>
        <v>0.85850730582653956</v>
      </c>
      <c r="U6" s="56">
        <f t="shared" si="8"/>
        <v>0.90376482808764891</v>
      </c>
      <c r="V6" s="56">
        <f t="shared" si="5"/>
        <v>1130.0450934891567</v>
      </c>
      <c r="W6" s="56">
        <f t="shared" si="6"/>
        <v>1141.7587842418829</v>
      </c>
      <c r="X6" s="56">
        <f t="shared" si="7"/>
        <v>1.0365684360930043</v>
      </c>
      <c r="Y6" s="56"/>
      <c r="Z6" s="56"/>
      <c r="AA6" s="56"/>
      <c r="AB6" s="56"/>
      <c r="AC6" s="56"/>
      <c r="AD6" s="56"/>
    </row>
    <row r="7" spans="1:30">
      <c r="A7" s="37">
        <v>5</v>
      </c>
      <c r="B7" s="37" t="s">
        <v>341</v>
      </c>
      <c r="C7" s="34">
        <v>2782</v>
      </c>
      <c r="D7" s="34">
        <v>2800</v>
      </c>
      <c r="E7" s="34">
        <v>1750</v>
      </c>
      <c r="F7" s="34">
        <v>120</v>
      </c>
      <c r="G7" s="34">
        <v>2800</v>
      </c>
      <c r="H7" s="34">
        <v>20</v>
      </c>
      <c r="I7" s="34">
        <v>4000</v>
      </c>
      <c r="J7" s="34">
        <v>16</v>
      </c>
      <c r="K7" s="34">
        <v>28</v>
      </c>
      <c r="L7" s="31">
        <v>25</v>
      </c>
      <c r="M7" s="34">
        <v>25</v>
      </c>
      <c r="N7" s="56">
        <v>2000</v>
      </c>
      <c r="O7" s="56">
        <v>3500</v>
      </c>
      <c r="P7" s="57">
        <f t="shared" si="0"/>
        <v>25</v>
      </c>
      <c r="Q7" s="56">
        <f t="shared" si="1"/>
        <v>160</v>
      </c>
      <c r="R7" s="57">
        <f t="shared" si="2"/>
        <v>7.1428571428571426E-3</v>
      </c>
      <c r="S7" s="57" t="str">
        <f t="shared" si="3"/>
        <v>II</v>
      </c>
      <c r="T7" s="57">
        <f t="shared" si="4"/>
        <v>0.83987204063646337</v>
      </c>
      <c r="U7" s="56">
        <f t="shared" si="8"/>
        <v>0.8649553571428571</v>
      </c>
      <c r="V7" s="56">
        <f t="shared" si="5"/>
        <v>1125.2218569833619</v>
      </c>
      <c r="W7" s="56">
        <f t="shared" si="6"/>
        <v>1131.7139979121889</v>
      </c>
      <c r="X7" s="56">
        <f t="shared" si="7"/>
        <v>0.57696541251268818</v>
      </c>
      <c r="Y7" s="56"/>
      <c r="Z7" s="56"/>
      <c r="AA7" s="56"/>
      <c r="AB7" s="56"/>
      <c r="AC7" s="56"/>
      <c r="AD7" s="56"/>
    </row>
    <row r="8" spans="1:30">
      <c r="A8" s="37">
        <v>6</v>
      </c>
      <c r="B8" s="37" t="s">
        <v>538</v>
      </c>
      <c r="C8" s="34">
        <v>2782</v>
      </c>
      <c r="D8" s="34">
        <v>2800</v>
      </c>
      <c r="E8" s="34">
        <v>1750</v>
      </c>
      <c r="F8" s="34">
        <v>120</v>
      </c>
      <c r="G8" s="34">
        <v>2800</v>
      </c>
      <c r="H8" s="34">
        <v>20</v>
      </c>
      <c r="I8" s="34">
        <v>4000</v>
      </c>
      <c r="J8" s="34">
        <v>16</v>
      </c>
      <c r="K8" s="34">
        <v>28</v>
      </c>
      <c r="L8" s="31">
        <v>25</v>
      </c>
      <c r="M8" s="34">
        <v>25</v>
      </c>
      <c r="N8" s="56">
        <v>2000</v>
      </c>
      <c r="O8" s="56">
        <v>3500</v>
      </c>
      <c r="P8" s="57">
        <f t="shared" si="0"/>
        <v>25</v>
      </c>
      <c r="Q8" s="56">
        <f t="shared" si="1"/>
        <v>160</v>
      </c>
      <c r="R8" s="57">
        <f t="shared" si="2"/>
        <v>7.1428571428571426E-3</v>
      </c>
      <c r="S8" s="57" t="str">
        <f t="shared" si="3"/>
        <v>II</v>
      </c>
      <c r="T8" s="57">
        <f t="shared" si="4"/>
        <v>0.83987204063646337</v>
      </c>
      <c r="U8" s="56">
        <f t="shared" si="8"/>
        <v>0.8649553571428571</v>
      </c>
      <c r="V8" s="56">
        <f t="shared" si="5"/>
        <v>1125.2218569833619</v>
      </c>
      <c r="W8" s="56">
        <f t="shared" si="6"/>
        <v>1131.7139979121889</v>
      </c>
      <c r="X8" s="56">
        <f t="shared" si="7"/>
        <v>0.57696541251268818</v>
      </c>
      <c r="Y8" s="56"/>
      <c r="Z8" s="56"/>
      <c r="AA8" s="56"/>
      <c r="AB8" s="56"/>
      <c r="AC8" s="56"/>
      <c r="AD8" s="56"/>
    </row>
    <row r="9" spans="1:30" ht="20.25" customHeight="1">
      <c r="A9" s="38">
        <v>7</v>
      </c>
      <c r="B9" s="38" t="s">
        <v>539</v>
      </c>
      <c r="C9" s="26">
        <v>2757</v>
      </c>
      <c r="D9" s="26">
        <v>2800</v>
      </c>
      <c r="E9" s="26">
        <v>1750</v>
      </c>
      <c r="F9" s="26">
        <v>120</v>
      </c>
      <c r="G9" s="26">
        <v>2800</v>
      </c>
      <c r="H9" s="26">
        <v>20</v>
      </c>
      <c r="I9" s="26">
        <v>4000</v>
      </c>
      <c r="J9" s="26">
        <v>16</v>
      </c>
      <c r="K9" s="26">
        <v>28</v>
      </c>
      <c r="L9" s="31">
        <v>25</v>
      </c>
      <c r="M9" s="26">
        <v>25</v>
      </c>
      <c r="N9" s="56">
        <v>2000</v>
      </c>
      <c r="O9" s="56">
        <v>3500</v>
      </c>
      <c r="P9" s="57">
        <f t="shared" si="0"/>
        <v>25</v>
      </c>
      <c r="Q9" s="56">
        <f t="shared" si="1"/>
        <v>160</v>
      </c>
      <c r="R9" s="57">
        <f t="shared" si="2"/>
        <v>7.1428571428571426E-3</v>
      </c>
      <c r="S9" s="57" t="str">
        <f t="shared" si="3"/>
        <v>II</v>
      </c>
      <c r="T9" s="57">
        <f t="shared" si="4"/>
        <v>0.83987204063646337</v>
      </c>
      <c r="U9" s="56">
        <f t="shared" si="8"/>
        <v>0.8649553571428571</v>
      </c>
      <c r="V9" s="56">
        <f t="shared" si="5"/>
        <v>1125.2218569833619</v>
      </c>
      <c r="W9" s="56">
        <f t="shared" si="6"/>
        <v>1131.7139979121889</v>
      </c>
      <c r="X9" s="56">
        <f t="shared" si="7"/>
        <v>0.57696541251268818</v>
      </c>
      <c r="Y9" s="56"/>
      <c r="Z9" s="56"/>
      <c r="AA9" s="56"/>
      <c r="AB9" s="56"/>
      <c r="AC9" s="56"/>
      <c r="AD9" s="56"/>
    </row>
    <row r="10" spans="1:30" ht="20.25" customHeight="1">
      <c r="A10" s="38">
        <v>8</v>
      </c>
      <c r="B10" s="38" t="s">
        <v>342</v>
      </c>
      <c r="C10" s="26">
        <v>2732</v>
      </c>
      <c r="D10" s="26">
        <v>2800</v>
      </c>
      <c r="E10" s="26">
        <v>1750</v>
      </c>
      <c r="F10" s="26">
        <v>120</v>
      </c>
      <c r="G10" s="26">
        <v>2800</v>
      </c>
      <c r="H10" s="26">
        <v>20</v>
      </c>
      <c r="I10" s="26">
        <v>4000</v>
      </c>
      <c r="J10" s="26">
        <v>16</v>
      </c>
      <c r="K10" s="26">
        <v>28</v>
      </c>
      <c r="L10" s="31">
        <v>25</v>
      </c>
      <c r="M10" s="26">
        <v>25</v>
      </c>
      <c r="N10" s="56">
        <v>2000</v>
      </c>
      <c r="O10" s="56">
        <v>3500</v>
      </c>
      <c r="P10" s="57">
        <f t="shared" si="0"/>
        <v>25</v>
      </c>
      <c r="Q10" s="56">
        <f t="shared" si="1"/>
        <v>160</v>
      </c>
      <c r="R10" s="57">
        <f t="shared" si="2"/>
        <v>7.1428571428571426E-3</v>
      </c>
      <c r="S10" s="57" t="str">
        <f t="shared" si="3"/>
        <v>II</v>
      </c>
      <c r="T10" s="57">
        <f t="shared" si="4"/>
        <v>0.83987204063646337</v>
      </c>
      <c r="U10" s="56">
        <f t="shared" si="8"/>
        <v>0.8649553571428571</v>
      </c>
      <c r="V10" s="56">
        <f t="shared" si="5"/>
        <v>1125.2218569833619</v>
      </c>
      <c r="W10" s="56">
        <f t="shared" si="6"/>
        <v>1131.7139979121889</v>
      </c>
      <c r="X10" s="56">
        <f t="shared" si="7"/>
        <v>0.57696541251268818</v>
      </c>
      <c r="Y10" s="56"/>
      <c r="Z10" s="56"/>
      <c r="AA10" s="56"/>
      <c r="AB10" s="56"/>
      <c r="AC10" s="56"/>
      <c r="AD10" s="56"/>
    </row>
    <row r="11" spans="1:30" ht="20.25" customHeight="1">
      <c r="A11" s="38">
        <v>9</v>
      </c>
      <c r="B11" s="38" t="s">
        <v>343</v>
      </c>
      <c r="C11" s="26">
        <v>2707</v>
      </c>
      <c r="D11" s="26">
        <v>2800</v>
      </c>
      <c r="E11" s="26">
        <v>1750</v>
      </c>
      <c r="F11" s="26">
        <v>120</v>
      </c>
      <c r="G11" s="26">
        <v>2800</v>
      </c>
      <c r="H11" s="26">
        <v>20</v>
      </c>
      <c r="I11" s="26">
        <v>4000</v>
      </c>
      <c r="J11" s="26">
        <v>16</v>
      </c>
      <c r="K11" s="26">
        <v>28</v>
      </c>
      <c r="L11" s="31">
        <v>25</v>
      </c>
      <c r="M11" s="26">
        <v>25</v>
      </c>
      <c r="N11" s="56">
        <v>2000</v>
      </c>
      <c r="O11" s="56">
        <v>3500</v>
      </c>
      <c r="P11" s="57">
        <f t="shared" si="0"/>
        <v>25</v>
      </c>
      <c r="Q11" s="56">
        <f t="shared" si="1"/>
        <v>160</v>
      </c>
      <c r="R11" s="57">
        <f t="shared" si="2"/>
        <v>7.1428571428571426E-3</v>
      </c>
      <c r="S11" s="57" t="str">
        <f t="shared" si="3"/>
        <v>II</v>
      </c>
      <c r="T11" s="57">
        <f t="shared" si="4"/>
        <v>0.83987204063646337</v>
      </c>
      <c r="U11" s="56">
        <f t="shared" si="8"/>
        <v>0.8649553571428571</v>
      </c>
      <c r="V11" s="56">
        <f t="shared" si="5"/>
        <v>1125.2218569833619</v>
      </c>
      <c r="W11" s="56">
        <f t="shared" si="6"/>
        <v>1131.7139979121889</v>
      </c>
      <c r="X11" s="56">
        <f t="shared" si="7"/>
        <v>0.57696541251268818</v>
      </c>
      <c r="Y11" s="56"/>
      <c r="Z11" s="56"/>
      <c r="AA11" s="56"/>
      <c r="AB11" s="56"/>
      <c r="AC11" s="56"/>
      <c r="AD11" s="56"/>
    </row>
    <row r="12" spans="1:30" ht="20.25" customHeight="1">
      <c r="A12" s="37">
        <v>10</v>
      </c>
      <c r="B12" s="37" t="s">
        <v>344</v>
      </c>
      <c r="C12" s="34">
        <v>2682</v>
      </c>
      <c r="D12" s="34">
        <v>2800</v>
      </c>
      <c r="E12" s="34">
        <v>1750</v>
      </c>
      <c r="F12" s="34">
        <v>120</v>
      </c>
      <c r="G12" s="34">
        <v>2800</v>
      </c>
      <c r="H12" s="34">
        <v>20</v>
      </c>
      <c r="I12" s="34">
        <v>4000</v>
      </c>
      <c r="J12" s="34">
        <v>16</v>
      </c>
      <c r="K12" s="34">
        <v>28</v>
      </c>
      <c r="L12" s="31">
        <v>25</v>
      </c>
      <c r="M12" s="34">
        <v>25</v>
      </c>
      <c r="N12" s="56">
        <v>2000</v>
      </c>
      <c r="O12" s="56">
        <v>3500</v>
      </c>
      <c r="P12" s="57">
        <f t="shared" si="0"/>
        <v>25</v>
      </c>
      <c r="Q12" s="56">
        <f t="shared" si="1"/>
        <v>160</v>
      </c>
      <c r="R12" s="57">
        <f t="shared" si="2"/>
        <v>7.1428571428571426E-3</v>
      </c>
      <c r="S12" s="57" t="str">
        <f t="shared" si="3"/>
        <v>II</v>
      </c>
      <c r="T12" s="57">
        <f t="shared" si="4"/>
        <v>0.83987204063646337</v>
      </c>
      <c r="U12" s="56">
        <f t="shared" si="8"/>
        <v>0.8649553571428571</v>
      </c>
      <c r="V12" s="56">
        <f t="shared" si="5"/>
        <v>1125.2218569833619</v>
      </c>
      <c r="W12" s="56">
        <f t="shared" si="6"/>
        <v>1131.7139979121889</v>
      </c>
      <c r="X12" s="56">
        <f t="shared" si="7"/>
        <v>0.57696541251268818</v>
      </c>
      <c r="Y12" s="56"/>
      <c r="Z12" s="56"/>
      <c r="AA12" s="56"/>
      <c r="AB12" s="56"/>
      <c r="AC12" s="56"/>
      <c r="AD12" s="56"/>
    </row>
    <row r="13" spans="1:30" ht="19.5" customHeight="1">
      <c r="A13" s="38">
        <v>11</v>
      </c>
      <c r="B13" s="38" t="s">
        <v>345</v>
      </c>
      <c r="C13" s="26">
        <v>2657</v>
      </c>
      <c r="D13" s="26">
        <v>2800</v>
      </c>
      <c r="E13" s="26">
        <v>1750</v>
      </c>
      <c r="F13" s="26">
        <v>120</v>
      </c>
      <c r="G13" s="26">
        <v>2800</v>
      </c>
      <c r="H13" s="26">
        <v>20</v>
      </c>
      <c r="I13" s="26">
        <v>4000</v>
      </c>
      <c r="J13" s="26">
        <v>16</v>
      </c>
      <c r="K13" s="26">
        <v>28</v>
      </c>
      <c r="L13" s="31">
        <v>25</v>
      </c>
      <c r="M13" s="26">
        <v>25</v>
      </c>
      <c r="N13" s="56">
        <v>2000</v>
      </c>
      <c r="O13" s="56">
        <v>3500</v>
      </c>
      <c r="P13" s="57">
        <f t="shared" si="0"/>
        <v>25</v>
      </c>
      <c r="Q13" s="56">
        <f t="shared" si="1"/>
        <v>160</v>
      </c>
      <c r="R13" s="57">
        <f t="shared" si="2"/>
        <v>7.1428571428571426E-3</v>
      </c>
      <c r="S13" s="57" t="str">
        <f t="shared" si="3"/>
        <v>II</v>
      </c>
      <c r="T13" s="57">
        <f t="shared" si="4"/>
        <v>0.83987204063646337</v>
      </c>
      <c r="U13" s="56">
        <f t="shared" si="8"/>
        <v>0.8649553571428571</v>
      </c>
      <c r="V13" s="56">
        <f t="shared" si="5"/>
        <v>1125.2218569833619</v>
      </c>
      <c r="W13" s="56">
        <f t="shared" si="6"/>
        <v>1131.7139979121889</v>
      </c>
      <c r="X13" s="56">
        <f t="shared" si="7"/>
        <v>0.57696541251268818</v>
      </c>
      <c r="Y13" s="56"/>
      <c r="Z13" s="56"/>
      <c r="AA13" s="56"/>
      <c r="AB13" s="56"/>
      <c r="AC13" s="56"/>
      <c r="AD13" s="56"/>
    </row>
    <row r="14" spans="1:30" ht="19.5" customHeight="1">
      <c r="A14" s="38">
        <v>12</v>
      </c>
      <c r="B14" s="38" t="s">
        <v>346</v>
      </c>
      <c r="C14" s="26">
        <v>2632</v>
      </c>
      <c r="D14" s="26">
        <v>2800</v>
      </c>
      <c r="E14" s="26">
        <v>1750</v>
      </c>
      <c r="F14" s="26">
        <v>120</v>
      </c>
      <c r="G14" s="26">
        <v>2800</v>
      </c>
      <c r="H14" s="26">
        <v>20</v>
      </c>
      <c r="I14" s="26">
        <v>4000</v>
      </c>
      <c r="J14" s="26">
        <v>16</v>
      </c>
      <c r="K14" s="26">
        <v>28</v>
      </c>
      <c r="L14" s="31">
        <v>25</v>
      </c>
      <c r="M14" s="26">
        <v>25</v>
      </c>
      <c r="N14" s="56">
        <v>2000</v>
      </c>
      <c r="O14" s="56">
        <v>3500</v>
      </c>
      <c r="P14" s="57">
        <f t="shared" si="0"/>
        <v>25</v>
      </c>
      <c r="Q14" s="56">
        <f t="shared" si="1"/>
        <v>160</v>
      </c>
      <c r="R14" s="57">
        <f t="shared" si="2"/>
        <v>7.1428571428571426E-3</v>
      </c>
      <c r="S14" s="57" t="str">
        <f t="shared" si="3"/>
        <v>II</v>
      </c>
      <c r="T14" s="57">
        <f t="shared" si="4"/>
        <v>0.83987204063646337</v>
      </c>
      <c r="U14" s="56">
        <f t="shared" si="8"/>
        <v>0.8649553571428571</v>
      </c>
      <c r="V14" s="56">
        <f t="shared" si="5"/>
        <v>1125.2218569833619</v>
      </c>
      <c r="W14" s="56">
        <f t="shared" si="6"/>
        <v>1131.7139979121889</v>
      </c>
      <c r="X14" s="56">
        <f t="shared" si="7"/>
        <v>0.57696541251268818</v>
      </c>
      <c r="Y14" s="56"/>
      <c r="Z14" s="56"/>
      <c r="AA14" s="56"/>
      <c r="AB14" s="56"/>
      <c r="AC14" s="56"/>
      <c r="AD14" s="56"/>
    </row>
    <row r="15" spans="1:30" ht="19.5" customHeight="1">
      <c r="A15" s="38">
        <v>13</v>
      </c>
      <c r="B15" s="38" t="s">
        <v>347</v>
      </c>
      <c r="C15" s="26">
        <v>2607</v>
      </c>
      <c r="D15" s="26">
        <v>2800</v>
      </c>
      <c r="E15" s="26">
        <v>1750</v>
      </c>
      <c r="F15" s="26">
        <v>120</v>
      </c>
      <c r="G15" s="26">
        <v>2800</v>
      </c>
      <c r="H15" s="26">
        <v>20</v>
      </c>
      <c r="I15" s="26">
        <v>4000</v>
      </c>
      <c r="J15" s="26">
        <v>16</v>
      </c>
      <c r="K15" s="26">
        <v>28</v>
      </c>
      <c r="L15" s="31">
        <v>25</v>
      </c>
      <c r="M15" s="26">
        <v>25</v>
      </c>
      <c r="N15" s="56">
        <v>2000</v>
      </c>
      <c r="O15" s="56">
        <v>3500</v>
      </c>
      <c r="P15" s="57">
        <f t="shared" si="0"/>
        <v>25</v>
      </c>
      <c r="Q15" s="56">
        <f t="shared" si="1"/>
        <v>160</v>
      </c>
      <c r="R15" s="57">
        <f t="shared" si="2"/>
        <v>7.1428571428571426E-3</v>
      </c>
      <c r="S15" s="57" t="str">
        <f t="shared" si="3"/>
        <v>II</v>
      </c>
      <c r="T15" s="57">
        <f t="shared" si="4"/>
        <v>0.83987204063646337</v>
      </c>
      <c r="U15" s="56">
        <f t="shared" si="8"/>
        <v>0.8649553571428571</v>
      </c>
      <c r="V15" s="56">
        <f t="shared" si="5"/>
        <v>1125.2218569833619</v>
      </c>
      <c r="W15" s="56">
        <f t="shared" si="6"/>
        <v>1131.7139979121889</v>
      </c>
      <c r="X15" s="56">
        <f t="shared" si="7"/>
        <v>0.57696541251268818</v>
      </c>
      <c r="Y15" s="56"/>
      <c r="Z15" s="56"/>
      <c r="AA15" s="56"/>
      <c r="AB15" s="56"/>
      <c r="AC15" s="56"/>
      <c r="AD15" s="56"/>
    </row>
    <row r="16" spans="1:30">
      <c r="A16" s="37">
        <v>14</v>
      </c>
      <c r="B16" s="37" t="s">
        <v>348</v>
      </c>
      <c r="C16" s="34">
        <v>2582</v>
      </c>
      <c r="D16" s="34">
        <v>2800</v>
      </c>
      <c r="E16" s="34">
        <v>1750</v>
      </c>
      <c r="F16" s="34">
        <v>120</v>
      </c>
      <c r="G16" s="34">
        <v>2800</v>
      </c>
      <c r="H16" s="34">
        <v>20</v>
      </c>
      <c r="I16" s="34">
        <v>4000</v>
      </c>
      <c r="J16" s="34">
        <v>16</v>
      </c>
      <c r="K16" s="34">
        <v>28</v>
      </c>
      <c r="L16" s="31">
        <v>25</v>
      </c>
      <c r="M16" s="34">
        <v>25</v>
      </c>
      <c r="N16" s="56">
        <v>2000</v>
      </c>
      <c r="O16" s="56">
        <v>3500</v>
      </c>
      <c r="P16" s="57">
        <f t="shared" si="0"/>
        <v>25</v>
      </c>
      <c r="Q16" s="56">
        <f t="shared" si="1"/>
        <v>160</v>
      </c>
      <c r="R16" s="57">
        <f t="shared" si="2"/>
        <v>7.1428571428571426E-3</v>
      </c>
      <c r="S16" s="57" t="str">
        <f t="shared" si="3"/>
        <v>II</v>
      </c>
      <c r="T16" s="57">
        <f t="shared" si="4"/>
        <v>0.83987204063646337</v>
      </c>
      <c r="U16" s="56">
        <f t="shared" si="8"/>
        <v>0.8649553571428571</v>
      </c>
      <c r="V16" s="56">
        <f t="shared" si="5"/>
        <v>1125.2218569833619</v>
      </c>
      <c r="W16" s="56">
        <f t="shared" si="6"/>
        <v>1131.7139979121889</v>
      </c>
      <c r="X16" s="56">
        <f t="shared" si="7"/>
        <v>0.57696541251268818</v>
      </c>
      <c r="Y16" s="56"/>
      <c r="Z16" s="56"/>
      <c r="AA16" s="56"/>
      <c r="AB16" s="56"/>
      <c r="AC16" s="56"/>
      <c r="AD16" s="56"/>
    </row>
    <row r="17" spans="1:30">
      <c r="A17" s="38">
        <v>15</v>
      </c>
      <c r="B17" s="38" t="s">
        <v>349</v>
      </c>
      <c r="C17" s="26">
        <v>2557</v>
      </c>
      <c r="D17" s="26">
        <v>2800</v>
      </c>
      <c r="E17" s="26">
        <v>1750</v>
      </c>
      <c r="F17" s="26">
        <v>120</v>
      </c>
      <c r="G17" s="26">
        <v>2800</v>
      </c>
      <c r="H17" s="26">
        <v>20</v>
      </c>
      <c r="I17" s="26">
        <v>4000</v>
      </c>
      <c r="J17" s="26">
        <v>16</v>
      </c>
      <c r="K17" s="26">
        <v>28</v>
      </c>
      <c r="L17" s="31">
        <v>25</v>
      </c>
      <c r="M17" s="26">
        <v>25</v>
      </c>
      <c r="N17" s="56">
        <v>2000</v>
      </c>
      <c r="O17" s="56">
        <v>3500</v>
      </c>
      <c r="P17" s="57">
        <f t="shared" si="0"/>
        <v>25</v>
      </c>
      <c r="Q17" s="56">
        <f t="shared" si="1"/>
        <v>160</v>
      </c>
      <c r="R17" s="57">
        <f t="shared" si="2"/>
        <v>7.1428571428571426E-3</v>
      </c>
      <c r="S17" s="57" t="str">
        <f t="shared" si="3"/>
        <v>II</v>
      </c>
      <c r="T17" s="57">
        <f t="shared" si="4"/>
        <v>0.83987204063646337</v>
      </c>
      <c r="U17" s="56">
        <f t="shared" si="8"/>
        <v>0.8649553571428571</v>
      </c>
      <c r="V17" s="56">
        <f t="shared" si="5"/>
        <v>1125.2218569833619</v>
      </c>
      <c r="W17" s="56">
        <f t="shared" si="6"/>
        <v>1131.7139979121889</v>
      </c>
      <c r="X17" s="56">
        <f t="shared" si="7"/>
        <v>0.57696541251268818</v>
      </c>
      <c r="Y17" s="56"/>
      <c r="Z17" s="56"/>
      <c r="AA17" s="56"/>
      <c r="AB17" s="56"/>
      <c r="AC17" s="56"/>
      <c r="AD17" s="56"/>
    </row>
    <row r="18" spans="1:30">
      <c r="A18" s="38">
        <v>16</v>
      </c>
      <c r="B18" s="38" t="s">
        <v>350</v>
      </c>
      <c r="C18" s="26">
        <v>2532</v>
      </c>
      <c r="D18" s="26">
        <v>2800</v>
      </c>
      <c r="E18" s="26">
        <v>1750</v>
      </c>
      <c r="F18" s="26">
        <v>120</v>
      </c>
      <c r="G18" s="26">
        <v>2800</v>
      </c>
      <c r="H18" s="26">
        <v>20</v>
      </c>
      <c r="I18" s="26">
        <v>4000</v>
      </c>
      <c r="J18" s="26">
        <v>16</v>
      </c>
      <c r="K18" s="26">
        <v>28</v>
      </c>
      <c r="L18" s="31">
        <v>25</v>
      </c>
      <c r="M18" s="26">
        <v>25</v>
      </c>
      <c r="N18" s="56">
        <v>2000</v>
      </c>
      <c r="O18" s="56">
        <v>3500</v>
      </c>
      <c r="P18" s="57">
        <f t="shared" si="0"/>
        <v>25</v>
      </c>
      <c r="Q18" s="56">
        <f t="shared" si="1"/>
        <v>160</v>
      </c>
      <c r="R18" s="57">
        <f t="shared" si="2"/>
        <v>7.1428571428571426E-3</v>
      </c>
      <c r="S18" s="57" t="str">
        <f t="shared" si="3"/>
        <v>II</v>
      </c>
      <c r="T18" s="57">
        <f t="shared" si="4"/>
        <v>0.83987204063646337</v>
      </c>
      <c r="U18" s="56">
        <f t="shared" si="8"/>
        <v>0.8649553571428571</v>
      </c>
      <c r="V18" s="56">
        <f t="shared" si="5"/>
        <v>1125.2218569833619</v>
      </c>
      <c r="W18" s="56">
        <f t="shared" si="6"/>
        <v>1131.7139979121889</v>
      </c>
      <c r="X18" s="56">
        <f t="shared" si="7"/>
        <v>0.57696541251268818</v>
      </c>
      <c r="Y18" s="56"/>
      <c r="Z18" s="56"/>
      <c r="AA18" s="56"/>
      <c r="AB18" s="56"/>
      <c r="AC18" s="56"/>
      <c r="AD18" s="56"/>
    </row>
    <row r="19" spans="1:30">
      <c r="A19" s="38">
        <v>17</v>
      </c>
      <c r="B19" s="38" t="s">
        <v>351</v>
      </c>
      <c r="C19" s="26">
        <v>2507</v>
      </c>
      <c r="D19" s="26">
        <v>2800</v>
      </c>
      <c r="E19" s="26">
        <v>1750</v>
      </c>
      <c r="F19" s="26">
        <v>120</v>
      </c>
      <c r="G19" s="26">
        <v>2800</v>
      </c>
      <c r="H19" s="26">
        <v>20</v>
      </c>
      <c r="I19" s="26">
        <v>4000</v>
      </c>
      <c r="J19" s="26">
        <v>16</v>
      </c>
      <c r="K19" s="26">
        <v>28</v>
      </c>
      <c r="L19" s="31">
        <v>25</v>
      </c>
      <c r="M19" s="26">
        <v>25</v>
      </c>
      <c r="N19" s="56">
        <v>2000</v>
      </c>
      <c r="O19" s="56">
        <v>3500</v>
      </c>
      <c r="P19" s="57">
        <f t="shared" si="0"/>
        <v>25</v>
      </c>
      <c r="Q19" s="56">
        <f t="shared" si="1"/>
        <v>160</v>
      </c>
      <c r="R19" s="57">
        <f t="shared" si="2"/>
        <v>7.1428571428571426E-3</v>
      </c>
      <c r="S19" s="57" t="str">
        <f t="shared" si="3"/>
        <v>II</v>
      </c>
      <c r="T19" s="57">
        <f t="shared" si="4"/>
        <v>0.83987204063646337</v>
      </c>
      <c r="U19" s="56">
        <f t="shared" si="8"/>
        <v>0.8649553571428571</v>
      </c>
      <c r="V19" s="56">
        <f t="shared" si="5"/>
        <v>1125.2363853797433</v>
      </c>
      <c r="W19" s="56">
        <f t="shared" si="6"/>
        <v>1131.7262505013584</v>
      </c>
      <c r="X19" s="56">
        <f t="shared" si="7"/>
        <v>0.5767557115943196</v>
      </c>
      <c r="Y19" s="56"/>
      <c r="Z19" s="56"/>
      <c r="AA19" s="56"/>
      <c r="AB19" s="56"/>
      <c r="AC19" s="56"/>
      <c r="AD19" s="56"/>
    </row>
    <row r="20" spans="1:30">
      <c r="A20" s="37">
        <v>18</v>
      </c>
      <c r="B20" s="37" t="s">
        <v>352</v>
      </c>
      <c r="C20" s="34">
        <v>2482</v>
      </c>
      <c r="D20" s="34">
        <v>2800</v>
      </c>
      <c r="E20" s="34">
        <v>1750</v>
      </c>
      <c r="F20" s="34">
        <v>120</v>
      </c>
      <c r="G20" s="34">
        <v>2800</v>
      </c>
      <c r="H20" s="34">
        <v>20</v>
      </c>
      <c r="I20" s="34">
        <v>4002</v>
      </c>
      <c r="J20" s="34">
        <v>16</v>
      </c>
      <c r="K20" s="34">
        <v>28</v>
      </c>
      <c r="L20" s="31">
        <v>25</v>
      </c>
      <c r="M20" s="34">
        <v>25</v>
      </c>
      <c r="N20" s="56">
        <v>2000</v>
      </c>
      <c r="O20" s="56">
        <v>3500</v>
      </c>
      <c r="P20" s="57">
        <f t="shared" si="0"/>
        <v>25.020004999999998</v>
      </c>
      <c r="Q20" s="56">
        <f t="shared" si="1"/>
        <v>160.08000000000001</v>
      </c>
      <c r="R20" s="57">
        <f t="shared" si="2"/>
        <v>7.1485728571428564E-3</v>
      </c>
      <c r="S20" s="57" t="str">
        <f t="shared" si="3"/>
        <v>II</v>
      </c>
      <c r="T20" s="57">
        <f t="shared" si="4"/>
        <v>0.83978811218734839</v>
      </c>
      <c r="U20" s="56">
        <f t="shared" si="8"/>
        <v>0.86478249572829047</v>
      </c>
      <c r="V20" s="56">
        <f t="shared" si="5"/>
        <v>1125.2146703758888</v>
      </c>
      <c r="W20" s="56">
        <f t="shared" si="6"/>
        <v>1131.6815256634375</v>
      </c>
      <c r="X20" s="56">
        <f t="shared" si="7"/>
        <v>0.57472191376498682</v>
      </c>
      <c r="Y20" s="56"/>
      <c r="Z20" s="56"/>
      <c r="AA20" s="56"/>
      <c r="AB20" s="56"/>
      <c r="AC20" s="56"/>
      <c r="AD20" s="56"/>
    </row>
    <row r="21" spans="1:30">
      <c r="A21" s="37">
        <v>19</v>
      </c>
      <c r="B21" s="37" t="s">
        <v>540</v>
      </c>
      <c r="C21" s="34">
        <v>2482</v>
      </c>
      <c r="D21" s="34">
        <v>2800</v>
      </c>
      <c r="E21" s="34">
        <v>1750</v>
      </c>
      <c r="F21" s="34">
        <v>120</v>
      </c>
      <c r="G21" s="34">
        <v>2800</v>
      </c>
      <c r="H21" s="34">
        <v>20</v>
      </c>
      <c r="I21" s="34">
        <v>4002</v>
      </c>
      <c r="J21" s="34">
        <v>16</v>
      </c>
      <c r="K21" s="34">
        <v>32</v>
      </c>
      <c r="L21" s="31">
        <v>25</v>
      </c>
      <c r="M21" s="34">
        <v>25</v>
      </c>
      <c r="N21" s="56">
        <v>2000</v>
      </c>
      <c r="O21" s="56">
        <v>3500</v>
      </c>
      <c r="P21" s="57">
        <f t="shared" si="0"/>
        <v>25.020004999999998</v>
      </c>
      <c r="Q21" s="56">
        <f t="shared" si="1"/>
        <v>160.08000000000001</v>
      </c>
      <c r="R21" s="57">
        <f t="shared" si="2"/>
        <v>7.1485728571428564E-3</v>
      </c>
      <c r="S21" s="57" t="str">
        <f t="shared" si="3"/>
        <v>II</v>
      </c>
      <c r="T21" s="57">
        <f t="shared" si="4"/>
        <v>0.83978811218734839</v>
      </c>
      <c r="U21" s="56">
        <f t="shared" si="8"/>
        <v>0.86478249572829047</v>
      </c>
      <c r="V21" s="56">
        <f t="shared" si="5"/>
        <v>1125.2581739487434</v>
      </c>
      <c r="W21" s="56">
        <f t="shared" si="6"/>
        <v>1131.7182423180418</v>
      </c>
      <c r="X21" s="56">
        <f t="shared" si="7"/>
        <v>0.5740965512499917</v>
      </c>
      <c r="Y21" s="56"/>
      <c r="Z21" s="56"/>
      <c r="AA21" s="56"/>
      <c r="AB21" s="56"/>
      <c r="AC21" s="56"/>
      <c r="AD21" s="56"/>
    </row>
    <row r="22" spans="1:30">
      <c r="A22" s="38">
        <v>20</v>
      </c>
      <c r="B22" s="38" t="s">
        <v>541</v>
      </c>
      <c r="C22" s="26">
        <v>2457</v>
      </c>
      <c r="D22" s="26">
        <v>2800</v>
      </c>
      <c r="E22" s="26">
        <v>1750</v>
      </c>
      <c r="F22" s="26">
        <v>120</v>
      </c>
      <c r="G22" s="26">
        <v>2800</v>
      </c>
      <c r="H22" s="26">
        <v>20</v>
      </c>
      <c r="I22" s="26">
        <v>4008</v>
      </c>
      <c r="J22" s="26">
        <v>16</v>
      </c>
      <c r="K22" s="26">
        <v>32</v>
      </c>
      <c r="L22" s="31">
        <v>25</v>
      </c>
      <c r="M22" s="26">
        <v>25</v>
      </c>
      <c r="N22" s="56">
        <v>2000</v>
      </c>
      <c r="O22" s="56">
        <v>3500</v>
      </c>
      <c r="P22" s="57">
        <f t="shared" si="0"/>
        <v>25.080080000000002</v>
      </c>
      <c r="Q22" s="56">
        <f t="shared" si="1"/>
        <v>160.32</v>
      </c>
      <c r="R22" s="57">
        <f t="shared" si="2"/>
        <v>7.1657371428571438E-3</v>
      </c>
      <c r="S22" s="57" t="str">
        <f t="shared" si="3"/>
        <v>II</v>
      </c>
      <c r="T22" s="57">
        <f t="shared" si="4"/>
        <v>0.83953703017082271</v>
      </c>
      <c r="U22" s="56">
        <f t="shared" si="8"/>
        <v>0.86426546322809183</v>
      </c>
      <c r="V22" s="56">
        <f t="shared" si="5"/>
        <v>1125.2655514905859</v>
      </c>
      <c r="W22" s="56">
        <f t="shared" si="6"/>
        <v>1131.6457444174519</v>
      </c>
      <c r="X22" s="56">
        <f t="shared" si="7"/>
        <v>0.56699442353090457</v>
      </c>
      <c r="Y22" s="56"/>
      <c r="Z22" s="56"/>
      <c r="AA22" s="56"/>
      <c r="AB22" s="56"/>
      <c r="AC22" s="56"/>
      <c r="AD22" s="56"/>
    </row>
    <row r="23" spans="1:30">
      <c r="A23" s="38">
        <v>21</v>
      </c>
      <c r="B23" s="38" t="s">
        <v>353</v>
      </c>
      <c r="C23" s="26">
        <v>2432</v>
      </c>
      <c r="D23" s="26">
        <v>2800</v>
      </c>
      <c r="E23" s="26">
        <v>1750</v>
      </c>
      <c r="F23" s="26">
        <v>120</v>
      </c>
      <c r="G23" s="26">
        <v>2800</v>
      </c>
      <c r="H23" s="26">
        <v>20</v>
      </c>
      <c r="I23" s="26">
        <v>4018</v>
      </c>
      <c r="J23" s="26">
        <v>16</v>
      </c>
      <c r="K23" s="26">
        <v>32</v>
      </c>
      <c r="L23" s="31">
        <v>25</v>
      </c>
      <c r="M23" s="26">
        <v>25</v>
      </c>
      <c r="N23" s="56">
        <v>2000</v>
      </c>
      <c r="O23" s="56">
        <v>3500</v>
      </c>
      <c r="P23" s="57">
        <f t="shared" si="0"/>
        <v>25.180405</v>
      </c>
      <c r="Q23" s="56">
        <f t="shared" si="1"/>
        <v>160.72</v>
      </c>
      <c r="R23" s="57">
        <f t="shared" si="2"/>
        <v>7.1944014285714288E-3</v>
      </c>
      <c r="S23" s="57" t="str">
        <f t="shared" si="3"/>
        <v>II</v>
      </c>
      <c r="T23" s="57">
        <f t="shared" si="4"/>
        <v>0.83912089168124093</v>
      </c>
      <c r="U23" s="56">
        <f t="shared" si="8"/>
        <v>0.86340888400512406</v>
      </c>
      <c r="V23" s="56">
        <f t="shared" si="5"/>
        <v>1125.2589016644547</v>
      </c>
      <c r="W23" s="56">
        <f t="shared" si="6"/>
        <v>1131.5102508236644</v>
      </c>
      <c r="X23" s="56">
        <f t="shared" si="7"/>
        <v>0.55554762996878571</v>
      </c>
      <c r="Y23" s="56"/>
      <c r="Z23" s="56"/>
      <c r="AA23" s="56"/>
      <c r="AB23" s="56"/>
      <c r="AC23" s="56"/>
      <c r="AD23" s="56"/>
    </row>
    <row r="24" spans="1:30">
      <c r="A24" s="38">
        <v>22</v>
      </c>
      <c r="B24" s="38" t="s">
        <v>354</v>
      </c>
      <c r="C24" s="26">
        <v>2407</v>
      </c>
      <c r="D24" s="26">
        <v>2800</v>
      </c>
      <c r="E24" s="26">
        <v>1750</v>
      </c>
      <c r="F24" s="26">
        <v>120</v>
      </c>
      <c r="G24" s="26">
        <v>2800</v>
      </c>
      <c r="H24" s="26">
        <v>20</v>
      </c>
      <c r="I24" s="26">
        <v>4032</v>
      </c>
      <c r="J24" s="26">
        <v>16</v>
      </c>
      <c r="K24" s="26">
        <v>32</v>
      </c>
      <c r="L24" s="31">
        <v>25</v>
      </c>
      <c r="M24" s="26">
        <v>25</v>
      </c>
      <c r="N24" s="56">
        <v>2000</v>
      </c>
      <c r="O24" s="56">
        <v>3500</v>
      </c>
      <c r="P24" s="57">
        <f t="shared" si="0"/>
        <v>25.321279999999998</v>
      </c>
      <c r="Q24" s="56">
        <f t="shared" si="1"/>
        <v>161.28</v>
      </c>
      <c r="R24" s="57">
        <f t="shared" si="2"/>
        <v>7.2346514285714283E-3</v>
      </c>
      <c r="S24" s="57" t="str">
        <f t="shared" si="3"/>
        <v>II</v>
      </c>
      <c r="T24" s="57">
        <f t="shared" si="4"/>
        <v>0.83854314929034912</v>
      </c>
      <c r="U24" s="56">
        <f t="shared" si="8"/>
        <v>0.8622203635091602</v>
      </c>
      <c r="V24" s="56">
        <f t="shared" si="5"/>
        <v>1125.2318092871908</v>
      </c>
      <c r="W24" s="56">
        <f t="shared" si="6"/>
        <v>1131.3081200165757</v>
      </c>
      <c r="X24" s="56">
        <f t="shared" si="7"/>
        <v>0.54000523974114212</v>
      </c>
      <c r="Y24" s="56"/>
      <c r="Z24" s="56"/>
      <c r="AA24" s="56"/>
      <c r="AB24" s="56"/>
      <c r="AC24" s="56"/>
      <c r="AD24" s="56"/>
    </row>
    <row r="25" spans="1:30">
      <c r="A25" s="37">
        <v>23</v>
      </c>
      <c r="B25" s="37" t="s">
        <v>355</v>
      </c>
      <c r="C25" s="34">
        <v>2382</v>
      </c>
      <c r="D25" s="34">
        <v>2800</v>
      </c>
      <c r="E25" s="34">
        <v>1750</v>
      </c>
      <c r="F25" s="34">
        <v>120</v>
      </c>
      <c r="G25" s="34">
        <v>2800</v>
      </c>
      <c r="H25" s="34">
        <v>20</v>
      </c>
      <c r="I25" s="34">
        <v>4049</v>
      </c>
      <c r="J25" s="34">
        <v>16</v>
      </c>
      <c r="K25" s="34">
        <v>35</v>
      </c>
      <c r="L25" s="31">
        <v>25</v>
      </c>
      <c r="M25" s="34">
        <v>25</v>
      </c>
      <c r="N25" s="56">
        <v>2000</v>
      </c>
      <c r="O25" s="56">
        <v>3500</v>
      </c>
      <c r="P25" s="57">
        <f t="shared" si="0"/>
        <v>25.493001249999999</v>
      </c>
      <c r="Q25" s="56">
        <f t="shared" si="1"/>
        <v>161.96</v>
      </c>
      <c r="R25" s="57">
        <f t="shared" si="2"/>
        <v>7.2837146428571427E-3</v>
      </c>
      <c r="S25" s="57" t="str">
        <f t="shared" si="3"/>
        <v>II</v>
      </c>
      <c r="T25" s="57">
        <f t="shared" si="4"/>
        <v>0.8378491196726191</v>
      </c>
      <c r="U25" s="56">
        <f t="shared" si="8"/>
        <v>0.86079370149209555</v>
      </c>
      <c r="V25" s="56">
        <f t="shared" si="5"/>
        <v>1125.2099289631899</v>
      </c>
      <c r="W25" s="56">
        <f t="shared" si="6"/>
        <v>1131.076116727854</v>
      </c>
      <c r="X25" s="56">
        <f t="shared" si="7"/>
        <v>0.52134162823015984</v>
      </c>
      <c r="Y25" s="56"/>
      <c r="Z25" s="56"/>
      <c r="AA25" s="56"/>
      <c r="AB25" s="56"/>
      <c r="AC25" s="56"/>
      <c r="AD25" s="56"/>
    </row>
    <row r="26" spans="1:30">
      <c r="A26" s="38">
        <v>24</v>
      </c>
      <c r="B26" s="38" t="s">
        <v>356</v>
      </c>
      <c r="C26" s="26">
        <v>2357</v>
      </c>
      <c r="D26" s="26">
        <v>2800</v>
      </c>
      <c r="E26" s="26">
        <v>1750</v>
      </c>
      <c r="F26" s="26">
        <v>120</v>
      </c>
      <c r="G26" s="26">
        <v>2800</v>
      </c>
      <c r="H26" s="26">
        <v>20</v>
      </c>
      <c r="I26" s="26">
        <v>4071</v>
      </c>
      <c r="J26" s="26">
        <v>16</v>
      </c>
      <c r="K26" s="26">
        <v>35</v>
      </c>
      <c r="L26" s="31">
        <v>25</v>
      </c>
      <c r="M26" s="26">
        <v>25</v>
      </c>
      <c r="N26" s="56">
        <v>2000</v>
      </c>
      <c r="O26" s="56">
        <v>3500</v>
      </c>
      <c r="P26" s="57">
        <f t="shared" si="0"/>
        <v>25.716301250000001</v>
      </c>
      <c r="Q26" s="56">
        <f t="shared" si="1"/>
        <v>162.84</v>
      </c>
      <c r="R26" s="57">
        <f t="shared" si="2"/>
        <v>7.3475146428571428E-3</v>
      </c>
      <c r="S26" s="57" t="str">
        <f t="shared" si="3"/>
        <v>II</v>
      </c>
      <c r="T26" s="57">
        <f t="shared" si="4"/>
        <v>0.83696300264491785</v>
      </c>
      <c r="U26" s="56">
        <f t="shared" si="8"/>
        <v>0.85897389746008046</v>
      </c>
      <c r="V26" s="56">
        <f t="shared" si="5"/>
        <v>1125.1663959356611</v>
      </c>
      <c r="W26" s="56">
        <f t="shared" si="6"/>
        <v>1130.7691616187869</v>
      </c>
      <c r="X26" s="56">
        <f t="shared" si="7"/>
        <v>0.49794996574411171</v>
      </c>
      <c r="Y26" s="56"/>
      <c r="Z26" s="56"/>
      <c r="AA26" s="56"/>
      <c r="AB26" s="56"/>
      <c r="AC26" s="56"/>
      <c r="AD26" s="56"/>
    </row>
    <row r="27" spans="1:30">
      <c r="A27" s="38">
        <v>25</v>
      </c>
      <c r="B27" s="38" t="s">
        <v>357</v>
      </c>
      <c r="C27" s="26">
        <v>2332</v>
      </c>
      <c r="D27" s="26">
        <v>2800</v>
      </c>
      <c r="E27" s="26">
        <v>1750</v>
      </c>
      <c r="F27" s="26">
        <v>120</v>
      </c>
      <c r="G27" s="26">
        <v>2800</v>
      </c>
      <c r="H27" s="26">
        <v>20</v>
      </c>
      <c r="I27" s="26">
        <v>4097</v>
      </c>
      <c r="J27" s="26">
        <v>16</v>
      </c>
      <c r="K27" s="26">
        <v>35</v>
      </c>
      <c r="L27" s="31">
        <v>25</v>
      </c>
      <c r="M27" s="26">
        <v>25</v>
      </c>
      <c r="N27" s="56">
        <v>2000</v>
      </c>
      <c r="O27" s="56">
        <v>3500</v>
      </c>
      <c r="P27" s="57">
        <f t="shared" si="0"/>
        <v>25.981761250000002</v>
      </c>
      <c r="Q27" s="56">
        <f t="shared" si="1"/>
        <v>163.88</v>
      </c>
      <c r="R27" s="57">
        <f t="shared" si="2"/>
        <v>7.4233603571428573E-3</v>
      </c>
      <c r="S27" s="57" t="str">
        <f t="shared" si="3"/>
        <v>II</v>
      </c>
      <c r="T27" s="57">
        <f t="shared" si="4"/>
        <v>0.83593294331146084</v>
      </c>
      <c r="U27" s="56">
        <f t="shared" si="8"/>
        <v>0.85686090174891116</v>
      </c>
      <c r="V27" s="56">
        <f t="shared" si="5"/>
        <v>1125.1063124843079</v>
      </c>
      <c r="W27" s="56">
        <f t="shared" si="6"/>
        <v>1130.4076409930851</v>
      </c>
      <c r="X27" s="56">
        <f t="shared" si="7"/>
        <v>0.47118467383509582</v>
      </c>
      <c r="Y27" s="56"/>
      <c r="Z27" s="56"/>
      <c r="AA27" s="56"/>
      <c r="AB27" s="56"/>
      <c r="AC27" s="56"/>
      <c r="AD27" s="56"/>
    </row>
    <row r="28" spans="1:30">
      <c r="A28" s="38">
        <v>26</v>
      </c>
      <c r="B28" s="38" t="s">
        <v>358</v>
      </c>
      <c r="C28" s="26">
        <v>2307</v>
      </c>
      <c r="D28" s="26">
        <v>2800</v>
      </c>
      <c r="E28" s="26">
        <v>1750</v>
      </c>
      <c r="F28" s="26">
        <v>120</v>
      </c>
      <c r="G28" s="26">
        <v>2800</v>
      </c>
      <c r="H28" s="26">
        <v>20</v>
      </c>
      <c r="I28" s="26">
        <v>4126</v>
      </c>
      <c r="J28" s="26">
        <v>16</v>
      </c>
      <c r="K28" s="26">
        <v>35</v>
      </c>
      <c r="L28" s="31">
        <v>25</v>
      </c>
      <c r="M28" s="26">
        <v>25</v>
      </c>
      <c r="N28" s="56">
        <v>2000</v>
      </c>
      <c r="O28" s="56">
        <v>3500</v>
      </c>
      <c r="P28" s="57">
        <f t="shared" si="0"/>
        <v>26.279844999999998</v>
      </c>
      <c r="Q28" s="56">
        <f t="shared" si="1"/>
        <v>165.04</v>
      </c>
      <c r="R28" s="57">
        <f t="shared" si="2"/>
        <v>7.508527142857142E-3</v>
      </c>
      <c r="S28" s="57" t="str">
        <f t="shared" si="3"/>
        <v>II</v>
      </c>
      <c r="T28" s="57">
        <f t="shared" si="4"/>
        <v>0.83480547153127005</v>
      </c>
      <c r="U28" s="56">
        <f t="shared" si="8"/>
        <v>0.85455106341738607</v>
      </c>
      <c r="V28" s="56">
        <f t="shared" si="5"/>
        <v>1125.0344377937799</v>
      </c>
      <c r="W28" s="56">
        <f t="shared" si="6"/>
        <v>1130.0107103631769</v>
      </c>
      <c r="X28" s="56">
        <f t="shared" si="7"/>
        <v>0.44232179942469929</v>
      </c>
      <c r="Y28" s="56"/>
      <c r="Z28" s="56"/>
      <c r="AA28" s="56"/>
      <c r="AB28" s="56"/>
      <c r="AC28" s="56"/>
      <c r="AD28" s="56"/>
    </row>
    <row r="29" spans="1:30">
      <c r="A29" s="37">
        <v>27</v>
      </c>
      <c r="B29" s="37" t="s">
        <v>359</v>
      </c>
      <c r="C29" s="34">
        <v>2282</v>
      </c>
      <c r="D29" s="34">
        <v>2800</v>
      </c>
      <c r="E29" s="34">
        <v>1750</v>
      </c>
      <c r="F29" s="34">
        <v>120</v>
      </c>
      <c r="G29" s="34">
        <v>2800</v>
      </c>
      <c r="H29" s="34">
        <v>20</v>
      </c>
      <c r="I29" s="34">
        <v>4157</v>
      </c>
      <c r="J29" s="34">
        <v>16</v>
      </c>
      <c r="K29" s="34">
        <v>35</v>
      </c>
      <c r="L29" s="31">
        <v>25</v>
      </c>
      <c r="M29" s="34">
        <v>25</v>
      </c>
      <c r="N29" s="56">
        <v>2000</v>
      </c>
      <c r="O29" s="56">
        <v>3500</v>
      </c>
      <c r="P29" s="57">
        <f t="shared" si="0"/>
        <v>26.60081125</v>
      </c>
      <c r="Q29" s="56">
        <f t="shared" si="1"/>
        <v>166.28</v>
      </c>
      <c r="R29" s="57">
        <f t="shared" si="2"/>
        <v>7.600231785714286E-3</v>
      </c>
      <c r="S29" s="57" t="str">
        <f t="shared" si="3"/>
        <v>II</v>
      </c>
      <c r="T29" s="57">
        <f t="shared" si="4"/>
        <v>0.83362460973204766</v>
      </c>
      <c r="U29" s="56">
        <f t="shared" si="8"/>
        <v>0.85213518802571753</v>
      </c>
      <c r="V29" s="56">
        <f t="shared" si="5"/>
        <v>1124.7368376907489</v>
      </c>
      <c r="W29" s="56">
        <f t="shared" si="6"/>
        <v>1129.4018628537187</v>
      </c>
      <c r="X29" s="56">
        <f t="shared" si="7"/>
        <v>0.41476592627194958</v>
      </c>
      <c r="Y29" s="56"/>
      <c r="Z29" s="56"/>
      <c r="AA29" s="56"/>
      <c r="AB29" s="56"/>
      <c r="AC29" s="56"/>
      <c r="AD29" s="56"/>
    </row>
    <row r="30" spans="1:30">
      <c r="A30" s="37">
        <v>28</v>
      </c>
      <c r="B30" s="37" t="s">
        <v>542</v>
      </c>
      <c r="C30" s="34">
        <v>2282</v>
      </c>
      <c r="D30" s="34">
        <v>2800</v>
      </c>
      <c r="E30" s="34">
        <v>1750</v>
      </c>
      <c r="F30" s="34">
        <v>120</v>
      </c>
      <c r="G30" s="34">
        <v>2800</v>
      </c>
      <c r="H30" s="34">
        <v>20</v>
      </c>
      <c r="I30" s="34">
        <v>4157</v>
      </c>
      <c r="J30" s="34">
        <v>16</v>
      </c>
      <c r="K30" s="34">
        <v>35</v>
      </c>
      <c r="L30" s="31">
        <v>25</v>
      </c>
      <c r="M30" s="34">
        <v>25</v>
      </c>
      <c r="N30" s="56">
        <v>2000</v>
      </c>
      <c r="O30" s="56">
        <v>3500</v>
      </c>
      <c r="P30" s="57">
        <f t="shared" si="0"/>
        <v>26.60081125</v>
      </c>
      <c r="Q30" s="56">
        <f t="shared" si="1"/>
        <v>166.28</v>
      </c>
      <c r="R30" s="57">
        <f t="shared" si="2"/>
        <v>7.600231785714286E-3</v>
      </c>
      <c r="S30" s="57" t="str">
        <f t="shared" si="3"/>
        <v>II</v>
      </c>
      <c r="T30" s="57">
        <f t="shared" si="4"/>
        <v>0.83362460973204766</v>
      </c>
      <c r="U30" s="56">
        <f t="shared" si="8"/>
        <v>0.85213518802571753</v>
      </c>
      <c r="V30" s="56">
        <f t="shared" si="5"/>
        <v>1125.0021507303582</v>
      </c>
      <c r="W30" s="56">
        <f t="shared" si="6"/>
        <v>1129.6376577188903</v>
      </c>
      <c r="X30" s="56">
        <f t="shared" si="7"/>
        <v>0.41204427791740161</v>
      </c>
      <c r="Y30" s="56"/>
      <c r="Z30" s="56"/>
      <c r="AA30" s="56"/>
      <c r="AB30" s="56"/>
      <c r="AC30" s="56"/>
      <c r="AD30" s="56"/>
    </row>
    <row r="31" spans="1:30">
      <c r="A31" s="38">
        <v>29</v>
      </c>
      <c r="B31" s="38" t="s">
        <v>543</v>
      </c>
      <c r="C31" s="26">
        <v>2256</v>
      </c>
      <c r="D31" s="26">
        <v>2800</v>
      </c>
      <c r="E31" s="26">
        <v>1750</v>
      </c>
      <c r="F31" s="26">
        <v>120</v>
      </c>
      <c r="G31" s="26">
        <v>2800</v>
      </c>
      <c r="H31" s="26">
        <v>20</v>
      </c>
      <c r="I31" s="26">
        <v>4196</v>
      </c>
      <c r="J31" s="26">
        <v>16</v>
      </c>
      <c r="K31" s="26">
        <v>35</v>
      </c>
      <c r="L31" s="31">
        <v>25</v>
      </c>
      <c r="M31" s="26">
        <v>25</v>
      </c>
      <c r="N31" s="56">
        <v>2000</v>
      </c>
      <c r="O31" s="56">
        <v>3500</v>
      </c>
      <c r="P31" s="57">
        <f t="shared" si="0"/>
        <v>27.008020000000002</v>
      </c>
      <c r="Q31" s="56">
        <f t="shared" si="1"/>
        <v>167.84</v>
      </c>
      <c r="R31" s="57">
        <f t="shared" si="2"/>
        <v>7.7165771428571433E-3</v>
      </c>
      <c r="S31" s="57" t="str">
        <f t="shared" si="3"/>
        <v>II</v>
      </c>
      <c r="T31" s="57">
        <f t="shared" si="4"/>
        <v>0.83217373512403137</v>
      </c>
      <c r="U31" s="56">
        <f t="shared" si="8"/>
        <v>0.84917158689682859</v>
      </c>
      <c r="V31" s="56">
        <f t="shared" si="5"/>
        <v>1124.9136872766992</v>
      </c>
      <c r="W31" s="56">
        <f t="shared" si="6"/>
        <v>1129.142530451323</v>
      </c>
      <c r="X31" s="56">
        <f t="shared" si="7"/>
        <v>0.37592601303139606</v>
      </c>
      <c r="Y31" s="56"/>
      <c r="Z31" s="56"/>
      <c r="AA31" s="56"/>
      <c r="AB31" s="56"/>
      <c r="AC31" s="56"/>
      <c r="AD31" s="56"/>
    </row>
    <row r="32" spans="1:30">
      <c r="A32" s="38">
        <v>30</v>
      </c>
      <c r="B32" s="38" t="s">
        <v>360</v>
      </c>
      <c r="C32" s="26">
        <v>2230</v>
      </c>
      <c r="D32" s="26">
        <v>2800</v>
      </c>
      <c r="E32" s="26">
        <v>1750</v>
      </c>
      <c r="F32" s="26">
        <v>120</v>
      </c>
      <c r="G32" s="26">
        <v>2800</v>
      </c>
      <c r="H32" s="26">
        <v>20</v>
      </c>
      <c r="I32" s="26">
        <v>4237</v>
      </c>
      <c r="J32" s="26">
        <v>16</v>
      </c>
      <c r="K32" s="26">
        <v>35</v>
      </c>
      <c r="L32" s="31">
        <v>25</v>
      </c>
      <c r="M32" s="26">
        <v>25</v>
      </c>
      <c r="N32" s="56">
        <v>2000</v>
      </c>
      <c r="O32" s="56">
        <v>3500</v>
      </c>
      <c r="P32" s="57">
        <f t="shared" si="0"/>
        <v>27.440211249999997</v>
      </c>
      <c r="Q32" s="56">
        <f t="shared" si="1"/>
        <v>169.48</v>
      </c>
      <c r="R32" s="57">
        <f t="shared" si="2"/>
        <v>7.8400603571428563E-3</v>
      </c>
      <c r="S32" s="57" t="str">
        <f t="shared" si="3"/>
        <v>II</v>
      </c>
      <c r="T32" s="57">
        <f t="shared" si="4"/>
        <v>0.83068883262264992</v>
      </c>
      <c r="U32" s="56">
        <f t="shared" si="8"/>
        <v>0.84614382484725315</v>
      </c>
      <c r="V32" s="56">
        <f t="shared" si="5"/>
        <v>1124.8346248589403</v>
      </c>
      <c r="W32" s="56">
        <f t="shared" si="6"/>
        <v>1128.6531200644974</v>
      </c>
      <c r="X32" s="56">
        <f t="shared" si="7"/>
        <v>0.33947169843175956</v>
      </c>
      <c r="Y32" s="56"/>
      <c r="Z32" s="56"/>
      <c r="AA32" s="56"/>
      <c r="AB32" s="56"/>
      <c r="AC32" s="56"/>
      <c r="AD32" s="56"/>
    </row>
    <row r="33" spans="1:30">
      <c r="A33" s="38">
        <v>31</v>
      </c>
      <c r="B33" s="38" t="s">
        <v>361</v>
      </c>
      <c r="C33" s="26">
        <v>2204</v>
      </c>
      <c r="D33" s="26">
        <v>2800</v>
      </c>
      <c r="E33" s="26">
        <v>1750</v>
      </c>
      <c r="F33" s="26">
        <v>120</v>
      </c>
      <c r="G33" s="26">
        <v>2800</v>
      </c>
      <c r="H33" s="26">
        <v>20</v>
      </c>
      <c r="I33" s="26">
        <v>4281</v>
      </c>
      <c r="J33" s="26">
        <v>16</v>
      </c>
      <c r="K33" s="26">
        <v>35</v>
      </c>
      <c r="L33" s="31">
        <v>25</v>
      </c>
      <c r="M33" s="26">
        <v>25</v>
      </c>
      <c r="N33" s="56">
        <v>2000</v>
      </c>
      <c r="O33" s="56">
        <v>3500</v>
      </c>
      <c r="P33" s="57">
        <f t="shared" si="0"/>
        <v>27.90870125</v>
      </c>
      <c r="Q33" s="56">
        <f t="shared" si="1"/>
        <v>171.24</v>
      </c>
      <c r="R33" s="57">
        <f t="shared" si="2"/>
        <v>7.9739146428571429E-3</v>
      </c>
      <c r="S33" s="57" t="str">
        <f t="shared" si="3"/>
        <v>II</v>
      </c>
      <c r="T33" s="57">
        <f t="shared" si="4"/>
        <v>0.82913967383293463</v>
      </c>
      <c r="U33" s="56">
        <f t="shared" si="8"/>
        <v>0.84299080576074281</v>
      </c>
      <c r="V33" s="56">
        <f t="shared" si="5"/>
        <v>1124.7375664859051</v>
      </c>
      <c r="W33" s="56">
        <f t="shared" si="6"/>
        <v>1128.1366323266793</v>
      </c>
      <c r="X33" s="56">
        <f t="shared" si="7"/>
        <v>0.3022096835792718</v>
      </c>
      <c r="Y33" s="56"/>
      <c r="Z33" s="56"/>
      <c r="AA33" s="56"/>
      <c r="AB33" s="56"/>
      <c r="AC33" s="56"/>
      <c r="AD33" s="56"/>
    </row>
    <row r="34" spans="1:30">
      <c r="A34" s="37">
        <v>32</v>
      </c>
      <c r="B34" s="37" t="s">
        <v>362</v>
      </c>
      <c r="C34" s="34">
        <v>2178</v>
      </c>
      <c r="D34" s="34">
        <v>2800</v>
      </c>
      <c r="E34" s="34">
        <v>1750</v>
      </c>
      <c r="F34" s="34">
        <v>120</v>
      </c>
      <c r="G34" s="34">
        <v>2800</v>
      </c>
      <c r="H34" s="34">
        <v>20</v>
      </c>
      <c r="I34" s="34">
        <v>4325</v>
      </c>
      <c r="J34" s="34">
        <v>16</v>
      </c>
      <c r="K34" s="34">
        <v>38</v>
      </c>
      <c r="L34" s="31">
        <v>25</v>
      </c>
      <c r="M34" s="34">
        <v>25</v>
      </c>
      <c r="N34" s="56">
        <v>2000</v>
      </c>
      <c r="O34" s="56">
        <v>3500</v>
      </c>
      <c r="P34" s="57">
        <f t="shared" si="0"/>
        <v>28.382031250000001</v>
      </c>
      <c r="Q34" s="56">
        <f t="shared" si="1"/>
        <v>173</v>
      </c>
      <c r="R34" s="57">
        <f t="shared" si="2"/>
        <v>8.1091517857142855E-3</v>
      </c>
      <c r="S34" s="57" t="str">
        <f t="shared" si="3"/>
        <v>II</v>
      </c>
      <c r="T34" s="57">
        <f t="shared" si="4"/>
        <v>0.82763478585093264</v>
      </c>
      <c r="U34" s="56">
        <f t="shared" si="8"/>
        <v>0.83993352720486103</v>
      </c>
      <c r="V34" s="56">
        <f t="shared" si="5"/>
        <v>1124.731024718976</v>
      </c>
      <c r="W34" s="56">
        <f t="shared" si="6"/>
        <v>1127.7232503624839</v>
      </c>
      <c r="X34" s="56">
        <f t="shared" si="7"/>
        <v>0.26603921984419077</v>
      </c>
      <c r="Y34" s="56"/>
      <c r="Z34" s="56"/>
      <c r="AA34" s="56"/>
      <c r="AB34" s="56"/>
      <c r="AC34" s="56"/>
      <c r="AD34" s="56"/>
    </row>
    <row r="35" spans="1:30">
      <c r="A35" s="38">
        <v>33</v>
      </c>
      <c r="B35" s="38" t="s">
        <v>363</v>
      </c>
      <c r="C35" s="26">
        <v>2153</v>
      </c>
      <c r="D35" s="26">
        <v>2800</v>
      </c>
      <c r="E35" s="26">
        <v>1750</v>
      </c>
      <c r="F35" s="26">
        <v>120</v>
      </c>
      <c r="G35" s="26">
        <v>2800</v>
      </c>
      <c r="H35" s="26">
        <v>20</v>
      </c>
      <c r="I35" s="26">
        <v>4382</v>
      </c>
      <c r="J35" s="26">
        <v>16</v>
      </c>
      <c r="K35" s="26">
        <v>38</v>
      </c>
      <c r="L35" s="31">
        <v>25</v>
      </c>
      <c r="M35" s="26">
        <v>25</v>
      </c>
      <c r="N35" s="56">
        <v>2000</v>
      </c>
      <c r="O35" s="56">
        <v>3500</v>
      </c>
      <c r="P35" s="57">
        <f t="shared" si="0"/>
        <v>29.002405000000003</v>
      </c>
      <c r="Q35" s="56">
        <f t="shared" si="1"/>
        <v>175.28</v>
      </c>
      <c r="R35" s="57">
        <f t="shared" si="2"/>
        <v>8.2864014285714289E-3</v>
      </c>
      <c r="S35" s="57" t="str">
        <f t="shared" si="3"/>
        <v>II</v>
      </c>
      <c r="T35" s="57">
        <f t="shared" si="4"/>
        <v>0.82574840604866362</v>
      </c>
      <c r="U35" s="56">
        <f t="shared" si="8"/>
        <v>0.83610906739643076</v>
      </c>
      <c r="V35" s="56">
        <f t="shared" si="5"/>
        <v>1124.6210185744787</v>
      </c>
      <c r="W35" s="56">
        <f t="shared" si="6"/>
        <v>1127.1209711496742</v>
      </c>
      <c r="X35" s="56">
        <f t="shared" si="7"/>
        <v>0.22229289101890751</v>
      </c>
      <c r="Y35" s="56"/>
      <c r="Z35" s="56"/>
      <c r="AA35" s="56"/>
      <c r="AB35" s="56"/>
      <c r="AC35" s="56"/>
      <c r="AD35" s="56"/>
    </row>
    <row r="36" spans="1:30">
      <c r="A36" s="38">
        <v>34</v>
      </c>
      <c r="B36" s="38" t="s">
        <v>364</v>
      </c>
      <c r="C36" s="26">
        <v>2127</v>
      </c>
      <c r="D36" s="26">
        <v>2800</v>
      </c>
      <c r="E36" s="26">
        <v>1750</v>
      </c>
      <c r="F36" s="26">
        <v>120</v>
      </c>
      <c r="G36" s="26">
        <v>2800</v>
      </c>
      <c r="H36" s="26">
        <v>20</v>
      </c>
      <c r="I36" s="26">
        <v>4438</v>
      </c>
      <c r="J36" s="26">
        <v>16</v>
      </c>
      <c r="K36" s="26">
        <v>38</v>
      </c>
      <c r="L36" s="31">
        <v>25</v>
      </c>
      <c r="M36" s="26">
        <v>25</v>
      </c>
      <c r="N36" s="56">
        <v>2000</v>
      </c>
      <c r="O36" s="56">
        <v>3500</v>
      </c>
      <c r="P36" s="57">
        <f t="shared" si="0"/>
        <v>29.619804999999999</v>
      </c>
      <c r="Q36" s="56">
        <f t="shared" si="1"/>
        <v>177.52</v>
      </c>
      <c r="R36" s="57">
        <f t="shared" si="2"/>
        <v>8.462801428571429E-3</v>
      </c>
      <c r="S36" s="57" t="str">
        <f t="shared" si="3"/>
        <v>II</v>
      </c>
      <c r="T36" s="57">
        <f t="shared" si="4"/>
        <v>0.82396148272200564</v>
      </c>
      <c r="U36" s="56">
        <f t="shared" si="8"/>
        <v>0.83249429513440187</v>
      </c>
      <c r="V36" s="56">
        <f t="shared" si="5"/>
        <v>1124.5614303575578</v>
      </c>
      <c r="W36" s="56">
        <f t="shared" si="6"/>
        <v>1126.6023250921905</v>
      </c>
      <c r="X36" s="56">
        <f t="shared" si="7"/>
        <v>0.18148361481540592</v>
      </c>
      <c r="Y36" s="56"/>
      <c r="Z36" s="56"/>
      <c r="AA36" s="56"/>
      <c r="AB36" s="56"/>
      <c r="AC36" s="56"/>
      <c r="AD36" s="56"/>
    </row>
    <row r="37" spans="1:30">
      <c r="A37" s="38">
        <v>35</v>
      </c>
      <c r="B37" s="38" t="s">
        <v>365</v>
      </c>
      <c r="C37" s="26">
        <v>2101</v>
      </c>
      <c r="D37" s="26">
        <v>2800</v>
      </c>
      <c r="E37" s="26">
        <v>1750</v>
      </c>
      <c r="F37" s="26">
        <v>120</v>
      </c>
      <c r="G37" s="26">
        <v>2800</v>
      </c>
      <c r="H37" s="26">
        <v>20</v>
      </c>
      <c r="I37" s="26">
        <v>4499</v>
      </c>
      <c r="J37" s="26">
        <v>16</v>
      </c>
      <c r="K37" s="26">
        <v>38</v>
      </c>
      <c r="L37" s="31">
        <v>25</v>
      </c>
      <c r="M37" s="26">
        <v>25</v>
      </c>
      <c r="N37" s="56">
        <v>2000</v>
      </c>
      <c r="O37" s="56">
        <v>3500</v>
      </c>
      <c r="P37" s="57">
        <f t="shared" si="0"/>
        <v>30.301251250000004</v>
      </c>
      <c r="Q37" s="56">
        <f t="shared" si="1"/>
        <v>179.96</v>
      </c>
      <c r="R37" s="57">
        <f t="shared" si="2"/>
        <v>8.657500357142859E-3</v>
      </c>
      <c r="S37" s="57" t="str">
        <f t="shared" si="3"/>
        <v>II</v>
      </c>
      <c r="T37" s="57">
        <f t="shared" si="4"/>
        <v>0.82208627749613827</v>
      </c>
      <c r="U37" s="56">
        <f t="shared" si="8"/>
        <v>0.82870935790005062</v>
      </c>
      <c r="V37" s="56">
        <f t="shared" si="5"/>
        <v>1124.446620538185</v>
      </c>
      <c r="W37" s="56">
        <f t="shared" si="6"/>
        <v>1126.0183192033051</v>
      </c>
      <c r="X37" s="56">
        <f t="shared" si="7"/>
        <v>0.13977530248325964</v>
      </c>
      <c r="Y37" s="56"/>
      <c r="Z37" s="56"/>
      <c r="AA37" s="56"/>
      <c r="AB37" s="56"/>
      <c r="AC37" s="56"/>
      <c r="AD37" s="56"/>
    </row>
    <row r="38" spans="1:30">
      <c r="A38" s="37">
        <v>36</v>
      </c>
      <c r="B38" s="37" t="s">
        <v>366</v>
      </c>
      <c r="C38" s="34">
        <v>2075</v>
      </c>
      <c r="D38" s="34">
        <v>2800</v>
      </c>
      <c r="E38" s="34">
        <v>1750</v>
      </c>
      <c r="F38" s="34">
        <v>120</v>
      </c>
      <c r="G38" s="34">
        <v>2800</v>
      </c>
      <c r="H38" s="34">
        <v>20</v>
      </c>
      <c r="I38" s="34">
        <v>4555</v>
      </c>
      <c r="J38" s="34">
        <v>16</v>
      </c>
      <c r="K38" s="34">
        <v>38</v>
      </c>
      <c r="L38" s="31">
        <v>25</v>
      </c>
      <c r="M38" s="34">
        <v>25</v>
      </c>
      <c r="N38" s="56">
        <v>2000</v>
      </c>
      <c r="O38" s="56">
        <v>3500</v>
      </c>
      <c r="P38" s="57">
        <f t="shared" si="0"/>
        <v>30.935031250000002</v>
      </c>
      <c r="Q38" s="56">
        <f t="shared" si="1"/>
        <v>182.2</v>
      </c>
      <c r="R38" s="57">
        <f t="shared" si="2"/>
        <v>8.8385803571428573E-3</v>
      </c>
      <c r="S38" s="57" t="str">
        <f t="shared" si="3"/>
        <v>II</v>
      </c>
      <c r="T38" s="57">
        <f t="shared" si="4"/>
        <v>0.82042712206513657</v>
      </c>
      <c r="U38" s="56">
        <f t="shared" si="8"/>
        <v>0.82536768882649258</v>
      </c>
      <c r="V38" s="56">
        <f t="shared" si="5"/>
        <v>1124.4879920317665</v>
      </c>
      <c r="W38" s="56">
        <f t="shared" si="6"/>
        <v>1125.6484487796658</v>
      </c>
      <c r="X38" s="56">
        <f t="shared" si="7"/>
        <v>0.10319867852058007</v>
      </c>
      <c r="Y38" s="56"/>
      <c r="Z38" s="56"/>
      <c r="AA38" s="56"/>
      <c r="AB38" s="56"/>
      <c r="AC38" s="56"/>
      <c r="AD38" s="56"/>
    </row>
    <row r="39" spans="1:30">
      <c r="A39" s="38">
        <v>37</v>
      </c>
      <c r="B39" s="38" t="s">
        <v>367</v>
      </c>
      <c r="C39" s="26">
        <v>2049</v>
      </c>
      <c r="D39" s="26">
        <v>2800</v>
      </c>
      <c r="E39" s="26">
        <v>1750</v>
      </c>
      <c r="F39" s="26">
        <v>120</v>
      </c>
      <c r="G39" s="26">
        <v>2800</v>
      </c>
      <c r="H39" s="26">
        <v>20</v>
      </c>
      <c r="I39" s="26">
        <v>4630</v>
      </c>
      <c r="J39" s="26">
        <v>16</v>
      </c>
      <c r="K39" s="26">
        <v>38</v>
      </c>
      <c r="L39" s="31">
        <v>25</v>
      </c>
      <c r="M39" s="26">
        <v>25</v>
      </c>
      <c r="N39" s="56">
        <v>2000</v>
      </c>
      <c r="O39" s="56">
        <v>3500</v>
      </c>
      <c r="P39" s="57">
        <f t="shared" si="0"/>
        <v>31.796125000000004</v>
      </c>
      <c r="Q39" s="56">
        <f t="shared" si="1"/>
        <v>185.2</v>
      </c>
      <c r="R39" s="57">
        <f t="shared" si="2"/>
        <v>9.0846071428571443E-3</v>
      </c>
      <c r="S39" s="57" t="str">
        <f t="shared" si="3"/>
        <v>II</v>
      </c>
      <c r="T39" s="57">
        <f t="shared" si="4"/>
        <v>0.81829371893322855</v>
      </c>
      <c r="U39" s="56">
        <f t="shared" si="8"/>
        <v>0.82108076910774008</v>
      </c>
      <c r="V39" s="56">
        <f t="shared" si="5"/>
        <v>1124.3929161541848</v>
      </c>
      <c r="W39" s="56">
        <f t="shared" si="6"/>
        <v>1125.0413200676401</v>
      </c>
      <c r="X39" s="56">
        <f t="shared" si="7"/>
        <v>5.7667022278387124E-2</v>
      </c>
      <c r="Y39" s="56"/>
      <c r="Z39" s="56"/>
      <c r="AA39" s="56"/>
      <c r="AB39" s="56"/>
      <c r="AC39" s="56"/>
      <c r="AD39" s="56"/>
    </row>
    <row r="40" spans="1:30">
      <c r="A40" s="38">
        <v>38</v>
      </c>
      <c r="B40" s="38" t="s">
        <v>368</v>
      </c>
      <c r="C40" s="26">
        <v>2023</v>
      </c>
      <c r="D40" s="26">
        <v>2800</v>
      </c>
      <c r="E40" s="26">
        <v>1750</v>
      </c>
      <c r="F40" s="26">
        <v>120</v>
      </c>
      <c r="G40" s="26">
        <v>2800</v>
      </c>
      <c r="H40" s="26">
        <v>20</v>
      </c>
      <c r="I40" s="26">
        <v>4702</v>
      </c>
      <c r="J40" s="26">
        <v>16</v>
      </c>
      <c r="K40" s="26">
        <v>38</v>
      </c>
      <c r="L40" s="31">
        <v>25</v>
      </c>
      <c r="M40" s="26">
        <v>25</v>
      </c>
      <c r="N40" s="56">
        <v>2000</v>
      </c>
      <c r="O40" s="56">
        <v>3500</v>
      </c>
      <c r="P40" s="57">
        <f t="shared" si="0"/>
        <v>32.636005000000004</v>
      </c>
      <c r="Q40" s="56">
        <f t="shared" si="1"/>
        <v>188.08</v>
      </c>
      <c r="R40" s="57">
        <f t="shared" si="2"/>
        <v>9.3245728571428581E-3</v>
      </c>
      <c r="S40" s="57" t="str">
        <f t="shared" si="3"/>
        <v>II</v>
      </c>
      <c r="T40" s="57">
        <f t="shared" si="4"/>
        <v>0.81633606097497591</v>
      </c>
      <c r="U40" s="56">
        <f t="shared" si="8"/>
        <v>0.81715681728936052</v>
      </c>
      <c r="V40" s="56">
        <f t="shared" si="5"/>
        <v>1124.3536962242629</v>
      </c>
      <c r="W40" s="56">
        <f t="shared" si="6"/>
        <v>1124.5427841740006</v>
      </c>
      <c r="X40" s="56">
        <f t="shared" si="7"/>
        <v>1.6817479265888662E-2</v>
      </c>
      <c r="Y40" s="56"/>
      <c r="Z40" s="56"/>
      <c r="AA40" s="56"/>
      <c r="AB40" s="56"/>
      <c r="AC40" s="56"/>
      <c r="AD40" s="56"/>
    </row>
    <row r="41" spans="1:30">
      <c r="A41" s="38">
        <v>39</v>
      </c>
      <c r="B41" s="38" t="s">
        <v>369</v>
      </c>
      <c r="C41" s="26">
        <v>1997</v>
      </c>
      <c r="D41" s="26">
        <v>2800</v>
      </c>
      <c r="E41" s="26">
        <v>1750</v>
      </c>
      <c r="F41" s="26">
        <v>120</v>
      </c>
      <c r="G41" s="26">
        <v>2800</v>
      </c>
      <c r="H41" s="26">
        <v>20</v>
      </c>
      <c r="I41" s="26">
        <v>4778</v>
      </c>
      <c r="J41" s="26">
        <v>16</v>
      </c>
      <c r="K41" s="26">
        <v>38</v>
      </c>
      <c r="L41" s="31">
        <v>25</v>
      </c>
      <c r="M41" s="26">
        <v>25</v>
      </c>
      <c r="N41" s="56">
        <v>2000</v>
      </c>
      <c r="O41" s="56">
        <v>3500</v>
      </c>
      <c r="P41" s="57">
        <f t="shared" si="0"/>
        <v>33.536605000000002</v>
      </c>
      <c r="Q41" s="56">
        <f t="shared" si="1"/>
        <v>191.12</v>
      </c>
      <c r="R41" s="57">
        <f t="shared" si="2"/>
        <v>9.5818871428571435E-3</v>
      </c>
      <c r="S41" s="57" t="str">
        <f t="shared" si="3"/>
        <v>II</v>
      </c>
      <c r="T41" s="57">
        <f t="shared" si="4"/>
        <v>0.81436014918180799</v>
      </c>
      <c r="U41" s="56">
        <f t="shared" si="8"/>
        <v>0.8132058079125789</v>
      </c>
      <c r="V41" s="56">
        <f t="shared" si="5"/>
        <v>1124.2554523093702</v>
      </c>
      <c r="W41" s="56">
        <f t="shared" si="6"/>
        <v>1123.9917319131569</v>
      </c>
      <c r="X41" s="56">
        <f t="shared" si="7"/>
        <v>-2.3457337535843222E-2</v>
      </c>
      <c r="Y41" s="56"/>
      <c r="Z41" s="56"/>
      <c r="AA41" s="56"/>
      <c r="AB41" s="56"/>
      <c r="AC41" s="56"/>
      <c r="AD41" s="56"/>
    </row>
    <row r="42" spans="1:30">
      <c r="A42" s="37">
        <v>40</v>
      </c>
      <c r="B42" s="37" t="s">
        <v>370</v>
      </c>
      <c r="C42" s="34">
        <v>1971</v>
      </c>
      <c r="D42" s="34">
        <v>2800</v>
      </c>
      <c r="E42" s="34">
        <v>1750</v>
      </c>
      <c r="F42" s="34">
        <v>120</v>
      </c>
      <c r="G42" s="34">
        <v>2800</v>
      </c>
      <c r="H42" s="34">
        <v>20</v>
      </c>
      <c r="I42" s="34">
        <v>4845</v>
      </c>
      <c r="J42" s="34">
        <v>16</v>
      </c>
      <c r="K42" s="34">
        <v>38</v>
      </c>
      <c r="L42" s="31">
        <v>25</v>
      </c>
      <c r="M42" s="34">
        <v>25</v>
      </c>
      <c r="N42" s="56">
        <v>2000</v>
      </c>
      <c r="O42" s="56">
        <v>3500</v>
      </c>
      <c r="P42" s="57">
        <f t="shared" si="0"/>
        <v>34.342531250000008</v>
      </c>
      <c r="Q42" s="56">
        <f t="shared" si="1"/>
        <v>193.8</v>
      </c>
      <c r="R42" s="57">
        <f t="shared" si="2"/>
        <v>9.8121517857142886E-3</v>
      </c>
      <c r="S42" s="57" t="str">
        <f t="shared" si="3"/>
        <v>II</v>
      </c>
      <c r="T42" s="57">
        <f t="shared" si="4"/>
        <v>0.81269105655053198</v>
      </c>
      <c r="U42" s="56">
        <f t="shared" si="8"/>
        <v>0.80987577055155324</v>
      </c>
      <c r="V42" s="56">
        <f t="shared" si="5"/>
        <v>1123.8741319998826</v>
      </c>
      <c r="W42" s="56">
        <f t="shared" si="6"/>
        <v>1123.2309527608693</v>
      </c>
      <c r="X42" s="56">
        <f t="shared" si="7"/>
        <v>-5.7228760828296567E-2</v>
      </c>
      <c r="Y42" s="56"/>
      <c r="Z42" s="56"/>
      <c r="AA42" s="56"/>
      <c r="AB42" s="56"/>
      <c r="AC42" s="56"/>
      <c r="AD42" s="56"/>
    </row>
    <row r="43" spans="1:30">
      <c r="A43" s="37">
        <v>41</v>
      </c>
      <c r="B43" s="37" t="s">
        <v>544</v>
      </c>
      <c r="C43" s="34">
        <v>1971</v>
      </c>
      <c r="D43" s="34">
        <v>2800</v>
      </c>
      <c r="E43" s="34">
        <v>1750</v>
      </c>
      <c r="F43" s="34">
        <v>120</v>
      </c>
      <c r="G43" s="34">
        <v>2800</v>
      </c>
      <c r="H43" s="34">
        <v>20</v>
      </c>
      <c r="I43" s="34">
        <v>4845</v>
      </c>
      <c r="J43" s="34">
        <v>16</v>
      </c>
      <c r="K43" s="34">
        <v>38</v>
      </c>
      <c r="L43" s="31">
        <v>25</v>
      </c>
      <c r="M43" s="34">
        <v>25</v>
      </c>
      <c r="N43" s="56">
        <v>2000</v>
      </c>
      <c r="O43" s="56">
        <v>3500</v>
      </c>
      <c r="P43" s="57">
        <f t="shared" si="0"/>
        <v>34.342531250000008</v>
      </c>
      <c r="Q43" s="56">
        <f t="shared" si="1"/>
        <v>193.8</v>
      </c>
      <c r="R43" s="57">
        <f t="shared" si="2"/>
        <v>9.8121517857142886E-3</v>
      </c>
      <c r="S43" s="57" t="str">
        <f t="shared" si="3"/>
        <v>II</v>
      </c>
      <c r="T43" s="57">
        <f t="shared" si="4"/>
        <v>0.81269105655053198</v>
      </c>
      <c r="U43" s="56">
        <f t="shared" si="8"/>
        <v>0.80987577055155324</v>
      </c>
      <c r="V43" s="56">
        <f t="shared" si="5"/>
        <v>1124.3634671853238</v>
      </c>
      <c r="W43" s="56">
        <f t="shared" si="6"/>
        <v>1123.7276427392585</v>
      </c>
      <c r="X43" s="56">
        <f t="shared" si="7"/>
        <v>-5.6549724766223768E-2</v>
      </c>
      <c r="Y43" s="56"/>
      <c r="Z43" s="56"/>
      <c r="AA43" s="56"/>
      <c r="AB43" s="56"/>
      <c r="AC43" s="56"/>
      <c r="AD43" s="56"/>
    </row>
    <row r="44" spans="1:30">
      <c r="A44" s="38">
        <v>42</v>
      </c>
      <c r="B44" s="38" t="s">
        <v>545</v>
      </c>
      <c r="C44" s="26">
        <v>1945</v>
      </c>
      <c r="D44" s="26">
        <v>2800</v>
      </c>
      <c r="E44" s="26">
        <v>1750</v>
      </c>
      <c r="F44" s="26">
        <v>120</v>
      </c>
      <c r="G44" s="26">
        <v>2800</v>
      </c>
      <c r="H44" s="26">
        <v>20</v>
      </c>
      <c r="I44" s="26">
        <v>4940</v>
      </c>
      <c r="J44" s="26">
        <v>16</v>
      </c>
      <c r="K44" s="26">
        <v>38</v>
      </c>
      <c r="L44" s="31">
        <v>25</v>
      </c>
      <c r="M44" s="26">
        <v>25</v>
      </c>
      <c r="N44" s="56">
        <v>2000</v>
      </c>
      <c r="O44" s="56">
        <v>3500</v>
      </c>
      <c r="P44" s="57">
        <f t="shared" si="0"/>
        <v>35.504500000000007</v>
      </c>
      <c r="Q44" s="56">
        <f t="shared" si="1"/>
        <v>197.6</v>
      </c>
      <c r="R44" s="57">
        <f t="shared" si="2"/>
        <v>1.0144142857142859E-2</v>
      </c>
      <c r="S44" s="57" t="str">
        <f t="shared" si="3"/>
        <v>II</v>
      </c>
      <c r="T44" s="57">
        <f t="shared" si="4"/>
        <v>0.81043439144362173</v>
      </c>
      <c r="U44" s="56">
        <f t="shared" si="8"/>
        <v>0.80538431976078495</v>
      </c>
      <c r="V44" s="56">
        <f t="shared" si="5"/>
        <v>1124.286285540687</v>
      </c>
      <c r="W44" s="56">
        <f t="shared" si="6"/>
        <v>1123.1572623794607</v>
      </c>
      <c r="X44" s="56">
        <f t="shared" si="7"/>
        <v>-0.10042132290916891</v>
      </c>
      <c r="Y44" s="56"/>
      <c r="Z44" s="56"/>
      <c r="AA44" s="56"/>
      <c r="AB44" s="56"/>
      <c r="AC44" s="56"/>
      <c r="AD44" s="56"/>
    </row>
    <row r="45" spans="1:30">
      <c r="A45" s="38">
        <v>43</v>
      </c>
      <c r="B45" s="38" t="s">
        <v>371</v>
      </c>
      <c r="C45" s="26">
        <v>1919</v>
      </c>
      <c r="D45" s="26">
        <v>2800</v>
      </c>
      <c r="E45" s="26">
        <v>1750</v>
      </c>
      <c r="F45" s="26">
        <v>120</v>
      </c>
      <c r="G45" s="26">
        <v>2800</v>
      </c>
      <c r="H45" s="26">
        <v>20</v>
      </c>
      <c r="I45" s="26">
        <v>5027</v>
      </c>
      <c r="J45" s="26">
        <v>16</v>
      </c>
      <c r="K45" s="26">
        <v>38</v>
      </c>
      <c r="L45" s="31">
        <v>25</v>
      </c>
      <c r="M45" s="26">
        <v>25</v>
      </c>
      <c r="N45" s="56">
        <v>2000</v>
      </c>
      <c r="O45" s="56">
        <v>3500</v>
      </c>
      <c r="P45" s="57">
        <f t="shared" si="0"/>
        <v>36.588411250000007</v>
      </c>
      <c r="Q45" s="56">
        <f t="shared" si="1"/>
        <v>201.08</v>
      </c>
      <c r="R45" s="57">
        <f t="shared" si="2"/>
        <v>1.0453831785714287E-2</v>
      </c>
      <c r="S45" s="57" t="str">
        <f t="shared" si="3"/>
        <v>II</v>
      </c>
      <c r="T45" s="57">
        <f t="shared" si="4"/>
        <v>0.80847389516404222</v>
      </c>
      <c r="U45" s="56">
        <f t="shared" si="8"/>
        <v>0.80149247316218819</v>
      </c>
      <c r="V45" s="56">
        <f t="shared" si="5"/>
        <v>1124.2845494964342</v>
      </c>
      <c r="W45" s="56">
        <f t="shared" si="6"/>
        <v>1122.7396559397525</v>
      </c>
      <c r="X45" s="56">
        <f t="shared" si="7"/>
        <v>-0.13741125922024422</v>
      </c>
      <c r="Y45" s="56"/>
      <c r="Z45" s="56"/>
      <c r="AA45" s="56"/>
      <c r="AB45" s="56"/>
      <c r="AC45" s="56"/>
      <c r="AD45" s="56"/>
    </row>
    <row r="46" spans="1:30">
      <c r="A46" s="38">
        <v>44</v>
      </c>
      <c r="B46" s="38" t="s">
        <v>372</v>
      </c>
      <c r="C46" s="26">
        <v>1893</v>
      </c>
      <c r="D46" s="26">
        <v>2800</v>
      </c>
      <c r="E46" s="26">
        <v>1750</v>
      </c>
      <c r="F46" s="26">
        <v>120</v>
      </c>
      <c r="G46" s="26">
        <v>2800</v>
      </c>
      <c r="H46" s="26">
        <v>20</v>
      </c>
      <c r="I46" s="26">
        <v>5118</v>
      </c>
      <c r="J46" s="26">
        <v>16</v>
      </c>
      <c r="K46" s="26">
        <v>38</v>
      </c>
      <c r="L46" s="31">
        <v>25</v>
      </c>
      <c r="M46" s="26">
        <v>25</v>
      </c>
      <c r="N46" s="56">
        <v>2000</v>
      </c>
      <c r="O46" s="56">
        <v>3500</v>
      </c>
      <c r="P46" s="57">
        <f t="shared" si="0"/>
        <v>37.742405000000005</v>
      </c>
      <c r="Q46" s="56">
        <f t="shared" si="1"/>
        <v>204.72</v>
      </c>
      <c r="R46" s="57">
        <f t="shared" si="2"/>
        <v>1.0783544285714286E-2</v>
      </c>
      <c r="S46" s="57" t="str">
        <f t="shared" si="3"/>
        <v>II</v>
      </c>
      <c r="T46" s="57">
        <f t="shared" si="4"/>
        <v>0.80652459277054389</v>
      </c>
      <c r="U46" s="56">
        <f t="shared" si="8"/>
        <v>0.79763219338849078</v>
      </c>
      <c r="V46" s="56">
        <f t="shared" si="5"/>
        <v>1124.2152835939276</v>
      </c>
      <c r="W46" s="56">
        <f t="shared" si="6"/>
        <v>1122.2641588592182</v>
      </c>
      <c r="X46" s="56">
        <f t="shared" si="7"/>
        <v>-0.17355436838324168</v>
      </c>
      <c r="Y46" s="56"/>
      <c r="Z46" s="56"/>
      <c r="AA46" s="56"/>
      <c r="AB46" s="56"/>
      <c r="AC46" s="56"/>
      <c r="AD46" s="56"/>
    </row>
    <row r="47" spans="1:30">
      <c r="A47" s="37">
        <v>45</v>
      </c>
      <c r="B47" s="37" t="s">
        <v>373</v>
      </c>
      <c r="C47" s="34">
        <v>1900</v>
      </c>
      <c r="D47" s="34">
        <v>2800</v>
      </c>
      <c r="E47" s="34">
        <v>1750</v>
      </c>
      <c r="F47" s="34">
        <v>120</v>
      </c>
      <c r="G47" s="34">
        <v>2800</v>
      </c>
      <c r="H47" s="34">
        <v>20</v>
      </c>
      <c r="I47" s="34">
        <v>5196</v>
      </c>
      <c r="J47" s="34">
        <v>16</v>
      </c>
      <c r="K47" s="34">
        <v>40</v>
      </c>
      <c r="L47" s="31">
        <v>32</v>
      </c>
      <c r="M47" s="34">
        <v>32</v>
      </c>
      <c r="N47" s="56">
        <v>2000</v>
      </c>
      <c r="O47" s="56">
        <v>3500</v>
      </c>
      <c r="P47" s="57">
        <f t="shared" si="0"/>
        <v>38.748020000000004</v>
      </c>
      <c r="Q47" s="56">
        <f t="shared" si="1"/>
        <v>162.375</v>
      </c>
      <c r="R47" s="57">
        <f t="shared" si="2"/>
        <v>1.1070862857142857E-2</v>
      </c>
      <c r="S47" s="57">
        <f t="shared" si="3"/>
        <v>1</v>
      </c>
      <c r="T47" s="57">
        <f t="shared" si="4"/>
        <v>1</v>
      </c>
      <c r="U47" s="56">
        <f t="shared" si="8"/>
        <v>1</v>
      </c>
      <c r="V47" s="56">
        <f t="shared" si="5"/>
        <v>1166.6666666666667</v>
      </c>
      <c r="W47" s="56">
        <f t="shared" si="6"/>
        <v>1166.6666666666667</v>
      </c>
      <c r="X47" s="56">
        <f t="shared" si="7"/>
        <v>0</v>
      </c>
      <c r="Y47" s="56"/>
      <c r="Z47" s="56"/>
      <c r="AA47" s="56"/>
      <c r="AB47" s="56"/>
      <c r="AC47" s="56"/>
      <c r="AD47" s="56"/>
    </row>
    <row r="48" spans="1:30">
      <c r="A48" s="38">
        <v>46</v>
      </c>
      <c r="B48" s="38" t="s">
        <v>374</v>
      </c>
      <c r="C48" s="26">
        <v>1900</v>
      </c>
      <c r="D48" s="26">
        <v>2800</v>
      </c>
      <c r="E48" s="26">
        <v>1750</v>
      </c>
      <c r="F48" s="26">
        <v>120</v>
      </c>
      <c r="G48" s="26">
        <v>2800</v>
      </c>
      <c r="H48" s="26">
        <v>20</v>
      </c>
      <c r="I48" s="26">
        <v>5312</v>
      </c>
      <c r="J48" s="26">
        <v>16</v>
      </c>
      <c r="K48" s="26">
        <v>40</v>
      </c>
      <c r="L48" s="31">
        <v>32</v>
      </c>
      <c r="M48" s="26">
        <v>32</v>
      </c>
      <c r="N48" s="56">
        <v>2000</v>
      </c>
      <c r="O48" s="56">
        <v>3500</v>
      </c>
      <c r="P48" s="57">
        <f t="shared" si="0"/>
        <v>40.271679999999996</v>
      </c>
      <c r="Q48" s="56">
        <f t="shared" si="1"/>
        <v>166</v>
      </c>
      <c r="R48" s="57">
        <f t="shared" si="2"/>
        <v>1.1506194285714285E-2</v>
      </c>
      <c r="S48" s="57">
        <f t="shared" si="3"/>
        <v>1</v>
      </c>
      <c r="T48" s="57">
        <f t="shared" si="4"/>
        <v>1</v>
      </c>
      <c r="U48" s="56">
        <f t="shared" si="8"/>
        <v>1</v>
      </c>
      <c r="V48" s="56">
        <f t="shared" si="5"/>
        <v>1166.6666666666667</v>
      </c>
      <c r="W48" s="56">
        <f t="shared" si="6"/>
        <v>1166.6666666666667</v>
      </c>
      <c r="X48" s="56">
        <f t="shared" si="7"/>
        <v>0</v>
      </c>
      <c r="Y48" s="56"/>
      <c r="Z48" s="56"/>
      <c r="AA48" s="56"/>
      <c r="AB48" s="56"/>
      <c r="AC48" s="56"/>
      <c r="AD48" s="56"/>
    </row>
    <row r="49" spans="1:30">
      <c r="A49" s="38">
        <v>47</v>
      </c>
      <c r="B49" s="38" t="s">
        <v>375</v>
      </c>
      <c r="C49" s="26">
        <v>1900</v>
      </c>
      <c r="D49" s="26">
        <v>2800</v>
      </c>
      <c r="E49" s="26">
        <v>1750</v>
      </c>
      <c r="F49" s="26">
        <v>120</v>
      </c>
      <c r="G49" s="26">
        <v>2800</v>
      </c>
      <c r="H49" s="26">
        <v>20</v>
      </c>
      <c r="I49" s="26">
        <v>5414</v>
      </c>
      <c r="J49" s="26">
        <v>16</v>
      </c>
      <c r="K49" s="26">
        <v>40</v>
      </c>
      <c r="L49" s="31">
        <v>32</v>
      </c>
      <c r="M49" s="26">
        <v>32</v>
      </c>
      <c r="N49" s="56">
        <v>2000</v>
      </c>
      <c r="O49" s="56">
        <v>3500</v>
      </c>
      <c r="P49" s="57">
        <f t="shared" si="0"/>
        <v>41.639245000000003</v>
      </c>
      <c r="Q49" s="56">
        <f t="shared" si="1"/>
        <v>169.1875</v>
      </c>
      <c r="R49" s="57">
        <f t="shared" si="2"/>
        <v>1.1896927142857144E-2</v>
      </c>
      <c r="S49" s="57">
        <f t="shared" si="3"/>
        <v>1</v>
      </c>
      <c r="T49" s="57">
        <f t="shared" si="4"/>
        <v>1</v>
      </c>
      <c r="U49" s="56">
        <f t="shared" si="8"/>
        <v>1</v>
      </c>
      <c r="V49" s="56">
        <f t="shared" si="5"/>
        <v>1166.6666666666667</v>
      </c>
      <c r="W49" s="56">
        <f t="shared" si="6"/>
        <v>1166.6666666666667</v>
      </c>
      <c r="X49" s="56">
        <f t="shared" si="7"/>
        <v>0</v>
      </c>
      <c r="Y49" s="56"/>
      <c r="Z49" s="56"/>
      <c r="AA49" s="56"/>
      <c r="AB49" s="56"/>
      <c r="AC49" s="56"/>
      <c r="AD49" s="56"/>
    </row>
    <row r="50" spans="1:30">
      <c r="A50" s="38">
        <v>48</v>
      </c>
      <c r="B50" s="38" t="s">
        <v>376</v>
      </c>
      <c r="C50" s="26">
        <v>1900</v>
      </c>
      <c r="D50" s="26">
        <v>2800</v>
      </c>
      <c r="E50" s="26">
        <v>1750</v>
      </c>
      <c r="F50" s="26">
        <v>120</v>
      </c>
      <c r="G50" s="26">
        <v>2800</v>
      </c>
      <c r="H50" s="26">
        <v>20</v>
      </c>
      <c r="I50" s="26">
        <v>5520</v>
      </c>
      <c r="J50" s="26">
        <v>16</v>
      </c>
      <c r="K50" s="26">
        <v>40</v>
      </c>
      <c r="L50" s="31">
        <v>32</v>
      </c>
      <c r="M50" s="26">
        <v>32</v>
      </c>
      <c r="N50" s="56">
        <v>2000</v>
      </c>
      <c r="O50" s="56">
        <v>3500</v>
      </c>
      <c r="P50" s="57">
        <f t="shared" si="0"/>
        <v>43.088000000000001</v>
      </c>
      <c r="Q50" s="56">
        <f t="shared" si="1"/>
        <v>172.5</v>
      </c>
      <c r="R50" s="57">
        <f t="shared" si="2"/>
        <v>1.2310857142857142E-2</v>
      </c>
      <c r="S50" s="57">
        <f t="shared" si="3"/>
        <v>1</v>
      </c>
      <c r="T50" s="57">
        <f t="shared" si="4"/>
        <v>1</v>
      </c>
      <c r="U50" s="56">
        <f t="shared" si="8"/>
        <v>1</v>
      </c>
      <c r="V50" s="56">
        <f t="shared" si="5"/>
        <v>1166.6666666666667</v>
      </c>
      <c r="W50" s="56">
        <f t="shared" si="6"/>
        <v>1166.6666666666667</v>
      </c>
      <c r="X50" s="56">
        <f t="shared" si="7"/>
        <v>0</v>
      </c>
      <c r="Y50" s="56"/>
      <c r="Z50" s="56"/>
      <c r="AA50" s="56"/>
      <c r="AB50" s="56"/>
      <c r="AC50" s="56"/>
      <c r="AD50" s="56"/>
    </row>
    <row r="51" spans="1:30">
      <c r="A51" s="37">
        <v>49</v>
      </c>
      <c r="B51" s="37" t="s">
        <v>377</v>
      </c>
      <c r="C51" s="34">
        <v>1900</v>
      </c>
      <c r="D51" s="34">
        <v>2800</v>
      </c>
      <c r="E51" s="34">
        <v>1750</v>
      </c>
      <c r="F51" s="34">
        <v>120</v>
      </c>
      <c r="G51" s="34">
        <v>2800</v>
      </c>
      <c r="H51" s="34">
        <v>20</v>
      </c>
      <c r="I51" s="34">
        <v>5608</v>
      </c>
      <c r="J51" s="34">
        <v>16</v>
      </c>
      <c r="K51" s="34">
        <v>40</v>
      </c>
      <c r="L51" s="31">
        <v>32</v>
      </c>
      <c r="M51" s="34">
        <v>32</v>
      </c>
      <c r="N51" s="56">
        <v>2000</v>
      </c>
      <c r="O51" s="56">
        <v>3500</v>
      </c>
      <c r="P51" s="57">
        <f t="shared" si="0"/>
        <v>44.312080000000002</v>
      </c>
      <c r="Q51" s="56">
        <f t="shared" si="1"/>
        <v>175.25</v>
      </c>
      <c r="R51" s="57">
        <f t="shared" si="2"/>
        <v>1.2660594285714286E-2</v>
      </c>
      <c r="S51" s="57">
        <f t="shared" si="3"/>
        <v>1</v>
      </c>
      <c r="T51" s="57">
        <f t="shared" si="4"/>
        <v>1</v>
      </c>
      <c r="U51" s="56">
        <f t="shared" si="8"/>
        <v>1</v>
      </c>
      <c r="V51" s="56">
        <f t="shared" si="5"/>
        <v>1166.6666666666667</v>
      </c>
      <c r="W51" s="56">
        <f t="shared" si="6"/>
        <v>1166.6666666666667</v>
      </c>
      <c r="X51" s="56">
        <f t="shared" si="7"/>
        <v>0</v>
      </c>
      <c r="Y51" s="56"/>
      <c r="Z51" s="56"/>
      <c r="AA51" s="56"/>
      <c r="AB51" s="56"/>
      <c r="AC51" s="56"/>
      <c r="AD51" s="56"/>
    </row>
    <row r="52" spans="1:30">
      <c r="A52" s="38">
        <v>50</v>
      </c>
      <c r="B52" s="38" t="s">
        <v>378</v>
      </c>
      <c r="C52" s="26">
        <v>1900</v>
      </c>
      <c r="D52" s="26">
        <v>2800</v>
      </c>
      <c r="E52" s="26">
        <v>1750</v>
      </c>
      <c r="F52" s="26">
        <v>120</v>
      </c>
      <c r="G52" s="26">
        <v>2800</v>
      </c>
      <c r="H52" s="26">
        <v>20</v>
      </c>
      <c r="I52" s="26">
        <v>5745</v>
      </c>
      <c r="J52" s="26">
        <v>16</v>
      </c>
      <c r="K52" s="26">
        <v>40</v>
      </c>
      <c r="L52" s="31">
        <v>32</v>
      </c>
      <c r="M52" s="26">
        <v>32</v>
      </c>
      <c r="N52" s="56">
        <v>2000</v>
      </c>
      <c r="O52" s="56">
        <v>3500</v>
      </c>
      <c r="P52" s="57">
        <f t="shared" si="0"/>
        <v>46.256281250000008</v>
      </c>
      <c r="Q52" s="56">
        <f t="shared" si="1"/>
        <v>179.53125</v>
      </c>
      <c r="R52" s="57">
        <f t="shared" si="2"/>
        <v>1.3216080357142859E-2</v>
      </c>
      <c r="S52" s="57">
        <f t="shared" si="3"/>
        <v>1</v>
      </c>
      <c r="T52" s="57">
        <f t="shared" si="4"/>
        <v>1</v>
      </c>
      <c r="U52" s="56">
        <f t="shared" si="8"/>
        <v>1</v>
      </c>
      <c r="V52" s="56">
        <f t="shared" si="5"/>
        <v>1166.6666666666667</v>
      </c>
      <c r="W52" s="56">
        <f t="shared" si="6"/>
        <v>1166.6666666666667</v>
      </c>
      <c r="X52" s="56">
        <f t="shared" si="7"/>
        <v>0</v>
      </c>
      <c r="Y52" s="56"/>
      <c r="Z52" s="56"/>
      <c r="AA52" s="56"/>
      <c r="AB52" s="56"/>
      <c r="AC52" s="56"/>
      <c r="AD52" s="56"/>
    </row>
    <row r="53" spans="1:30">
      <c r="A53" s="38">
        <v>51</v>
      </c>
      <c r="B53" s="38" t="s">
        <v>379</v>
      </c>
      <c r="C53" s="26">
        <v>1900</v>
      </c>
      <c r="D53" s="26">
        <v>2800</v>
      </c>
      <c r="E53" s="26">
        <v>1750</v>
      </c>
      <c r="F53" s="26">
        <v>120</v>
      </c>
      <c r="G53" s="26">
        <v>2800</v>
      </c>
      <c r="H53" s="26">
        <v>20</v>
      </c>
      <c r="I53" s="26">
        <v>5863</v>
      </c>
      <c r="J53" s="26">
        <v>16</v>
      </c>
      <c r="K53" s="26">
        <v>40</v>
      </c>
      <c r="L53" s="31">
        <v>32</v>
      </c>
      <c r="M53" s="26">
        <v>32</v>
      </c>
      <c r="N53" s="56">
        <v>2000</v>
      </c>
      <c r="O53" s="56">
        <v>3500</v>
      </c>
      <c r="P53" s="57">
        <f t="shared" si="0"/>
        <v>47.968461250000004</v>
      </c>
      <c r="Q53" s="56">
        <f t="shared" si="1"/>
        <v>183.21875</v>
      </c>
      <c r="R53" s="57">
        <f t="shared" si="2"/>
        <v>1.3705274642857144E-2</v>
      </c>
      <c r="S53" s="57">
        <f t="shared" si="3"/>
        <v>1</v>
      </c>
      <c r="T53" s="57">
        <f t="shared" si="4"/>
        <v>1</v>
      </c>
      <c r="U53" s="56">
        <f t="shared" si="8"/>
        <v>1</v>
      </c>
      <c r="V53" s="56">
        <f t="shared" si="5"/>
        <v>1166.6666666666667</v>
      </c>
      <c r="W53" s="56">
        <f t="shared" si="6"/>
        <v>1166.6666666666667</v>
      </c>
      <c r="X53" s="56">
        <f t="shared" si="7"/>
        <v>0</v>
      </c>
      <c r="Y53" s="56"/>
      <c r="Z53" s="56"/>
      <c r="AA53" s="56"/>
      <c r="AB53" s="56"/>
      <c r="AC53" s="56"/>
      <c r="AD53" s="56"/>
    </row>
    <row r="54" spans="1:30">
      <c r="A54" s="38">
        <v>52</v>
      </c>
      <c r="B54" s="38" t="s">
        <v>380</v>
      </c>
      <c r="C54" s="26">
        <v>1900</v>
      </c>
      <c r="D54" s="26">
        <v>2800</v>
      </c>
      <c r="E54" s="26">
        <v>1750</v>
      </c>
      <c r="F54" s="26">
        <v>120</v>
      </c>
      <c r="G54" s="26">
        <v>2800</v>
      </c>
      <c r="H54" s="26">
        <v>20</v>
      </c>
      <c r="I54" s="26">
        <v>5985</v>
      </c>
      <c r="J54" s="26">
        <v>16</v>
      </c>
      <c r="K54" s="26">
        <v>40</v>
      </c>
      <c r="L54" s="31">
        <v>32</v>
      </c>
      <c r="M54" s="26">
        <v>32</v>
      </c>
      <c r="N54" s="56">
        <v>2000</v>
      </c>
      <c r="O54" s="56">
        <v>3500</v>
      </c>
      <c r="P54" s="57">
        <f t="shared" si="0"/>
        <v>49.775281250000006</v>
      </c>
      <c r="Q54" s="56">
        <f t="shared" si="1"/>
        <v>187.03125</v>
      </c>
      <c r="R54" s="57">
        <f t="shared" si="2"/>
        <v>1.4221508928571431E-2</v>
      </c>
      <c r="S54" s="57">
        <f t="shared" si="3"/>
        <v>1</v>
      </c>
      <c r="T54" s="57">
        <f t="shared" si="4"/>
        <v>1</v>
      </c>
      <c r="U54" s="56">
        <f t="shared" si="8"/>
        <v>1</v>
      </c>
      <c r="V54" s="56">
        <f t="shared" si="5"/>
        <v>1166.6666666666667</v>
      </c>
      <c r="W54" s="56">
        <f t="shared" si="6"/>
        <v>1166.6666666666667</v>
      </c>
      <c r="X54" s="56">
        <f t="shared" si="7"/>
        <v>0</v>
      </c>
      <c r="Y54" s="56"/>
      <c r="Z54" s="56"/>
      <c r="AA54" s="56"/>
      <c r="AB54" s="56"/>
      <c r="AC54" s="56"/>
      <c r="AD54" s="56"/>
    </row>
    <row r="55" spans="1:30">
      <c r="A55" s="37">
        <v>53</v>
      </c>
      <c r="B55" s="37" t="s">
        <v>381</v>
      </c>
      <c r="C55" s="34">
        <v>1900</v>
      </c>
      <c r="D55" s="34">
        <v>2800</v>
      </c>
      <c r="E55" s="34">
        <v>1750</v>
      </c>
      <c r="F55" s="34">
        <v>120</v>
      </c>
      <c r="G55" s="34">
        <v>2800</v>
      </c>
      <c r="H55" s="34">
        <v>20</v>
      </c>
      <c r="I55" s="34">
        <v>6081</v>
      </c>
      <c r="J55" s="34">
        <v>16</v>
      </c>
      <c r="K55" s="34">
        <v>40</v>
      </c>
      <c r="L55" s="31">
        <v>38</v>
      </c>
      <c r="M55" s="34">
        <v>38</v>
      </c>
      <c r="N55" s="56">
        <v>2000</v>
      </c>
      <c r="O55" s="56">
        <v>3500</v>
      </c>
      <c r="P55" s="57">
        <f t="shared" si="0"/>
        <v>51.223201250000002</v>
      </c>
      <c r="Q55" s="56">
        <f t="shared" si="1"/>
        <v>160.02631578947367</v>
      </c>
      <c r="R55" s="57">
        <f t="shared" si="2"/>
        <v>1.4635200357142858E-2</v>
      </c>
      <c r="S55" s="57">
        <f t="shared" si="3"/>
        <v>1</v>
      </c>
      <c r="T55" s="57">
        <f t="shared" si="4"/>
        <v>1</v>
      </c>
      <c r="U55" s="56">
        <f t="shared" si="8"/>
        <v>1</v>
      </c>
      <c r="V55" s="56">
        <f t="shared" si="5"/>
        <v>1166.6666666666667</v>
      </c>
      <c r="W55" s="56">
        <f t="shared" si="6"/>
        <v>1166.6666666666667</v>
      </c>
      <c r="X55" s="56">
        <f t="shared" si="7"/>
        <v>0</v>
      </c>
      <c r="Y55" s="56"/>
      <c r="Z55" s="56"/>
      <c r="AA55" s="56"/>
      <c r="AB55" s="56"/>
      <c r="AC55" s="56"/>
      <c r="AD55" s="56"/>
    </row>
    <row r="56" spans="1:30">
      <c r="A56" s="38">
        <v>54</v>
      </c>
      <c r="B56" s="38" t="s">
        <v>382</v>
      </c>
      <c r="C56" s="26">
        <v>1900</v>
      </c>
      <c r="D56" s="26">
        <v>2800</v>
      </c>
      <c r="E56" s="26">
        <v>1750</v>
      </c>
      <c r="F56" s="26">
        <v>120</v>
      </c>
      <c r="G56" s="26">
        <v>2800</v>
      </c>
      <c r="H56" s="26">
        <v>20</v>
      </c>
      <c r="I56" s="26">
        <v>6240</v>
      </c>
      <c r="J56" s="26">
        <v>16</v>
      </c>
      <c r="K56" s="26">
        <v>40</v>
      </c>
      <c r="L56" s="31">
        <v>38</v>
      </c>
      <c r="M56" s="26">
        <v>38</v>
      </c>
      <c r="N56" s="56">
        <v>2000</v>
      </c>
      <c r="O56" s="56">
        <v>3500</v>
      </c>
      <c r="P56" s="57">
        <f t="shared" si="0"/>
        <v>53.67199999999999</v>
      </c>
      <c r="Q56" s="56">
        <f t="shared" si="1"/>
        <v>164.21052631578948</v>
      </c>
      <c r="R56" s="57">
        <f t="shared" si="2"/>
        <v>1.533485714285714E-2</v>
      </c>
      <c r="S56" s="57">
        <f t="shared" si="3"/>
        <v>1</v>
      </c>
      <c r="T56" s="57">
        <f t="shared" si="4"/>
        <v>1</v>
      </c>
      <c r="U56" s="56">
        <f t="shared" si="8"/>
        <v>1</v>
      </c>
      <c r="V56" s="56">
        <f t="shared" si="5"/>
        <v>1166.6666666666667</v>
      </c>
      <c r="W56" s="56">
        <f t="shared" si="6"/>
        <v>1166.6666666666667</v>
      </c>
      <c r="X56" s="56">
        <f t="shared" si="7"/>
        <v>0</v>
      </c>
      <c r="Y56" s="56"/>
      <c r="Z56" s="56"/>
      <c r="AA56" s="56"/>
      <c r="AB56" s="56"/>
      <c r="AC56" s="56"/>
      <c r="AD56" s="56"/>
    </row>
    <row r="57" spans="1:30">
      <c r="A57" s="38">
        <v>55</v>
      </c>
      <c r="B57" s="38" t="s">
        <v>383</v>
      </c>
      <c r="C57" s="26">
        <v>1900</v>
      </c>
      <c r="D57" s="26">
        <v>2800</v>
      </c>
      <c r="E57" s="26">
        <v>1750</v>
      </c>
      <c r="F57" s="26">
        <v>120</v>
      </c>
      <c r="G57" s="26">
        <v>2800</v>
      </c>
      <c r="H57" s="26">
        <v>20</v>
      </c>
      <c r="I57" s="26">
        <v>6373</v>
      </c>
      <c r="J57" s="26">
        <v>16</v>
      </c>
      <c r="K57" s="26">
        <v>40</v>
      </c>
      <c r="L57" s="31">
        <v>38</v>
      </c>
      <c r="M57" s="26">
        <v>38</v>
      </c>
      <c r="N57" s="56">
        <v>2000</v>
      </c>
      <c r="O57" s="56">
        <v>3500</v>
      </c>
      <c r="P57" s="57">
        <f t="shared" si="0"/>
        <v>55.768911250000002</v>
      </c>
      <c r="Q57" s="56">
        <f t="shared" si="1"/>
        <v>167.71052631578948</v>
      </c>
      <c r="R57" s="57">
        <f t="shared" si="2"/>
        <v>1.5933974642857143E-2</v>
      </c>
      <c r="S57" s="57">
        <f t="shared" si="3"/>
        <v>1</v>
      </c>
      <c r="T57" s="57">
        <f t="shared" si="4"/>
        <v>1</v>
      </c>
      <c r="U57" s="56">
        <f t="shared" si="8"/>
        <v>1</v>
      </c>
      <c r="V57" s="56">
        <f t="shared" si="5"/>
        <v>1166.6666666666667</v>
      </c>
      <c r="W57" s="56">
        <f t="shared" si="6"/>
        <v>1166.6666666666667</v>
      </c>
      <c r="X57" s="56">
        <f t="shared" si="7"/>
        <v>0</v>
      </c>
      <c r="Y57" s="56"/>
      <c r="Z57" s="56"/>
      <c r="AA57" s="56"/>
      <c r="AB57" s="56"/>
      <c r="AC57" s="56"/>
      <c r="AD57" s="56"/>
    </row>
    <row r="58" spans="1:30">
      <c r="A58" s="38">
        <v>56</v>
      </c>
      <c r="B58" s="38" t="s">
        <v>384</v>
      </c>
      <c r="C58" s="26">
        <v>1900</v>
      </c>
      <c r="D58" s="26">
        <v>2800</v>
      </c>
      <c r="E58" s="26">
        <v>1750</v>
      </c>
      <c r="F58" s="26">
        <v>120</v>
      </c>
      <c r="G58" s="26">
        <v>2800</v>
      </c>
      <c r="H58" s="26">
        <v>20</v>
      </c>
      <c r="I58" s="26">
        <v>6500</v>
      </c>
      <c r="J58" s="26">
        <v>16</v>
      </c>
      <c r="K58" s="26">
        <v>40</v>
      </c>
      <c r="L58" s="31">
        <v>38</v>
      </c>
      <c r="M58" s="26">
        <v>38</v>
      </c>
      <c r="N58" s="56">
        <v>2000</v>
      </c>
      <c r="O58" s="56">
        <v>3500</v>
      </c>
      <c r="P58" s="57">
        <f t="shared" si="0"/>
        <v>57.812499999999993</v>
      </c>
      <c r="Q58" s="56">
        <f t="shared" si="1"/>
        <v>171.05263157894737</v>
      </c>
      <c r="R58" s="57">
        <f t="shared" si="2"/>
        <v>1.651785714285714E-2</v>
      </c>
      <c r="S58" s="57">
        <f t="shared" si="3"/>
        <v>1</v>
      </c>
      <c r="T58" s="57">
        <f t="shared" si="4"/>
        <v>1</v>
      </c>
      <c r="U58" s="56">
        <f t="shared" si="8"/>
        <v>1</v>
      </c>
      <c r="V58" s="56">
        <f t="shared" si="5"/>
        <v>1166.6666666666667</v>
      </c>
      <c r="W58" s="56">
        <f t="shared" si="6"/>
        <v>1166.6666666666667</v>
      </c>
      <c r="X58" s="56">
        <f t="shared" si="7"/>
        <v>0</v>
      </c>
      <c r="Y58" s="56"/>
      <c r="Z58" s="56"/>
      <c r="AA58" s="56"/>
      <c r="AB58" s="56"/>
      <c r="AC58" s="56"/>
      <c r="AD58" s="56"/>
    </row>
    <row r="59" spans="1:30">
      <c r="A59" s="36">
        <v>57</v>
      </c>
      <c r="B59" s="36" t="s">
        <v>385</v>
      </c>
      <c r="C59" s="31">
        <v>1900</v>
      </c>
      <c r="D59" s="31">
        <v>2800</v>
      </c>
      <c r="E59" s="31">
        <v>1750</v>
      </c>
      <c r="F59" s="31">
        <v>120</v>
      </c>
      <c r="G59" s="31">
        <v>2800</v>
      </c>
      <c r="H59" s="31">
        <v>20</v>
      </c>
      <c r="I59" s="31">
        <v>6500</v>
      </c>
      <c r="J59" s="31">
        <v>16</v>
      </c>
      <c r="K59" s="31">
        <v>40</v>
      </c>
      <c r="L59" s="31">
        <v>38</v>
      </c>
      <c r="M59" s="31">
        <v>38</v>
      </c>
      <c r="N59" s="56">
        <v>2000</v>
      </c>
      <c r="O59" s="56">
        <v>3500</v>
      </c>
      <c r="P59" s="57">
        <f t="shared" si="0"/>
        <v>57.812499999999993</v>
      </c>
      <c r="Q59" s="56">
        <f t="shared" si="1"/>
        <v>171.05263157894737</v>
      </c>
      <c r="R59" s="57">
        <f t="shared" si="2"/>
        <v>1.651785714285714E-2</v>
      </c>
      <c r="S59" s="57">
        <f t="shared" si="3"/>
        <v>1</v>
      </c>
      <c r="T59" s="57">
        <f t="shared" si="4"/>
        <v>1</v>
      </c>
      <c r="U59" s="56">
        <f t="shared" si="8"/>
        <v>1</v>
      </c>
      <c r="V59" s="56">
        <f t="shared" si="5"/>
        <v>1166.6666666666667</v>
      </c>
      <c r="W59" s="56">
        <f t="shared" si="6"/>
        <v>1166.6666666666667</v>
      </c>
      <c r="X59" s="56">
        <f t="shared" si="7"/>
        <v>0</v>
      </c>
      <c r="Y59" s="56"/>
      <c r="Z59" s="56"/>
      <c r="AA59" s="56"/>
      <c r="AB59" s="56"/>
      <c r="AC59" s="56"/>
      <c r="AD59" s="56"/>
    </row>
    <row r="60" spans="1:30">
      <c r="A60" s="38">
        <v>58</v>
      </c>
      <c r="B60" s="38" t="s">
        <v>386</v>
      </c>
      <c r="C60" s="26">
        <v>1900</v>
      </c>
      <c r="D60" s="26">
        <v>2800</v>
      </c>
      <c r="E60" s="26">
        <v>1750</v>
      </c>
      <c r="F60" s="26">
        <v>120</v>
      </c>
      <c r="G60" s="26">
        <v>2800</v>
      </c>
      <c r="H60" s="26">
        <v>20</v>
      </c>
      <c r="I60" s="26">
        <v>6500</v>
      </c>
      <c r="J60" s="26">
        <v>16</v>
      </c>
      <c r="K60" s="26">
        <v>40</v>
      </c>
      <c r="L60" s="31">
        <v>38</v>
      </c>
      <c r="M60" s="26">
        <v>38</v>
      </c>
      <c r="N60" s="56">
        <v>2000</v>
      </c>
      <c r="O60" s="56">
        <v>3500</v>
      </c>
      <c r="P60" s="57">
        <f t="shared" si="0"/>
        <v>57.812499999999993</v>
      </c>
      <c r="Q60" s="56">
        <f t="shared" si="1"/>
        <v>171.05263157894737</v>
      </c>
      <c r="R60" s="57">
        <f t="shared" si="2"/>
        <v>1.651785714285714E-2</v>
      </c>
      <c r="S60" s="57">
        <f t="shared" si="3"/>
        <v>1</v>
      </c>
      <c r="T60" s="57">
        <f t="shared" si="4"/>
        <v>1</v>
      </c>
      <c r="U60" s="56">
        <f t="shared" si="8"/>
        <v>1</v>
      </c>
      <c r="V60" s="56">
        <f t="shared" si="5"/>
        <v>1166.6666666666667</v>
      </c>
      <c r="W60" s="56">
        <f t="shared" si="6"/>
        <v>1166.6666666666667</v>
      </c>
      <c r="X60" s="56">
        <f t="shared" si="7"/>
        <v>0</v>
      </c>
      <c r="Y60" s="56"/>
      <c r="Z60" s="56"/>
      <c r="AA60" s="56"/>
      <c r="AB60" s="56"/>
      <c r="AC60" s="56"/>
      <c r="AD60" s="56"/>
    </row>
    <row r="61" spans="1:30">
      <c r="A61" s="38">
        <v>59</v>
      </c>
      <c r="B61" s="38" t="s">
        <v>387</v>
      </c>
      <c r="C61" s="26">
        <v>1900</v>
      </c>
      <c r="D61" s="26">
        <v>2800</v>
      </c>
      <c r="E61" s="26">
        <v>1750</v>
      </c>
      <c r="F61" s="26">
        <v>120</v>
      </c>
      <c r="G61" s="26">
        <v>2800</v>
      </c>
      <c r="H61" s="26">
        <v>20</v>
      </c>
      <c r="I61" s="26">
        <v>6358</v>
      </c>
      <c r="J61" s="26">
        <v>16</v>
      </c>
      <c r="K61" s="26">
        <v>40</v>
      </c>
      <c r="L61" s="31">
        <v>38</v>
      </c>
      <c r="M61" s="26">
        <v>38</v>
      </c>
      <c r="N61" s="56">
        <v>2000</v>
      </c>
      <c r="O61" s="56">
        <v>3500</v>
      </c>
      <c r="P61" s="57">
        <f t="shared" si="0"/>
        <v>55.530205000000002</v>
      </c>
      <c r="Q61" s="56">
        <f t="shared" si="1"/>
        <v>167.31578947368422</v>
      </c>
      <c r="R61" s="57">
        <f t="shared" si="2"/>
        <v>1.5865772857142857E-2</v>
      </c>
      <c r="S61" s="57">
        <f t="shared" si="3"/>
        <v>1</v>
      </c>
      <c r="T61" s="57">
        <f t="shared" si="4"/>
        <v>1</v>
      </c>
      <c r="U61" s="56">
        <f t="shared" si="8"/>
        <v>1</v>
      </c>
      <c r="V61" s="56">
        <f t="shared" si="5"/>
        <v>1166.6666666666667</v>
      </c>
      <c r="W61" s="56">
        <f t="shared" si="6"/>
        <v>1166.6666666666667</v>
      </c>
      <c r="X61" s="56">
        <f t="shared" si="7"/>
        <v>0</v>
      </c>
      <c r="Y61" s="56"/>
      <c r="Z61" s="56"/>
      <c r="AA61" s="56"/>
      <c r="AB61" s="56"/>
      <c r="AC61" s="56"/>
      <c r="AD61" s="56"/>
    </row>
    <row r="62" spans="1:30" s="39" customFormat="1">
      <c r="A62" s="37">
        <v>60</v>
      </c>
      <c r="B62" s="37" t="s">
        <v>388</v>
      </c>
      <c r="C62" s="34">
        <v>1900</v>
      </c>
      <c r="D62" s="34">
        <v>2800</v>
      </c>
      <c r="E62" s="34">
        <v>1750</v>
      </c>
      <c r="F62" s="34">
        <v>120</v>
      </c>
      <c r="G62" s="34">
        <v>2800</v>
      </c>
      <c r="H62" s="34">
        <v>20</v>
      </c>
      <c r="I62" s="34">
        <v>6214</v>
      </c>
      <c r="J62" s="34">
        <v>16</v>
      </c>
      <c r="K62" s="34">
        <v>40</v>
      </c>
      <c r="L62" s="31">
        <v>38</v>
      </c>
      <c r="M62" s="34">
        <v>38</v>
      </c>
      <c r="N62" s="56">
        <v>2000</v>
      </c>
      <c r="O62" s="56">
        <v>3500</v>
      </c>
      <c r="P62" s="57">
        <f t="shared" si="0"/>
        <v>53.267244999999988</v>
      </c>
      <c r="Q62" s="56">
        <f t="shared" si="1"/>
        <v>163.52631578947367</v>
      </c>
      <c r="R62" s="57">
        <f t="shared" si="2"/>
        <v>1.5219212857142854E-2</v>
      </c>
      <c r="S62" s="57">
        <f t="shared" si="3"/>
        <v>1</v>
      </c>
      <c r="T62" s="57">
        <f t="shared" si="4"/>
        <v>1</v>
      </c>
      <c r="U62" s="56">
        <f t="shared" si="8"/>
        <v>1</v>
      </c>
      <c r="V62" s="56">
        <f t="shared" si="5"/>
        <v>1166.6666666666667</v>
      </c>
      <c r="W62" s="56">
        <f t="shared" si="6"/>
        <v>1166.6666666666667</v>
      </c>
      <c r="X62" s="56">
        <f t="shared" si="7"/>
        <v>0</v>
      </c>
      <c r="Y62" s="56"/>
      <c r="Z62" s="56"/>
      <c r="AA62" s="56"/>
      <c r="AB62" s="56"/>
      <c r="AC62" s="56"/>
      <c r="AD62" s="56"/>
    </row>
    <row r="63" spans="1:30">
      <c r="A63" s="38">
        <v>61</v>
      </c>
      <c r="B63" s="38" t="s">
        <v>389</v>
      </c>
      <c r="C63" s="26">
        <v>1900</v>
      </c>
      <c r="D63" s="26">
        <v>2800</v>
      </c>
      <c r="E63" s="26">
        <v>1750</v>
      </c>
      <c r="F63" s="26">
        <v>120</v>
      </c>
      <c r="G63" s="26">
        <v>2800</v>
      </c>
      <c r="H63" s="26">
        <v>20</v>
      </c>
      <c r="I63" s="26">
        <v>6085</v>
      </c>
      <c r="J63" s="26">
        <v>16</v>
      </c>
      <c r="K63" s="26">
        <v>40</v>
      </c>
      <c r="L63" s="31">
        <v>35</v>
      </c>
      <c r="M63" s="26">
        <v>35</v>
      </c>
      <c r="N63" s="56">
        <v>2000</v>
      </c>
      <c r="O63" s="56">
        <v>3500</v>
      </c>
      <c r="P63" s="57">
        <f t="shared" si="0"/>
        <v>51.284031249999998</v>
      </c>
      <c r="Q63" s="56">
        <f t="shared" si="1"/>
        <v>173.85714285714286</v>
      </c>
      <c r="R63" s="57">
        <f t="shared" si="2"/>
        <v>1.4652580357142857E-2</v>
      </c>
      <c r="S63" s="57">
        <f t="shared" si="3"/>
        <v>1</v>
      </c>
      <c r="T63" s="57">
        <f t="shared" si="4"/>
        <v>1</v>
      </c>
      <c r="U63" s="56">
        <f t="shared" si="8"/>
        <v>1</v>
      </c>
      <c r="V63" s="56">
        <f t="shared" si="5"/>
        <v>1166.6666666666667</v>
      </c>
      <c r="W63" s="56">
        <f t="shared" si="6"/>
        <v>1166.6666666666667</v>
      </c>
      <c r="X63" s="56">
        <f t="shared" si="7"/>
        <v>0</v>
      </c>
      <c r="Y63" s="56"/>
      <c r="Z63" s="56"/>
      <c r="AA63" s="56"/>
      <c r="AB63" s="56"/>
      <c r="AC63" s="56"/>
      <c r="AD63" s="56"/>
    </row>
    <row r="64" spans="1:30">
      <c r="A64" s="38">
        <v>62</v>
      </c>
      <c r="B64" s="38" t="s">
        <v>390</v>
      </c>
      <c r="C64" s="26">
        <v>1900</v>
      </c>
      <c r="D64" s="26">
        <v>2800</v>
      </c>
      <c r="E64" s="26">
        <v>1750</v>
      </c>
      <c r="F64" s="26">
        <v>120</v>
      </c>
      <c r="G64" s="26">
        <v>2800</v>
      </c>
      <c r="H64" s="26">
        <v>20</v>
      </c>
      <c r="I64" s="26">
        <v>5960</v>
      </c>
      <c r="J64" s="26">
        <v>16</v>
      </c>
      <c r="K64" s="26">
        <v>40</v>
      </c>
      <c r="L64" s="31">
        <v>35</v>
      </c>
      <c r="M64" s="26">
        <v>35</v>
      </c>
      <c r="N64" s="56">
        <v>2000</v>
      </c>
      <c r="O64" s="56">
        <v>3500</v>
      </c>
      <c r="P64" s="57">
        <f t="shared" si="0"/>
        <v>49.401999999999994</v>
      </c>
      <c r="Q64" s="56">
        <f t="shared" si="1"/>
        <v>170.28571428571428</v>
      </c>
      <c r="R64" s="57">
        <f t="shared" si="2"/>
        <v>1.4114857142857141E-2</v>
      </c>
      <c r="S64" s="57">
        <f t="shared" si="3"/>
        <v>1</v>
      </c>
      <c r="T64" s="57">
        <f t="shared" si="4"/>
        <v>1</v>
      </c>
      <c r="U64" s="56">
        <f t="shared" si="8"/>
        <v>1</v>
      </c>
      <c r="V64" s="56">
        <f t="shared" si="5"/>
        <v>1166.6666666666667</v>
      </c>
      <c r="W64" s="56">
        <f t="shared" si="6"/>
        <v>1166.6666666666667</v>
      </c>
      <c r="X64" s="56">
        <f t="shared" si="7"/>
        <v>0</v>
      </c>
      <c r="Y64" s="56"/>
      <c r="Z64" s="56"/>
      <c r="AA64" s="56"/>
      <c r="AB64" s="56"/>
      <c r="AC64" s="56"/>
      <c r="AD64" s="56"/>
    </row>
    <row r="65" spans="1:30">
      <c r="A65" s="38">
        <v>63</v>
      </c>
      <c r="B65" s="38" t="s">
        <v>391</v>
      </c>
      <c r="C65" s="26">
        <v>1900</v>
      </c>
      <c r="D65" s="26">
        <v>2800</v>
      </c>
      <c r="E65" s="26">
        <v>1750</v>
      </c>
      <c r="F65" s="26">
        <v>120</v>
      </c>
      <c r="G65" s="26">
        <v>2800</v>
      </c>
      <c r="H65" s="26">
        <v>20</v>
      </c>
      <c r="I65" s="26">
        <v>5839</v>
      </c>
      <c r="J65" s="26">
        <v>16</v>
      </c>
      <c r="K65" s="26">
        <v>40</v>
      </c>
      <c r="L65" s="31">
        <v>35</v>
      </c>
      <c r="M65" s="26">
        <v>35</v>
      </c>
      <c r="N65" s="56">
        <v>2000</v>
      </c>
      <c r="O65" s="56">
        <v>3500</v>
      </c>
      <c r="P65" s="57">
        <f t="shared" si="0"/>
        <v>47.61740125</v>
      </c>
      <c r="Q65" s="56">
        <f t="shared" si="1"/>
        <v>166.82857142857142</v>
      </c>
      <c r="R65" s="57">
        <f t="shared" si="2"/>
        <v>1.3604971785714286E-2</v>
      </c>
      <c r="S65" s="57">
        <f t="shared" si="3"/>
        <v>1</v>
      </c>
      <c r="T65" s="57">
        <f t="shared" si="4"/>
        <v>1</v>
      </c>
      <c r="U65" s="56">
        <f t="shared" si="8"/>
        <v>1</v>
      </c>
      <c r="V65" s="56">
        <f t="shared" si="5"/>
        <v>1166.6666666666667</v>
      </c>
      <c r="W65" s="56">
        <f t="shared" si="6"/>
        <v>1166.6666666666667</v>
      </c>
      <c r="X65" s="56">
        <f t="shared" si="7"/>
        <v>0</v>
      </c>
      <c r="Y65" s="56"/>
      <c r="Z65" s="56"/>
      <c r="AA65" s="56"/>
      <c r="AB65" s="56"/>
      <c r="AC65" s="56"/>
      <c r="AD65" s="56"/>
    </row>
    <row r="66" spans="1:30" s="39" customFormat="1">
      <c r="A66" s="37">
        <v>64</v>
      </c>
      <c r="B66" s="37" t="s">
        <v>392</v>
      </c>
      <c r="C66" s="34">
        <v>1900</v>
      </c>
      <c r="D66" s="34">
        <v>2800</v>
      </c>
      <c r="E66" s="34">
        <v>1750</v>
      </c>
      <c r="F66" s="34">
        <v>120</v>
      </c>
      <c r="G66" s="34">
        <v>2800</v>
      </c>
      <c r="H66" s="34">
        <v>20</v>
      </c>
      <c r="I66" s="34">
        <v>5722</v>
      </c>
      <c r="J66" s="34">
        <v>16</v>
      </c>
      <c r="K66" s="34">
        <v>40</v>
      </c>
      <c r="L66" s="31">
        <v>35</v>
      </c>
      <c r="M66" s="34">
        <v>35</v>
      </c>
      <c r="N66" s="56">
        <v>2000</v>
      </c>
      <c r="O66" s="56">
        <v>3500</v>
      </c>
      <c r="P66" s="57">
        <f t="shared" si="0"/>
        <v>45.926604999999995</v>
      </c>
      <c r="Q66" s="56">
        <f t="shared" si="1"/>
        <v>163.48571428571429</v>
      </c>
      <c r="R66" s="57">
        <f t="shared" si="2"/>
        <v>1.3121887142857142E-2</v>
      </c>
      <c r="S66" s="57">
        <f t="shared" si="3"/>
        <v>1</v>
      </c>
      <c r="T66" s="57">
        <f t="shared" si="4"/>
        <v>1</v>
      </c>
      <c r="U66" s="56">
        <f t="shared" si="8"/>
        <v>1</v>
      </c>
      <c r="V66" s="56">
        <f t="shared" si="5"/>
        <v>1166.6666666666667</v>
      </c>
      <c r="W66" s="56">
        <f t="shared" si="6"/>
        <v>1166.6666666666667</v>
      </c>
      <c r="X66" s="56">
        <f t="shared" si="7"/>
        <v>0</v>
      </c>
      <c r="Y66" s="56"/>
      <c r="Z66" s="56"/>
      <c r="AA66" s="56"/>
      <c r="AB66" s="56"/>
      <c r="AC66" s="56"/>
      <c r="AD66" s="56"/>
    </row>
    <row r="67" spans="1:30">
      <c r="A67" s="38">
        <v>65</v>
      </c>
      <c r="B67" s="38" t="s">
        <v>393</v>
      </c>
      <c r="C67" s="26">
        <v>1900</v>
      </c>
      <c r="D67" s="26">
        <v>2800</v>
      </c>
      <c r="E67" s="26">
        <v>1750</v>
      </c>
      <c r="F67" s="26">
        <v>120</v>
      </c>
      <c r="G67" s="26">
        <v>2800</v>
      </c>
      <c r="H67" s="26">
        <v>20</v>
      </c>
      <c r="I67" s="26">
        <v>5608</v>
      </c>
      <c r="J67" s="26">
        <v>16</v>
      </c>
      <c r="K67" s="26">
        <v>40</v>
      </c>
      <c r="L67" s="31">
        <v>35</v>
      </c>
      <c r="M67" s="26">
        <v>35</v>
      </c>
      <c r="N67" s="56">
        <v>2000</v>
      </c>
      <c r="O67" s="56">
        <v>3500</v>
      </c>
      <c r="P67" s="57">
        <f t="shared" si="0"/>
        <v>44.312080000000002</v>
      </c>
      <c r="Q67" s="56">
        <f t="shared" si="1"/>
        <v>160.22857142857143</v>
      </c>
      <c r="R67" s="57">
        <f t="shared" si="2"/>
        <v>1.2660594285714286E-2</v>
      </c>
      <c r="S67" s="57">
        <f t="shared" si="3"/>
        <v>1</v>
      </c>
      <c r="T67" s="57">
        <f t="shared" si="4"/>
        <v>1</v>
      </c>
      <c r="U67" s="56">
        <f t="shared" si="8"/>
        <v>1</v>
      </c>
      <c r="V67" s="56">
        <f t="shared" si="5"/>
        <v>1166.6666666666667</v>
      </c>
      <c r="W67" s="56">
        <f t="shared" si="6"/>
        <v>1166.6666666666667</v>
      </c>
      <c r="X67" s="56">
        <f t="shared" si="7"/>
        <v>0</v>
      </c>
      <c r="Y67" s="56"/>
      <c r="Z67" s="56"/>
      <c r="AA67" s="56"/>
      <c r="AB67" s="56"/>
      <c r="AC67" s="56"/>
      <c r="AD67" s="56"/>
    </row>
    <row r="68" spans="1:30">
      <c r="A68" s="38">
        <v>66</v>
      </c>
      <c r="B68" s="38" t="s">
        <v>394</v>
      </c>
      <c r="C68" s="26">
        <v>1900</v>
      </c>
      <c r="D68" s="26">
        <v>2800</v>
      </c>
      <c r="E68" s="26">
        <v>1750</v>
      </c>
      <c r="F68" s="26">
        <v>120</v>
      </c>
      <c r="G68" s="26">
        <v>2800</v>
      </c>
      <c r="H68" s="26">
        <v>20</v>
      </c>
      <c r="I68" s="26">
        <v>5499</v>
      </c>
      <c r="J68" s="26">
        <v>16</v>
      </c>
      <c r="K68" s="26">
        <v>40</v>
      </c>
      <c r="L68" s="31">
        <v>35</v>
      </c>
      <c r="M68" s="26">
        <v>35</v>
      </c>
      <c r="N68" s="56">
        <v>2000</v>
      </c>
      <c r="O68" s="56">
        <v>3500</v>
      </c>
      <c r="P68" s="57">
        <f t="shared" ref="P68:P131" si="9">5+5/(N68/I68)^2</f>
        <v>42.798751249999995</v>
      </c>
      <c r="Q68" s="56">
        <f t="shared" ref="Q68:Q131" si="10">I68/L68</f>
        <v>157.11428571428573</v>
      </c>
      <c r="R68" s="57">
        <f t="shared" ref="R68:R131" si="11">P68/O68</f>
        <v>1.2228214642857142E-2</v>
      </c>
      <c r="S68" s="57">
        <f t="shared" ref="S68:S131" si="12">IF(Q68&lt;1590*SQRT(R68),1,IF(Q68&lt;=1990*SQRT(R68),"II","III"))</f>
        <v>1</v>
      </c>
      <c r="T68" s="57">
        <f t="shared" ref="T68:T131" si="13">IF(Q68&lt;1590*SQRT(R68),1,IF(Q68&lt;=1990*SQRT(R68),1590*SQRT(R68)/Q68,3170000*R68/(Q68)^2))</f>
        <v>1</v>
      </c>
      <c r="U68" s="56">
        <f t="shared" si="8"/>
        <v>1</v>
      </c>
      <c r="V68" s="56">
        <f t="shared" ref="V68:V131" si="14">O68/3*(T68+0.87*(1-T68)/SQRT(1+(N68/I69)^2))</f>
        <v>1166.6666666666667</v>
      </c>
      <c r="W68" s="56">
        <f t="shared" ref="W68:W131" si="15">O68/3*(U68+0.87*(1-U68)/SQRT(1+(N68/I69)^2))</f>
        <v>1166.6666666666667</v>
      </c>
      <c r="X68" s="56">
        <f t="shared" ref="X68:X131" si="16">(W68-V68)/V68*100</f>
        <v>0</v>
      </c>
      <c r="Y68" s="56"/>
      <c r="Z68" s="56"/>
      <c r="AA68" s="56"/>
      <c r="AB68" s="56"/>
      <c r="AC68" s="56"/>
      <c r="AD68" s="56"/>
    </row>
    <row r="69" spans="1:30">
      <c r="A69" s="38">
        <v>67</v>
      </c>
      <c r="B69" s="38" t="s">
        <v>395</v>
      </c>
      <c r="C69" s="26">
        <v>1900</v>
      </c>
      <c r="D69" s="26">
        <v>2800</v>
      </c>
      <c r="E69" s="26">
        <v>1750</v>
      </c>
      <c r="F69" s="26">
        <v>120</v>
      </c>
      <c r="G69" s="26">
        <v>2800</v>
      </c>
      <c r="H69" s="26">
        <v>20</v>
      </c>
      <c r="I69" s="26">
        <v>5393</v>
      </c>
      <c r="J69" s="26">
        <v>16</v>
      </c>
      <c r="K69" s="26">
        <v>40</v>
      </c>
      <c r="L69" s="31">
        <v>35</v>
      </c>
      <c r="M69" s="26">
        <v>35</v>
      </c>
      <c r="N69" s="56">
        <v>2000</v>
      </c>
      <c r="O69" s="56">
        <v>3500</v>
      </c>
      <c r="P69" s="57">
        <f t="shared" si="9"/>
        <v>41.355561250000001</v>
      </c>
      <c r="Q69" s="56">
        <f t="shared" si="10"/>
        <v>154.08571428571429</v>
      </c>
      <c r="R69" s="57">
        <f t="shared" si="11"/>
        <v>1.1815874642857143E-2</v>
      </c>
      <c r="S69" s="57">
        <f t="shared" si="12"/>
        <v>1</v>
      </c>
      <c r="T69" s="57">
        <f t="shared" si="13"/>
        <v>1</v>
      </c>
      <c r="U69" s="56">
        <f t="shared" ref="U69:U132" si="17">MIN(15500000*(1+(I69/N69)^2)/O69/(I69/L69)^2,1)</f>
        <v>1</v>
      </c>
      <c r="V69" s="56">
        <f t="shared" si="14"/>
        <v>1166.6666666666667</v>
      </c>
      <c r="W69" s="56">
        <f t="shared" si="15"/>
        <v>1166.6666666666667</v>
      </c>
      <c r="X69" s="56">
        <f t="shared" si="16"/>
        <v>0</v>
      </c>
      <c r="Y69" s="56"/>
      <c r="Z69" s="56"/>
      <c r="AA69" s="56"/>
      <c r="AB69" s="56"/>
      <c r="AC69" s="56"/>
      <c r="AD69" s="56"/>
    </row>
    <row r="70" spans="1:30" s="39" customFormat="1">
      <c r="A70" s="37">
        <v>68</v>
      </c>
      <c r="B70" s="37" t="s">
        <v>396</v>
      </c>
      <c r="C70" s="34">
        <v>1900</v>
      </c>
      <c r="D70" s="34">
        <v>2800</v>
      </c>
      <c r="E70" s="34">
        <v>1750</v>
      </c>
      <c r="F70" s="34">
        <v>120</v>
      </c>
      <c r="G70" s="34">
        <v>2800</v>
      </c>
      <c r="H70" s="34">
        <v>20</v>
      </c>
      <c r="I70" s="34">
        <v>5292</v>
      </c>
      <c r="J70" s="34">
        <v>16</v>
      </c>
      <c r="K70" s="34">
        <v>40</v>
      </c>
      <c r="L70" s="31">
        <v>35</v>
      </c>
      <c r="M70" s="34">
        <v>35</v>
      </c>
      <c r="N70" s="56">
        <v>2000</v>
      </c>
      <c r="O70" s="56">
        <v>3500</v>
      </c>
      <c r="P70" s="57">
        <f t="shared" si="9"/>
        <v>40.00658</v>
      </c>
      <c r="Q70" s="56">
        <f t="shared" si="10"/>
        <v>151.19999999999999</v>
      </c>
      <c r="R70" s="57">
        <f t="shared" si="11"/>
        <v>1.1430451428571428E-2</v>
      </c>
      <c r="S70" s="57">
        <f t="shared" si="12"/>
        <v>1</v>
      </c>
      <c r="T70" s="57">
        <f t="shared" si="13"/>
        <v>1</v>
      </c>
      <c r="U70" s="56">
        <f t="shared" si="17"/>
        <v>1</v>
      </c>
      <c r="V70" s="56">
        <f t="shared" si="14"/>
        <v>1166.6666666666667</v>
      </c>
      <c r="W70" s="56">
        <f t="shared" si="15"/>
        <v>1166.6666666666667</v>
      </c>
      <c r="X70" s="56">
        <f t="shared" si="16"/>
        <v>0</v>
      </c>
      <c r="Y70" s="56"/>
      <c r="Z70" s="56"/>
      <c r="AA70" s="56"/>
      <c r="AB70" s="56"/>
      <c r="AC70" s="56"/>
      <c r="AD70" s="56"/>
    </row>
    <row r="71" spans="1:30">
      <c r="A71" s="38">
        <v>69</v>
      </c>
      <c r="B71" s="38" t="s">
        <v>397</v>
      </c>
      <c r="C71" s="26">
        <v>1900</v>
      </c>
      <c r="D71" s="26">
        <v>2800</v>
      </c>
      <c r="E71" s="26">
        <v>1750</v>
      </c>
      <c r="F71" s="26">
        <v>120</v>
      </c>
      <c r="G71" s="26">
        <v>2800</v>
      </c>
      <c r="H71" s="26">
        <v>20</v>
      </c>
      <c r="I71" s="26">
        <v>5194</v>
      </c>
      <c r="J71" s="26">
        <v>16</v>
      </c>
      <c r="K71" s="26">
        <v>35</v>
      </c>
      <c r="L71" s="31">
        <v>22</v>
      </c>
      <c r="M71" s="26">
        <v>22</v>
      </c>
      <c r="N71" s="56">
        <v>2000</v>
      </c>
      <c r="O71" s="56">
        <v>3500</v>
      </c>
      <c r="P71" s="57">
        <f t="shared" si="9"/>
        <v>38.722045000000001</v>
      </c>
      <c r="Q71" s="56">
        <f t="shared" si="10"/>
        <v>236.09090909090909</v>
      </c>
      <c r="R71" s="57">
        <f t="shared" si="11"/>
        <v>1.1063441428571429E-2</v>
      </c>
      <c r="S71" s="57" t="str">
        <f t="shared" si="12"/>
        <v>III</v>
      </c>
      <c r="T71" s="57">
        <f t="shared" si="13"/>
        <v>0.62920327470607773</v>
      </c>
      <c r="U71" s="56">
        <f t="shared" si="17"/>
        <v>0.61530919608480783</v>
      </c>
      <c r="V71" s="56">
        <f t="shared" si="14"/>
        <v>1084.4503276925336</v>
      </c>
      <c r="W71" s="56">
        <f t="shared" si="15"/>
        <v>1081.3696093373376</v>
      </c>
      <c r="X71" s="56">
        <f t="shared" si="16"/>
        <v>-0.28408109403693171</v>
      </c>
      <c r="Y71" s="56"/>
      <c r="Z71" s="56"/>
      <c r="AA71" s="56"/>
      <c r="AB71" s="56"/>
      <c r="AC71" s="56"/>
      <c r="AD71" s="56"/>
    </row>
    <row r="72" spans="1:30">
      <c r="A72" s="38">
        <v>70</v>
      </c>
      <c r="B72" s="38" t="s">
        <v>398</v>
      </c>
      <c r="C72" s="26">
        <v>1900</v>
      </c>
      <c r="D72" s="26">
        <v>2800</v>
      </c>
      <c r="E72" s="26">
        <v>1750</v>
      </c>
      <c r="F72" s="26">
        <v>120</v>
      </c>
      <c r="G72" s="26">
        <v>2800</v>
      </c>
      <c r="H72" s="26">
        <v>20</v>
      </c>
      <c r="I72" s="26">
        <v>5100</v>
      </c>
      <c r="J72" s="26">
        <v>16</v>
      </c>
      <c r="K72" s="26">
        <v>35</v>
      </c>
      <c r="L72" s="31">
        <v>22</v>
      </c>
      <c r="M72" s="26">
        <v>22</v>
      </c>
      <c r="N72" s="56">
        <v>2000</v>
      </c>
      <c r="O72" s="56">
        <v>3500</v>
      </c>
      <c r="P72" s="57">
        <f t="shared" si="9"/>
        <v>37.512500000000003</v>
      </c>
      <c r="Q72" s="56">
        <f t="shared" si="10"/>
        <v>231.81818181818181</v>
      </c>
      <c r="R72" s="57">
        <f t="shared" si="11"/>
        <v>1.0717857142857144E-2</v>
      </c>
      <c r="S72" s="57" t="str">
        <f t="shared" si="12"/>
        <v>III</v>
      </c>
      <c r="T72" s="57">
        <f t="shared" si="13"/>
        <v>0.63222583072444671</v>
      </c>
      <c r="U72" s="56">
        <f t="shared" si="17"/>
        <v>0.61826500796396977</v>
      </c>
      <c r="V72" s="56">
        <f t="shared" si="14"/>
        <v>1084.2839571507891</v>
      </c>
      <c r="W72" s="56">
        <f t="shared" si="15"/>
        <v>1081.1566836711304</v>
      </c>
      <c r="X72" s="56">
        <f t="shared" si="16"/>
        <v>-0.28841831136894652</v>
      </c>
      <c r="Y72" s="56"/>
      <c r="Z72" s="56"/>
      <c r="AA72" s="56"/>
      <c r="AB72" s="56"/>
      <c r="AC72" s="56"/>
      <c r="AD72" s="56"/>
    </row>
    <row r="73" spans="1:30">
      <c r="A73" s="38">
        <v>71</v>
      </c>
      <c r="B73" s="38" t="s">
        <v>399</v>
      </c>
      <c r="C73" s="26">
        <v>1900</v>
      </c>
      <c r="D73" s="26">
        <v>2800</v>
      </c>
      <c r="E73" s="26">
        <v>1750</v>
      </c>
      <c r="F73" s="26">
        <v>120</v>
      </c>
      <c r="G73" s="26">
        <v>2800</v>
      </c>
      <c r="H73" s="26">
        <v>20</v>
      </c>
      <c r="I73" s="26">
        <v>5010</v>
      </c>
      <c r="J73" s="26">
        <v>16</v>
      </c>
      <c r="K73" s="26">
        <v>35</v>
      </c>
      <c r="L73" s="31">
        <v>22</v>
      </c>
      <c r="M73" s="26">
        <v>22</v>
      </c>
      <c r="N73" s="56">
        <v>2000</v>
      </c>
      <c r="O73" s="56">
        <v>3500</v>
      </c>
      <c r="P73" s="57">
        <f t="shared" si="9"/>
        <v>36.375124999999997</v>
      </c>
      <c r="Q73" s="56">
        <f t="shared" si="10"/>
        <v>227.72727272727272</v>
      </c>
      <c r="R73" s="57">
        <f t="shared" si="11"/>
        <v>1.0392892857142856E-2</v>
      </c>
      <c r="S73" s="57" t="str">
        <f t="shared" si="12"/>
        <v>III</v>
      </c>
      <c r="T73" s="57">
        <f t="shared" si="13"/>
        <v>0.63528064242202797</v>
      </c>
      <c r="U73" s="56">
        <f t="shared" si="17"/>
        <v>0.62125236325182542</v>
      </c>
      <c r="V73" s="56">
        <f t="shared" si="14"/>
        <v>1084.1287895866933</v>
      </c>
      <c r="W73" s="56">
        <f t="shared" si="15"/>
        <v>1080.9541174511564</v>
      </c>
      <c r="X73" s="56">
        <f t="shared" si="16"/>
        <v>-0.29283164196268224</v>
      </c>
      <c r="Y73" s="56"/>
      <c r="Z73" s="56"/>
      <c r="AA73" s="56"/>
      <c r="AB73" s="56"/>
      <c r="AC73" s="56"/>
      <c r="AD73" s="56"/>
    </row>
    <row r="74" spans="1:30">
      <c r="A74" s="37">
        <v>72</v>
      </c>
      <c r="B74" s="37" t="s">
        <v>400</v>
      </c>
      <c r="C74" s="34">
        <v>1900</v>
      </c>
      <c r="D74" s="34">
        <v>2800</v>
      </c>
      <c r="E74" s="34">
        <v>1750</v>
      </c>
      <c r="F74" s="34">
        <v>120</v>
      </c>
      <c r="G74" s="34">
        <v>2800</v>
      </c>
      <c r="H74" s="34">
        <v>20</v>
      </c>
      <c r="I74" s="34">
        <v>4923</v>
      </c>
      <c r="J74" s="34">
        <v>16</v>
      </c>
      <c r="K74" s="34">
        <v>35</v>
      </c>
      <c r="L74" s="31">
        <v>22</v>
      </c>
      <c r="M74" s="34">
        <v>22</v>
      </c>
      <c r="N74" s="56">
        <v>2000</v>
      </c>
      <c r="O74" s="56">
        <v>3500</v>
      </c>
      <c r="P74" s="57">
        <f t="shared" si="9"/>
        <v>35.294911249999998</v>
      </c>
      <c r="Q74" s="56">
        <f t="shared" si="10"/>
        <v>223.77272727272728</v>
      </c>
      <c r="R74" s="57">
        <f t="shared" si="11"/>
        <v>1.0084260357142856E-2</v>
      </c>
      <c r="S74" s="57" t="str">
        <f t="shared" si="12"/>
        <v>III</v>
      </c>
      <c r="T74" s="57">
        <f t="shared" si="13"/>
        <v>0.63839430214361259</v>
      </c>
      <c r="U74" s="56">
        <f t="shared" si="17"/>
        <v>0.62429726708050448</v>
      </c>
      <c r="V74" s="56">
        <f t="shared" si="14"/>
        <v>1084.0135351108243</v>
      </c>
      <c r="W74" s="56">
        <f t="shared" si="15"/>
        <v>1080.7913400499458</v>
      </c>
      <c r="X74" s="56">
        <f t="shared" si="16"/>
        <v>-0.29724675536906714</v>
      </c>
      <c r="Y74" s="56"/>
      <c r="Z74" s="56"/>
      <c r="AA74" s="56"/>
      <c r="AB74" s="56"/>
      <c r="AC74" s="56"/>
      <c r="AD74" s="56"/>
    </row>
    <row r="75" spans="1:30">
      <c r="A75" s="38">
        <v>73</v>
      </c>
      <c r="B75" s="38" t="s">
        <v>401</v>
      </c>
      <c r="C75" s="26">
        <v>1900</v>
      </c>
      <c r="D75" s="26">
        <v>2800</v>
      </c>
      <c r="E75" s="26">
        <v>1750</v>
      </c>
      <c r="F75" s="26">
        <v>120</v>
      </c>
      <c r="G75" s="26">
        <v>2800</v>
      </c>
      <c r="H75" s="26">
        <v>20</v>
      </c>
      <c r="I75" s="26">
        <v>4841</v>
      </c>
      <c r="J75" s="26">
        <v>16</v>
      </c>
      <c r="K75" s="26">
        <v>35</v>
      </c>
      <c r="L75" s="31">
        <v>22</v>
      </c>
      <c r="M75" s="26">
        <v>22</v>
      </c>
      <c r="N75" s="56">
        <v>2000</v>
      </c>
      <c r="O75" s="56">
        <v>3500</v>
      </c>
      <c r="P75" s="57">
        <f t="shared" si="9"/>
        <v>34.294101249999997</v>
      </c>
      <c r="Q75" s="56">
        <f t="shared" si="10"/>
        <v>220.04545454545453</v>
      </c>
      <c r="R75" s="57">
        <f t="shared" si="11"/>
        <v>9.7983146428571415E-3</v>
      </c>
      <c r="S75" s="57" t="str">
        <f t="shared" si="12"/>
        <v>III</v>
      </c>
      <c r="T75" s="57">
        <f t="shared" si="13"/>
        <v>0.64148401677977995</v>
      </c>
      <c r="U75" s="56">
        <f t="shared" si="17"/>
        <v>0.62731875457959563</v>
      </c>
      <c r="V75" s="56">
        <f t="shared" si="14"/>
        <v>1083.9025266388414</v>
      </c>
      <c r="W75" s="56">
        <f t="shared" si="15"/>
        <v>1080.6324472026708</v>
      </c>
      <c r="X75" s="56">
        <f t="shared" si="16"/>
        <v>-0.30169497309975246</v>
      </c>
      <c r="Y75" s="56"/>
      <c r="Z75" s="56"/>
      <c r="AA75" s="56"/>
      <c r="AB75" s="56"/>
      <c r="AC75" s="56"/>
      <c r="AD75" s="56"/>
    </row>
    <row r="76" spans="1:30">
      <c r="A76" s="38">
        <v>74</v>
      </c>
      <c r="B76" s="38" t="s">
        <v>402</v>
      </c>
      <c r="C76" s="26">
        <v>1900</v>
      </c>
      <c r="D76" s="26">
        <v>2800</v>
      </c>
      <c r="E76" s="26">
        <v>1750</v>
      </c>
      <c r="F76" s="26">
        <v>120</v>
      </c>
      <c r="G76" s="26">
        <v>2800</v>
      </c>
      <c r="H76" s="26">
        <v>20</v>
      </c>
      <c r="I76" s="26">
        <v>4762</v>
      </c>
      <c r="J76" s="26">
        <v>16</v>
      </c>
      <c r="K76" s="26">
        <v>35</v>
      </c>
      <c r="L76" s="31">
        <v>22</v>
      </c>
      <c r="M76" s="26">
        <v>22</v>
      </c>
      <c r="N76" s="56">
        <v>2000</v>
      </c>
      <c r="O76" s="56">
        <v>3500</v>
      </c>
      <c r="P76" s="57">
        <f t="shared" si="9"/>
        <v>33.345804999999999</v>
      </c>
      <c r="Q76" s="56">
        <f t="shared" si="10"/>
        <v>216.45454545454547</v>
      </c>
      <c r="R76" s="57">
        <f t="shared" si="11"/>
        <v>9.5273728571428559E-3</v>
      </c>
      <c r="S76" s="57" t="str">
        <f t="shared" si="12"/>
        <v>III</v>
      </c>
      <c r="T76" s="57">
        <f t="shared" si="13"/>
        <v>0.64461291658753117</v>
      </c>
      <c r="U76" s="56">
        <f t="shared" si="17"/>
        <v>0.63037856196256992</v>
      </c>
      <c r="V76" s="56">
        <f t="shared" si="14"/>
        <v>1083.8233913622967</v>
      </c>
      <c r="W76" s="56">
        <f t="shared" si="15"/>
        <v>1080.5052613175785</v>
      </c>
      <c r="X76" s="56">
        <f t="shared" si="16"/>
        <v>-0.30615043660826224</v>
      </c>
      <c r="Y76" s="56"/>
      <c r="Z76" s="56"/>
      <c r="AA76" s="56"/>
      <c r="AB76" s="56"/>
      <c r="AC76" s="56"/>
      <c r="AD76" s="56"/>
    </row>
    <row r="77" spans="1:30">
      <c r="A77" s="38">
        <v>75</v>
      </c>
      <c r="B77" s="38" t="s">
        <v>403</v>
      </c>
      <c r="C77" s="26">
        <v>1900</v>
      </c>
      <c r="D77" s="26">
        <v>2800</v>
      </c>
      <c r="E77" s="26">
        <v>1750</v>
      </c>
      <c r="F77" s="26">
        <v>120</v>
      </c>
      <c r="G77" s="26">
        <v>2800</v>
      </c>
      <c r="H77" s="26">
        <v>20</v>
      </c>
      <c r="I77" s="26">
        <v>4687</v>
      </c>
      <c r="J77" s="26">
        <v>16</v>
      </c>
      <c r="K77" s="26">
        <v>35</v>
      </c>
      <c r="L77" s="31">
        <v>22</v>
      </c>
      <c r="M77" s="26">
        <v>22</v>
      </c>
      <c r="N77" s="56">
        <v>2000</v>
      </c>
      <c r="O77" s="56">
        <v>3500</v>
      </c>
      <c r="P77" s="57">
        <f t="shared" si="9"/>
        <v>32.459961249999999</v>
      </c>
      <c r="Q77" s="56">
        <f t="shared" si="10"/>
        <v>213.04545454545453</v>
      </c>
      <c r="R77" s="57">
        <f t="shared" si="11"/>
        <v>9.2742746428571433E-3</v>
      </c>
      <c r="S77" s="57" t="str">
        <f t="shared" si="12"/>
        <v>III</v>
      </c>
      <c r="T77" s="57">
        <f t="shared" si="13"/>
        <v>0.64773098045808686</v>
      </c>
      <c r="U77" s="56">
        <f t="shared" si="17"/>
        <v>0.6334277726877191</v>
      </c>
      <c r="V77" s="56">
        <f t="shared" si="14"/>
        <v>1083.7678749670908</v>
      </c>
      <c r="W77" s="56">
        <f t="shared" si="15"/>
        <v>1080.4019285573459</v>
      </c>
      <c r="X77" s="56">
        <f t="shared" si="16"/>
        <v>-0.31057816784310954</v>
      </c>
      <c r="Y77" s="56"/>
      <c r="Z77" s="56"/>
      <c r="AA77" s="56"/>
      <c r="AB77" s="56"/>
      <c r="AC77" s="56"/>
      <c r="AD77" s="56"/>
    </row>
    <row r="78" spans="1:30">
      <c r="A78" s="37">
        <v>76</v>
      </c>
      <c r="B78" s="37" t="s">
        <v>404</v>
      </c>
      <c r="C78" s="34">
        <v>1900</v>
      </c>
      <c r="D78" s="34">
        <v>2800</v>
      </c>
      <c r="E78" s="34">
        <v>1750</v>
      </c>
      <c r="F78" s="34">
        <v>120</v>
      </c>
      <c r="G78" s="34">
        <v>2800</v>
      </c>
      <c r="H78" s="34">
        <v>20</v>
      </c>
      <c r="I78" s="34">
        <v>4616</v>
      </c>
      <c r="J78" s="34">
        <v>16</v>
      </c>
      <c r="K78" s="34">
        <v>35</v>
      </c>
      <c r="L78" s="31">
        <v>22</v>
      </c>
      <c r="M78" s="34">
        <v>22</v>
      </c>
      <c r="N78" s="56">
        <v>2000</v>
      </c>
      <c r="O78" s="56">
        <v>3500</v>
      </c>
      <c r="P78" s="57">
        <f t="shared" si="9"/>
        <v>31.634319999999999</v>
      </c>
      <c r="Q78" s="56">
        <f t="shared" si="10"/>
        <v>209.81818181818181</v>
      </c>
      <c r="R78" s="57">
        <f t="shared" si="11"/>
        <v>9.038377142857143E-3</v>
      </c>
      <c r="S78" s="57" t="str">
        <f t="shared" si="12"/>
        <v>III</v>
      </c>
      <c r="T78" s="57">
        <f t="shared" si="13"/>
        <v>0.65082388450047057</v>
      </c>
      <c r="U78" s="56">
        <f t="shared" si="17"/>
        <v>0.63645237916449793</v>
      </c>
      <c r="V78" s="56">
        <f t="shared" si="14"/>
        <v>1083.7473227522387</v>
      </c>
      <c r="W78" s="56">
        <f t="shared" si="15"/>
        <v>1080.3345011398076</v>
      </c>
      <c r="X78" s="56">
        <f t="shared" si="16"/>
        <v>-0.31490934655912783</v>
      </c>
      <c r="Y78" s="56"/>
      <c r="Z78" s="56"/>
      <c r="AA78" s="56"/>
      <c r="AB78" s="56"/>
      <c r="AC78" s="56"/>
      <c r="AD78" s="56"/>
    </row>
    <row r="79" spans="1:30">
      <c r="A79" s="38">
        <v>77</v>
      </c>
      <c r="B79" s="38" t="s">
        <v>405</v>
      </c>
      <c r="C79" s="26">
        <v>1900</v>
      </c>
      <c r="D79" s="26">
        <v>2800</v>
      </c>
      <c r="E79" s="26">
        <v>1750</v>
      </c>
      <c r="F79" s="26">
        <v>120</v>
      </c>
      <c r="G79" s="26">
        <v>2800</v>
      </c>
      <c r="H79" s="26">
        <v>20</v>
      </c>
      <c r="I79" s="26">
        <v>4550</v>
      </c>
      <c r="J79" s="26">
        <v>16</v>
      </c>
      <c r="K79" s="26">
        <v>35</v>
      </c>
      <c r="L79" s="31">
        <v>22</v>
      </c>
      <c r="M79" s="26">
        <v>22</v>
      </c>
      <c r="N79" s="56">
        <v>2000</v>
      </c>
      <c r="O79" s="56">
        <v>3500</v>
      </c>
      <c r="P79" s="57">
        <f t="shared" si="9"/>
        <v>30.878125000000001</v>
      </c>
      <c r="Q79" s="56">
        <f t="shared" si="10"/>
        <v>206.81818181818181</v>
      </c>
      <c r="R79" s="57">
        <f t="shared" si="11"/>
        <v>8.8223214285714294E-3</v>
      </c>
      <c r="S79" s="57" t="str">
        <f t="shared" si="12"/>
        <v>III</v>
      </c>
      <c r="T79" s="57">
        <f t="shared" si="13"/>
        <v>0.65382979453827195</v>
      </c>
      <c r="U79" s="56">
        <f t="shared" si="17"/>
        <v>0.63939191263995021</v>
      </c>
      <c r="V79" s="56">
        <f t="shared" si="14"/>
        <v>1083.7153600218312</v>
      </c>
      <c r="W79" s="56">
        <f t="shared" si="15"/>
        <v>1080.2556712625048</v>
      </c>
      <c r="X79" s="56">
        <f t="shared" si="16"/>
        <v>-0.31924330750988528</v>
      </c>
      <c r="Y79" s="56"/>
      <c r="Z79" s="56"/>
      <c r="AA79" s="56"/>
      <c r="AB79" s="56"/>
      <c r="AC79" s="56"/>
      <c r="AD79" s="56"/>
    </row>
    <row r="80" spans="1:30">
      <c r="A80" s="38">
        <v>78</v>
      </c>
      <c r="B80" s="38" t="s">
        <v>406</v>
      </c>
      <c r="C80" s="26">
        <v>1900</v>
      </c>
      <c r="D80" s="26">
        <v>2800</v>
      </c>
      <c r="E80" s="26">
        <v>1750</v>
      </c>
      <c r="F80" s="26">
        <v>120</v>
      </c>
      <c r="G80" s="26">
        <v>2800</v>
      </c>
      <c r="H80" s="26">
        <v>20</v>
      </c>
      <c r="I80" s="26">
        <v>4486</v>
      </c>
      <c r="J80" s="26">
        <v>16</v>
      </c>
      <c r="K80" s="26">
        <v>35</v>
      </c>
      <c r="L80" s="31">
        <v>22</v>
      </c>
      <c r="M80" s="26">
        <v>22</v>
      </c>
      <c r="N80" s="56">
        <v>2000</v>
      </c>
      <c r="O80" s="56">
        <v>3500</v>
      </c>
      <c r="P80" s="57">
        <f t="shared" si="9"/>
        <v>30.155245000000001</v>
      </c>
      <c r="Q80" s="56">
        <f t="shared" si="10"/>
        <v>203.90909090909091</v>
      </c>
      <c r="R80" s="57">
        <f t="shared" si="11"/>
        <v>8.6157842857142852E-3</v>
      </c>
      <c r="S80" s="57" t="str">
        <f t="shared" si="12"/>
        <v>III</v>
      </c>
      <c r="T80" s="57">
        <f t="shared" si="13"/>
        <v>0.65687223051721988</v>
      </c>
      <c r="U80" s="56">
        <f t="shared" si="17"/>
        <v>0.6423671654900257</v>
      </c>
      <c r="V80" s="56">
        <f t="shared" si="14"/>
        <v>1083.7391569540484</v>
      </c>
      <c r="W80" s="56">
        <f t="shared" si="15"/>
        <v>1080.2335563355441</v>
      </c>
      <c r="X80" s="56">
        <f t="shared" si="16"/>
        <v>-0.32347272828612694</v>
      </c>
      <c r="Y80" s="56"/>
      <c r="Z80" s="56"/>
      <c r="AA80" s="56"/>
      <c r="AB80" s="56"/>
      <c r="AC80" s="56"/>
      <c r="AD80" s="56"/>
    </row>
    <row r="81" spans="1:30">
      <c r="A81" s="38">
        <v>79</v>
      </c>
      <c r="B81" s="38" t="s">
        <v>407</v>
      </c>
      <c r="C81" s="26">
        <v>1900</v>
      </c>
      <c r="D81" s="26">
        <v>2800</v>
      </c>
      <c r="E81" s="26">
        <v>1750</v>
      </c>
      <c r="F81" s="26">
        <v>120</v>
      </c>
      <c r="G81" s="26">
        <v>2800</v>
      </c>
      <c r="H81" s="26">
        <v>20</v>
      </c>
      <c r="I81" s="26">
        <v>4427</v>
      </c>
      <c r="J81" s="26">
        <v>16</v>
      </c>
      <c r="K81" s="26">
        <v>35</v>
      </c>
      <c r="L81" s="31">
        <v>22</v>
      </c>
      <c r="M81" s="26">
        <v>22</v>
      </c>
      <c r="N81" s="56">
        <v>2000</v>
      </c>
      <c r="O81" s="56">
        <v>3500</v>
      </c>
      <c r="P81" s="57">
        <f t="shared" si="9"/>
        <v>29.497911249999998</v>
      </c>
      <c r="Q81" s="56">
        <f t="shared" si="10"/>
        <v>201.22727272727272</v>
      </c>
      <c r="R81" s="57">
        <f t="shared" si="11"/>
        <v>8.4279746428571421E-3</v>
      </c>
      <c r="S81" s="57" t="str">
        <f t="shared" si="12"/>
        <v>III</v>
      </c>
      <c r="T81" s="57">
        <f t="shared" si="13"/>
        <v>0.65979466591477542</v>
      </c>
      <c r="U81" s="56">
        <f t="shared" si="17"/>
        <v>0.64522506761381826</v>
      </c>
      <c r="V81" s="56">
        <f t="shared" si="14"/>
        <v>1083.7723764658999</v>
      </c>
      <c r="W81" s="56">
        <f t="shared" si="15"/>
        <v>1080.2223542038575</v>
      </c>
      <c r="X81" s="56">
        <f t="shared" si="16"/>
        <v>-0.32756161156448099</v>
      </c>
      <c r="Y81" s="56"/>
      <c r="Z81" s="56"/>
      <c r="AA81" s="56"/>
      <c r="AB81" s="56"/>
      <c r="AC81" s="56"/>
      <c r="AD81" s="56"/>
    </row>
    <row r="82" spans="1:30">
      <c r="A82" s="37">
        <v>80</v>
      </c>
      <c r="B82" s="37" t="s">
        <v>408</v>
      </c>
      <c r="C82" s="34">
        <v>1900</v>
      </c>
      <c r="D82" s="34">
        <v>2800</v>
      </c>
      <c r="E82" s="34">
        <v>1750</v>
      </c>
      <c r="F82" s="34">
        <v>120</v>
      </c>
      <c r="G82" s="34">
        <v>2800</v>
      </c>
      <c r="H82" s="34">
        <v>20</v>
      </c>
      <c r="I82" s="34">
        <v>4372</v>
      </c>
      <c r="J82" s="34">
        <v>16</v>
      </c>
      <c r="K82" s="34">
        <v>35</v>
      </c>
      <c r="L82" s="31">
        <v>22</v>
      </c>
      <c r="M82" s="34">
        <v>22</v>
      </c>
      <c r="N82" s="56">
        <v>2000</v>
      </c>
      <c r="O82" s="56">
        <v>3500</v>
      </c>
      <c r="P82" s="57">
        <f t="shared" si="9"/>
        <v>28.892980000000005</v>
      </c>
      <c r="Q82" s="56">
        <f t="shared" si="10"/>
        <v>198.72727272727272</v>
      </c>
      <c r="R82" s="57">
        <f t="shared" si="11"/>
        <v>8.2551371428571437E-3</v>
      </c>
      <c r="S82" s="57" t="str">
        <f t="shared" si="12"/>
        <v>III</v>
      </c>
      <c r="T82" s="57">
        <f t="shared" si="13"/>
        <v>0.66262620943174833</v>
      </c>
      <c r="U82" s="56">
        <f t="shared" si="17"/>
        <v>0.64799408493325528</v>
      </c>
      <c r="V82" s="56">
        <f t="shared" si="14"/>
        <v>1083.8117945280287</v>
      </c>
      <c r="W82" s="56">
        <f t="shared" si="15"/>
        <v>1080.2183239078088</v>
      </c>
      <c r="X82" s="56">
        <f t="shared" si="16"/>
        <v>-0.33155854534548534</v>
      </c>
      <c r="Y82" s="56"/>
      <c r="Z82" s="56"/>
      <c r="AA82" s="56"/>
      <c r="AB82" s="56"/>
      <c r="AC82" s="56"/>
      <c r="AD82" s="56"/>
    </row>
    <row r="83" spans="1:30">
      <c r="A83" s="38">
        <v>81</v>
      </c>
      <c r="B83" s="38" t="s">
        <v>409</v>
      </c>
      <c r="C83" s="26">
        <v>1900</v>
      </c>
      <c r="D83" s="26">
        <v>2800</v>
      </c>
      <c r="E83" s="26">
        <v>1750</v>
      </c>
      <c r="F83" s="26">
        <v>120</v>
      </c>
      <c r="G83" s="26">
        <v>2800</v>
      </c>
      <c r="H83" s="26">
        <v>20</v>
      </c>
      <c r="I83" s="26">
        <v>4320</v>
      </c>
      <c r="J83" s="26">
        <v>16</v>
      </c>
      <c r="K83" s="26">
        <v>35</v>
      </c>
      <c r="L83" s="31">
        <v>22</v>
      </c>
      <c r="M83" s="26">
        <v>22</v>
      </c>
      <c r="N83" s="56">
        <v>2000</v>
      </c>
      <c r="O83" s="56">
        <v>3500</v>
      </c>
      <c r="P83" s="57">
        <f t="shared" si="9"/>
        <v>28.327999999999999</v>
      </c>
      <c r="Q83" s="56">
        <f t="shared" si="10"/>
        <v>196.36363636363637</v>
      </c>
      <c r="R83" s="57">
        <f t="shared" si="11"/>
        <v>8.0937142857142857E-3</v>
      </c>
      <c r="S83" s="57" t="str">
        <f t="shared" si="12"/>
        <v>III</v>
      </c>
      <c r="T83" s="57">
        <f t="shared" si="13"/>
        <v>0.66540337546541251</v>
      </c>
      <c r="U83" s="56">
        <f t="shared" si="17"/>
        <v>0.65070992553399953</v>
      </c>
      <c r="V83" s="56">
        <f t="shared" si="14"/>
        <v>1083.8810326020957</v>
      </c>
      <c r="W83" s="56">
        <f t="shared" si="15"/>
        <v>1080.2455907596682</v>
      </c>
      <c r="X83" s="56">
        <f t="shared" si="16"/>
        <v>-0.33540967440862701</v>
      </c>
      <c r="Y83" s="56"/>
      <c r="Z83" s="56"/>
      <c r="AA83" s="56"/>
      <c r="AB83" s="56"/>
      <c r="AC83" s="56"/>
      <c r="AD83" s="56"/>
    </row>
    <row r="84" spans="1:30">
      <c r="A84" s="38">
        <v>82</v>
      </c>
      <c r="B84" s="38" t="s">
        <v>410</v>
      </c>
      <c r="C84" s="26">
        <v>1900</v>
      </c>
      <c r="D84" s="26">
        <v>2800</v>
      </c>
      <c r="E84" s="26">
        <v>1750</v>
      </c>
      <c r="F84" s="26">
        <v>120</v>
      </c>
      <c r="G84" s="26">
        <v>2800</v>
      </c>
      <c r="H84" s="26">
        <v>20</v>
      </c>
      <c r="I84" s="26">
        <v>4272</v>
      </c>
      <c r="J84" s="26">
        <v>16</v>
      </c>
      <c r="K84" s="26">
        <v>35</v>
      </c>
      <c r="L84" s="31">
        <v>22</v>
      </c>
      <c r="M84" s="26">
        <v>22</v>
      </c>
      <c r="N84" s="56">
        <v>2000</v>
      </c>
      <c r="O84" s="56">
        <v>3500</v>
      </c>
      <c r="P84" s="57">
        <f t="shared" si="9"/>
        <v>27.812480000000001</v>
      </c>
      <c r="Q84" s="56">
        <f t="shared" si="10"/>
        <v>194.18181818181819</v>
      </c>
      <c r="R84" s="57">
        <f t="shared" si="11"/>
        <v>7.9464228571428566E-3</v>
      </c>
      <c r="S84" s="57" t="str">
        <f t="shared" si="12"/>
        <v>III</v>
      </c>
      <c r="T84" s="57">
        <f t="shared" si="13"/>
        <v>0.66805744384527344</v>
      </c>
      <c r="U84" s="56">
        <f t="shared" si="17"/>
        <v>0.65330538672566185</v>
      </c>
      <c r="V84" s="56">
        <f t="shared" si="14"/>
        <v>1083.9654652755339</v>
      </c>
      <c r="W84" s="56">
        <f t="shared" si="15"/>
        <v>1080.2900918587736</v>
      </c>
      <c r="X84" s="56">
        <f t="shared" si="16"/>
        <v>-0.3390673904750322</v>
      </c>
      <c r="Y84" s="56"/>
      <c r="Z84" s="56"/>
      <c r="AA84" s="56"/>
      <c r="AB84" s="56"/>
      <c r="AC84" s="56"/>
      <c r="AD84" s="56"/>
    </row>
    <row r="85" spans="1:30">
      <c r="A85" s="38">
        <v>83</v>
      </c>
      <c r="B85" s="38" t="s">
        <v>411</v>
      </c>
      <c r="C85" s="26">
        <v>1900</v>
      </c>
      <c r="D85" s="26">
        <v>2800</v>
      </c>
      <c r="E85" s="26">
        <v>1750</v>
      </c>
      <c r="F85" s="26">
        <v>120</v>
      </c>
      <c r="G85" s="26">
        <v>2800</v>
      </c>
      <c r="H85" s="26">
        <v>20</v>
      </c>
      <c r="I85" s="26">
        <v>4228</v>
      </c>
      <c r="J85" s="26">
        <v>16</v>
      </c>
      <c r="K85" s="26">
        <v>35</v>
      </c>
      <c r="L85" s="31">
        <v>22</v>
      </c>
      <c r="M85" s="26">
        <v>22</v>
      </c>
      <c r="N85" s="56">
        <v>2000</v>
      </c>
      <c r="O85" s="56">
        <v>3500</v>
      </c>
      <c r="P85" s="57">
        <f t="shared" si="9"/>
        <v>27.34498</v>
      </c>
      <c r="Q85" s="56">
        <f t="shared" si="10"/>
        <v>192.18181818181819</v>
      </c>
      <c r="R85" s="57">
        <f t="shared" si="11"/>
        <v>7.8128514285714292E-3</v>
      </c>
      <c r="S85" s="57" t="str">
        <f t="shared" si="12"/>
        <v>III</v>
      </c>
      <c r="T85" s="57">
        <f t="shared" si="13"/>
        <v>0.67057017335820912</v>
      </c>
      <c r="U85" s="56">
        <f t="shared" si="17"/>
        <v>0.65576263009793312</v>
      </c>
      <c r="V85" s="56">
        <f t="shared" si="14"/>
        <v>1084.0624970137333</v>
      </c>
      <c r="W85" s="56">
        <f t="shared" si="15"/>
        <v>1080.3495216948802</v>
      </c>
      <c r="X85" s="56">
        <f t="shared" si="16"/>
        <v>-0.34250565157278301</v>
      </c>
      <c r="Y85" s="56"/>
      <c r="Z85" s="56"/>
      <c r="AA85" s="56"/>
      <c r="AB85" s="56"/>
      <c r="AC85" s="56"/>
      <c r="AD85" s="56"/>
    </row>
    <row r="86" spans="1:30">
      <c r="A86" s="37">
        <v>84</v>
      </c>
      <c r="B86" s="37" t="s">
        <v>412</v>
      </c>
      <c r="C86" s="34">
        <v>1900</v>
      </c>
      <c r="D86" s="34">
        <v>2800</v>
      </c>
      <c r="E86" s="34">
        <v>1750</v>
      </c>
      <c r="F86" s="34">
        <v>120</v>
      </c>
      <c r="G86" s="34">
        <v>2800</v>
      </c>
      <c r="H86" s="34">
        <v>20</v>
      </c>
      <c r="I86" s="34">
        <v>4188</v>
      </c>
      <c r="J86" s="34">
        <v>16</v>
      </c>
      <c r="K86" s="34">
        <v>35</v>
      </c>
      <c r="L86" s="31">
        <v>22</v>
      </c>
      <c r="M86" s="34">
        <v>22</v>
      </c>
      <c r="N86" s="56">
        <v>2000</v>
      </c>
      <c r="O86" s="56">
        <v>3500</v>
      </c>
      <c r="P86" s="57">
        <f t="shared" si="9"/>
        <v>26.924179999999996</v>
      </c>
      <c r="Q86" s="56">
        <f t="shared" si="10"/>
        <v>190.36363636363637</v>
      </c>
      <c r="R86" s="57">
        <f t="shared" si="11"/>
        <v>7.6926228571428563E-3</v>
      </c>
      <c r="S86" s="57" t="str">
        <f t="shared" si="12"/>
        <v>III</v>
      </c>
      <c r="T86" s="57">
        <f t="shared" si="13"/>
        <v>0.67292353677863559</v>
      </c>
      <c r="U86" s="56">
        <f t="shared" si="17"/>
        <v>0.65806402650276663</v>
      </c>
      <c r="V86" s="56">
        <f t="shared" si="14"/>
        <v>1084.1693131896795</v>
      </c>
      <c r="W86" s="56">
        <f t="shared" si="15"/>
        <v>1080.4213508335697</v>
      </c>
      <c r="X86" s="56">
        <f t="shared" si="16"/>
        <v>-0.34569898912589103</v>
      </c>
      <c r="Y86" s="56"/>
      <c r="Z86" s="56"/>
      <c r="AA86" s="56"/>
      <c r="AB86" s="56"/>
      <c r="AC86" s="56"/>
      <c r="AD86" s="56"/>
    </row>
    <row r="87" spans="1:30">
      <c r="A87" s="38">
        <v>85</v>
      </c>
      <c r="B87" s="38" t="s">
        <v>413</v>
      </c>
      <c r="C87" s="26">
        <v>1900</v>
      </c>
      <c r="D87" s="26">
        <v>2800</v>
      </c>
      <c r="E87" s="26">
        <v>1750</v>
      </c>
      <c r="F87" s="26">
        <v>120</v>
      </c>
      <c r="G87" s="26">
        <v>2800</v>
      </c>
      <c r="H87" s="26">
        <v>20</v>
      </c>
      <c r="I87" s="26">
        <v>4152</v>
      </c>
      <c r="J87" s="26">
        <v>16</v>
      </c>
      <c r="K87" s="26">
        <v>35</v>
      </c>
      <c r="L87" s="31">
        <v>22</v>
      </c>
      <c r="M87" s="26">
        <v>22</v>
      </c>
      <c r="N87" s="56">
        <v>2000</v>
      </c>
      <c r="O87" s="56">
        <v>3500</v>
      </c>
      <c r="P87" s="57">
        <f t="shared" si="9"/>
        <v>26.54888</v>
      </c>
      <c r="Q87" s="56">
        <f t="shared" si="10"/>
        <v>188.72727272727272</v>
      </c>
      <c r="R87" s="57">
        <f t="shared" si="11"/>
        <v>7.5853942857142861E-3</v>
      </c>
      <c r="S87" s="57" t="str">
        <f t="shared" si="12"/>
        <v>III</v>
      </c>
      <c r="T87" s="57">
        <f t="shared" si="13"/>
        <v>0.67509997878577199</v>
      </c>
      <c r="U87" s="56">
        <f t="shared" si="17"/>
        <v>0.66019240827630687</v>
      </c>
      <c r="V87" s="56">
        <f t="shared" si="14"/>
        <v>1084.2829485893278</v>
      </c>
      <c r="W87" s="56">
        <f t="shared" si="15"/>
        <v>1080.5028900917016</v>
      </c>
      <c r="X87" s="56">
        <f t="shared" si="16"/>
        <v>-0.34862288506373179</v>
      </c>
      <c r="Y87" s="56"/>
      <c r="Z87" s="56"/>
      <c r="AA87" s="56"/>
      <c r="AB87" s="56"/>
      <c r="AC87" s="56"/>
      <c r="AD87" s="56"/>
    </row>
    <row r="88" spans="1:30">
      <c r="A88" s="38">
        <v>86</v>
      </c>
      <c r="B88" s="38" t="s">
        <v>414</v>
      </c>
      <c r="C88" s="26">
        <v>1900</v>
      </c>
      <c r="D88" s="26">
        <v>2800</v>
      </c>
      <c r="E88" s="26">
        <v>1750</v>
      </c>
      <c r="F88" s="26">
        <v>120</v>
      </c>
      <c r="G88" s="26">
        <v>2800</v>
      </c>
      <c r="H88" s="26">
        <v>20</v>
      </c>
      <c r="I88" s="26">
        <v>4120</v>
      </c>
      <c r="J88" s="26">
        <v>16</v>
      </c>
      <c r="K88" s="26">
        <v>35</v>
      </c>
      <c r="L88" s="31">
        <v>22</v>
      </c>
      <c r="M88" s="26">
        <v>22</v>
      </c>
      <c r="N88" s="56">
        <v>2000</v>
      </c>
      <c r="O88" s="56">
        <v>3500</v>
      </c>
      <c r="P88" s="57">
        <f t="shared" si="9"/>
        <v>26.218</v>
      </c>
      <c r="Q88" s="56">
        <f t="shared" si="10"/>
        <v>187.27272727272728</v>
      </c>
      <c r="R88" s="57">
        <f t="shared" si="11"/>
        <v>7.4908571428571429E-3</v>
      </c>
      <c r="S88" s="57" t="str">
        <f t="shared" si="12"/>
        <v>III</v>
      </c>
      <c r="T88" s="57">
        <f t="shared" si="13"/>
        <v>0.67708268316658349</v>
      </c>
      <c r="U88" s="56">
        <f t="shared" si="17"/>
        <v>0.66213133054145401</v>
      </c>
      <c r="V88" s="56">
        <f t="shared" si="14"/>
        <v>1084.3864845850592</v>
      </c>
      <c r="W88" s="56">
        <f t="shared" si="15"/>
        <v>1080.5768405918984</v>
      </c>
      <c r="X88" s="56">
        <f t="shared" si="16"/>
        <v>-0.3513179154587604</v>
      </c>
      <c r="Y88" s="56"/>
      <c r="Z88" s="56"/>
      <c r="AA88" s="56"/>
      <c r="AB88" s="56"/>
      <c r="AC88" s="56"/>
      <c r="AD88" s="56"/>
    </row>
    <row r="89" spans="1:30">
      <c r="A89" s="38">
        <v>87</v>
      </c>
      <c r="B89" s="38" t="s">
        <v>415</v>
      </c>
      <c r="C89" s="26">
        <v>1900</v>
      </c>
      <c r="D89" s="26">
        <v>2800</v>
      </c>
      <c r="E89" s="26">
        <v>1750</v>
      </c>
      <c r="F89" s="26">
        <v>120</v>
      </c>
      <c r="G89" s="26">
        <v>2800</v>
      </c>
      <c r="H89" s="26">
        <v>20</v>
      </c>
      <c r="I89" s="26">
        <v>4091</v>
      </c>
      <c r="J89" s="26">
        <v>16</v>
      </c>
      <c r="K89" s="26">
        <v>35</v>
      </c>
      <c r="L89" s="31">
        <v>22</v>
      </c>
      <c r="M89" s="26">
        <v>22</v>
      </c>
      <c r="N89" s="56">
        <v>2000</v>
      </c>
      <c r="O89" s="56">
        <v>3500</v>
      </c>
      <c r="P89" s="57">
        <f t="shared" si="9"/>
        <v>25.92035125</v>
      </c>
      <c r="Q89" s="56">
        <f t="shared" si="10"/>
        <v>185.95454545454547</v>
      </c>
      <c r="R89" s="57">
        <f t="shared" si="11"/>
        <v>7.4058146428571427E-3</v>
      </c>
      <c r="S89" s="57" t="str">
        <f t="shared" si="12"/>
        <v>III</v>
      </c>
      <c r="T89" s="57">
        <f t="shared" si="13"/>
        <v>0.6789198442738178</v>
      </c>
      <c r="U89" s="56">
        <f t="shared" si="17"/>
        <v>0.66392792342234552</v>
      </c>
      <c r="V89" s="56">
        <f t="shared" si="14"/>
        <v>1084.5209056715109</v>
      </c>
      <c r="W89" s="56">
        <f t="shared" si="15"/>
        <v>1080.6853439740337</v>
      </c>
      <c r="X89" s="56">
        <f t="shared" si="16"/>
        <v>-0.35366415505862164</v>
      </c>
      <c r="Y89" s="56"/>
      <c r="Z89" s="56"/>
      <c r="AA89" s="56"/>
      <c r="AB89" s="56"/>
      <c r="AC89" s="56"/>
      <c r="AD89" s="56"/>
    </row>
    <row r="90" spans="1:30">
      <c r="A90" s="37">
        <v>88</v>
      </c>
      <c r="B90" s="37" t="s">
        <v>416</v>
      </c>
      <c r="C90" s="34">
        <v>1900</v>
      </c>
      <c r="D90" s="34">
        <v>2800</v>
      </c>
      <c r="E90" s="34">
        <v>1750</v>
      </c>
      <c r="F90" s="34">
        <v>120</v>
      </c>
      <c r="G90" s="34">
        <v>2800</v>
      </c>
      <c r="H90" s="34">
        <v>20</v>
      </c>
      <c r="I90" s="34">
        <v>4067</v>
      </c>
      <c r="J90" s="34">
        <v>16</v>
      </c>
      <c r="K90" s="34">
        <v>40</v>
      </c>
      <c r="L90" s="31">
        <v>35</v>
      </c>
      <c r="M90" s="34">
        <v>35</v>
      </c>
      <c r="N90" s="56">
        <v>2000</v>
      </c>
      <c r="O90" s="56">
        <v>3500</v>
      </c>
      <c r="P90" s="57">
        <f t="shared" si="9"/>
        <v>25.675611249999999</v>
      </c>
      <c r="Q90" s="56">
        <f t="shared" si="10"/>
        <v>116.2</v>
      </c>
      <c r="R90" s="57">
        <f t="shared" si="11"/>
        <v>7.3358889285714286E-3</v>
      </c>
      <c r="S90" s="57">
        <f t="shared" si="12"/>
        <v>1</v>
      </c>
      <c r="T90" s="57">
        <f t="shared" si="13"/>
        <v>1</v>
      </c>
      <c r="U90" s="56">
        <f t="shared" si="17"/>
        <v>1</v>
      </c>
      <c r="V90" s="56">
        <f t="shared" si="14"/>
        <v>1166.6666666666667</v>
      </c>
      <c r="W90" s="56">
        <f t="shared" si="15"/>
        <v>1166.6666666666667</v>
      </c>
      <c r="X90" s="56">
        <f t="shared" si="16"/>
        <v>0</v>
      </c>
      <c r="Y90" s="56"/>
      <c r="Z90" s="56"/>
      <c r="AA90" s="56"/>
      <c r="AB90" s="56"/>
      <c r="AC90" s="56"/>
      <c r="AD90" s="56"/>
    </row>
    <row r="91" spans="1:30">
      <c r="A91" s="38">
        <v>89</v>
      </c>
      <c r="B91" s="38" t="s">
        <v>417</v>
      </c>
      <c r="C91" s="26">
        <v>1900</v>
      </c>
      <c r="D91" s="26">
        <v>2800</v>
      </c>
      <c r="E91" s="26">
        <v>1750</v>
      </c>
      <c r="F91" s="26">
        <v>120</v>
      </c>
      <c r="G91" s="26">
        <v>2800</v>
      </c>
      <c r="H91" s="26">
        <v>20</v>
      </c>
      <c r="I91" s="26">
        <v>4046</v>
      </c>
      <c r="J91" s="26">
        <v>16</v>
      </c>
      <c r="K91" s="26">
        <v>40</v>
      </c>
      <c r="L91" s="31">
        <v>35</v>
      </c>
      <c r="M91" s="26">
        <v>35</v>
      </c>
      <c r="N91" s="56">
        <v>2000</v>
      </c>
      <c r="O91" s="56">
        <v>3500</v>
      </c>
      <c r="P91" s="57">
        <f t="shared" si="9"/>
        <v>25.462645000000002</v>
      </c>
      <c r="Q91" s="56">
        <f t="shared" si="10"/>
        <v>115.6</v>
      </c>
      <c r="R91" s="57">
        <f t="shared" si="11"/>
        <v>7.2750414285714295E-3</v>
      </c>
      <c r="S91" s="57">
        <f t="shared" si="12"/>
        <v>1</v>
      </c>
      <c r="T91" s="57">
        <f t="shared" si="13"/>
        <v>1</v>
      </c>
      <c r="U91" s="56">
        <f t="shared" si="17"/>
        <v>1</v>
      </c>
      <c r="V91" s="56">
        <f t="shared" si="14"/>
        <v>1166.6666666666667</v>
      </c>
      <c r="W91" s="56">
        <f t="shared" si="15"/>
        <v>1166.6666666666667</v>
      </c>
      <c r="X91" s="56">
        <f t="shared" si="16"/>
        <v>0</v>
      </c>
      <c r="Y91" s="56"/>
      <c r="Z91" s="56"/>
      <c r="AA91" s="56"/>
      <c r="AB91" s="56"/>
      <c r="AC91" s="56"/>
      <c r="AD91" s="56"/>
    </row>
    <row r="92" spans="1:30">
      <c r="A92" s="38">
        <v>90</v>
      </c>
      <c r="B92" s="38" t="s">
        <v>418</v>
      </c>
      <c r="C92" s="26">
        <v>1900</v>
      </c>
      <c r="D92" s="26">
        <v>2800</v>
      </c>
      <c r="E92" s="26">
        <v>1750</v>
      </c>
      <c r="F92" s="26">
        <v>120</v>
      </c>
      <c r="G92" s="26">
        <v>2800</v>
      </c>
      <c r="H92" s="26">
        <v>20</v>
      </c>
      <c r="I92" s="26">
        <v>4029</v>
      </c>
      <c r="J92" s="26">
        <v>16</v>
      </c>
      <c r="K92" s="26">
        <v>40</v>
      </c>
      <c r="L92" s="31">
        <v>35</v>
      </c>
      <c r="M92" s="26">
        <v>35</v>
      </c>
      <c r="N92" s="56">
        <v>2000</v>
      </c>
      <c r="O92" s="56">
        <v>3500</v>
      </c>
      <c r="P92" s="57">
        <f t="shared" si="9"/>
        <v>25.291051249999999</v>
      </c>
      <c r="Q92" s="56">
        <f t="shared" si="10"/>
        <v>115.11428571428571</v>
      </c>
      <c r="R92" s="57">
        <f t="shared" si="11"/>
        <v>7.2260146428571427E-3</v>
      </c>
      <c r="S92" s="57">
        <f t="shared" si="12"/>
        <v>1</v>
      </c>
      <c r="T92" s="57">
        <f t="shared" si="13"/>
        <v>1</v>
      </c>
      <c r="U92" s="56">
        <f t="shared" si="17"/>
        <v>1</v>
      </c>
      <c r="V92" s="56">
        <f t="shared" si="14"/>
        <v>1166.6666666666667</v>
      </c>
      <c r="W92" s="56">
        <f t="shared" si="15"/>
        <v>1166.6666666666667</v>
      </c>
      <c r="X92" s="56">
        <f t="shared" si="16"/>
        <v>0</v>
      </c>
      <c r="Y92" s="56"/>
      <c r="Z92" s="56"/>
      <c r="AA92" s="56"/>
      <c r="AB92" s="56"/>
      <c r="AC92" s="56"/>
      <c r="AD92" s="56"/>
    </row>
    <row r="93" spans="1:30">
      <c r="A93" s="38">
        <v>91</v>
      </c>
      <c r="B93" s="38" t="s">
        <v>419</v>
      </c>
      <c r="C93" s="26">
        <v>1900</v>
      </c>
      <c r="D93" s="26">
        <v>2800</v>
      </c>
      <c r="E93" s="26">
        <v>1750</v>
      </c>
      <c r="F93" s="26">
        <v>120</v>
      </c>
      <c r="G93" s="26">
        <v>2800</v>
      </c>
      <c r="H93" s="26">
        <v>20</v>
      </c>
      <c r="I93" s="26">
        <v>4016</v>
      </c>
      <c r="J93" s="26">
        <v>16</v>
      </c>
      <c r="K93" s="26">
        <v>40</v>
      </c>
      <c r="L93" s="31">
        <v>35</v>
      </c>
      <c r="M93" s="26">
        <v>35</v>
      </c>
      <c r="N93" s="56">
        <v>2000</v>
      </c>
      <c r="O93" s="56">
        <v>3500</v>
      </c>
      <c r="P93" s="57">
        <f t="shared" si="9"/>
        <v>25.160320000000002</v>
      </c>
      <c r="Q93" s="56">
        <f t="shared" si="10"/>
        <v>114.74285714285715</v>
      </c>
      <c r="R93" s="57">
        <f t="shared" si="11"/>
        <v>7.1886628571428577E-3</v>
      </c>
      <c r="S93" s="57">
        <f t="shared" si="12"/>
        <v>1</v>
      </c>
      <c r="T93" s="57">
        <f t="shared" si="13"/>
        <v>1</v>
      </c>
      <c r="U93" s="56">
        <f t="shared" si="17"/>
        <v>1</v>
      </c>
      <c r="V93" s="56">
        <f t="shared" si="14"/>
        <v>1166.6666666666667</v>
      </c>
      <c r="W93" s="56">
        <f t="shared" si="15"/>
        <v>1166.6666666666667</v>
      </c>
      <c r="X93" s="56">
        <f t="shared" si="16"/>
        <v>0</v>
      </c>
      <c r="Y93" s="56"/>
      <c r="Z93" s="56"/>
      <c r="AA93" s="56"/>
      <c r="AB93" s="56"/>
      <c r="AC93" s="56"/>
      <c r="AD93" s="56"/>
    </row>
    <row r="94" spans="1:30">
      <c r="A94" s="37">
        <v>92</v>
      </c>
      <c r="B94" s="37" t="s">
        <v>420</v>
      </c>
      <c r="C94" s="34">
        <v>1900</v>
      </c>
      <c r="D94" s="34">
        <v>2800</v>
      </c>
      <c r="E94" s="34">
        <v>1750</v>
      </c>
      <c r="F94" s="34">
        <v>120</v>
      </c>
      <c r="G94" s="34">
        <v>2800</v>
      </c>
      <c r="H94" s="34">
        <v>20</v>
      </c>
      <c r="I94" s="34">
        <v>4007</v>
      </c>
      <c r="J94" s="34">
        <v>16</v>
      </c>
      <c r="K94" s="34">
        <v>42</v>
      </c>
      <c r="L94" s="31">
        <v>38</v>
      </c>
      <c r="M94" s="34">
        <v>38</v>
      </c>
      <c r="N94" s="56">
        <v>2000</v>
      </c>
      <c r="O94" s="56">
        <v>3500</v>
      </c>
      <c r="P94" s="57">
        <f t="shared" si="9"/>
        <v>25.070061249999998</v>
      </c>
      <c r="Q94" s="56">
        <f t="shared" si="10"/>
        <v>105.44736842105263</v>
      </c>
      <c r="R94" s="57">
        <f t="shared" si="11"/>
        <v>7.1628746428571421E-3</v>
      </c>
      <c r="S94" s="57">
        <f t="shared" si="12"/>
        <v>1</v>
      </c>
      <c r="T94" s="57">
        <f t="shared" si="13"/>
        <v>1</v>
      </c>
      <c r="U94" s="56">
        <f t="shared" si="17"/>
        <v>1</v>
      </c>
      <c r="V94" s="56">
        <f t="shared" si="14"/>
        <v>1166.6666666666667</v>
      </c>
      <c r="W94" s="56">
        <f t="shared" si="15"/>
        <v>1166.6666666666667</v>
      </c>
      <c r="X94" s="56">
        <f t="shared" si="16"/>
        <v>0</v>
      </c>
      <c r="Y94" s="56"/>
      <c r="Z94" s="56"/>
      <c r="AA94" s="56"/>
      <c r="AB94" s="56"/>
      <c r="AC94" s="56"/>
      <c r="AD94" s="56"/>
    </row>
    <row r="95" spans="1:30">
      <c r="A95" s="38">
        <v>93</v>
      </c>
      <c r="B95" s="38" t="s">
        <v>421</v>
      </c>
      <c r="C95" s="26">
        <v>1900</v>
      </c>
      <c r="D95" s="26">
        <v>2800</v>
      </c>
      <c r="E95" s="26">
        <v>1750</v>
      </c>
      <c r="F95" s="26">
        <v>120</v>
      </c>
      <c r="G95" s="26">
        <v>2800</v>
      </c>
      <c r="H95" s="26">
        <v>20</v>
      </c>
      <c r="I95" s="26">
        <v>4002</v>
      </c>
      <c r="J95" s="26">
        <v>16</v>
      </c>
      <c r="K95" s="26">
        <v>42</v>
      </c>
      <c r="L95" s="31">
        <v>38</v>
      </c>
      <c r="M95" s="26">
        <v>38</v>
      </c>
      <c r="N95" s="56">
        <v>2000</v>
      </c>
      <c r="O95" s="56">
        <v>3500</v>
      </c>
      <c r="P95" s="57">
        <f t="shared" si="9"/>
        <v>25.020004999999998</v>
      </c>
      <c r="Q95" s="56">
        <f t="shared" si="10"/>
        <v>105.31578947368421</v>
      </c>
      <c r="R95" s="57">
        <f t="shared" si="11"/>
        <v>7.1485728571428564E-3</v>
      </c>
      <c r="S95" s="57">
        <f t="shared" si="12"/>
        <v>1</v>
      </c>
      <c r="T95" s="57">
        <f t="shared" si="13"/>
        <v>1</v>
      </c>
      <c r="U95" s="56">
        <f t="shared" si="17"/>
        <v>1</v>
      </c>
      <c r="V95" s="56">
        <f t="shared" si="14"/>
        <v>1166.6666666666667</v>
      </c>
      <c r="W95" s="56">
        <f t="shared" si="15"/>
        <v>1166.6666666666667</v>
      </c>
      <c r="X95" s="56">
        <f t="shared" si="16"/>
        <v>0</v>
      </c>
      <c r="Y95" s="56"/>
      <c r="Z95" s="56"/>
      <c r="AA95" s="56"/>
      <c r="AB95" s="56"/>
      <c r="AC95" s="56"/>
      <c r="AD95" s="56"/>
    </row>
    <row r="96" spans="1:30">
      <c r="A96" s="38">
        <v>94</v>
      </c>
      <c r="B96" s="38" t="s">
        <v>422</v>
      </c>
      <c r="C96" s="26">
        <v>1900</v>
      </c>
      <c r="D96" s="26">
        <v>2800</v>
      </c>
      <c r="E96" s="26">
        <v>1750</v>
      </c>
      <c r="F96" s="26">
        <v>120</v>
      </c>
      <c r="G96" s="26">
        <v>2800</v>
      </c>
      <c r="H96" s="26">
        <v>20</v>
      </c>
      <c r="I96" s="26">
        <v>4000</v>
      </c>
      <c r="J96" s="26">
        <v>16</v>
      </c>
      <c r="K96" s="26">
        <v>42</v>
      </c>
      <c r="L96" s="31">
        <v>38</v>
      </c>
      <c r="M96" s="26">
        <v>38</v>
      </c>
      <c r="N96" s="56">
        <v>2000</v>
      </c>
      <c r="O96" s="56">
        <v>3500</v>
      </c>
      <c r="P96" s="57">
        <f t="shared" si="9"/>
        <v>25</v>
      </c>
      <c r="Q96" s="56">
        <f t="shared" si="10"/>
        <v>105.26315789473684</v>
      </c>
      <c r="R96" s="57">
        <f t="shared" si="11"/>
        <v>7.1428571428571426E-3</v>
      </c>
      <c r="S96" s="57">
        <f t="shared" si="12"/>
        <v>1</v>
      </c>
      <c r="T96" s="57">
        <f t="shared" si="13"/>
        <v>1</v>
      </c>
      <c r="U96" s="56">
        <f t="shared" si="17"/>
        <v>1</v>
      </c>
      <c r="V96" s="56">
        <f t="shared" si="14"/>
        <v>1166.6666666666667</v>
      </c>
      <c r="W96" s="56">
        <f t="shared" si="15"/>
        <v>1166.6666666666667</v>
      </c>
      <c r="X96" s="56">
        <f t="shared" si="16"/>
        <v>0</v>
      </c>
      <c r="Y96" s="56"/>
      <c r="Z96" s="56"/>
      <c r="AA96" s="56"/>
      <c r="AB96" s="56"/>
      <c r="AC96" s="56"/>
      <c r="AD96" s="56"/>
    </row>
    <row r="97" spans="1:30">
      <c r="A97" s="38">
        <v>95</v>
      </c>
      <c r="B97" s="38" t="s">
        <v>423</v>
      </c>
      <c r="C97" s="26">
        <v>1900</v>
      </c>
      <c r="D97" s="26">
        <v>2800</v>
      </c>
      <c r="E97" s="26">
        <v>1750</v>
      </c>
      <c r="F97" s="26">
        <v>120</v>
      </c>
      <c r="G97" s="26">
        <v>2800</v>
      </c>
      <c r="H97" s="26">
        <v>20</v>
      </c>
      <c r="I97" s="26">
        <v>4002</v>
      </c>
      <c r="J97" s="26">
        <v>16</v>
      </c>
      <c r="K97" s="26">
        <v>42</v>
      </c>
      <c r="L97" s="31">
        <v>38</v>
      </c>
      <c r="M97" s="26">
        <v>38</v>
      </c>
      <c r="N97" s="56">
        <v>2000</v>
      </c>
      <c r="O97" s="56">
        <v>3500</v>
      </c>
      <c r="P97" s="57">
        <f t="shared" si="9"/>
        <v>25.020004999999998</v>
      </c>
      <c r="Q97" s="56">
        <f t="shared" si="10"/>
        <v>105.31578947368421</v>
      </c>
      <c r="R97" s="57">
        <f t="shared" si="11"/>
        <v>7.1485728571428564E-3</v>
      </c>
      <c r="S97" s="57">
        <f t="shared" si="12"/>
        <v>1</v>
      </c>
      <c r="T97" s="57">
        <f t="shared" si="13"/>
        <v>1</v>
      </c>
      <c r="U97" s="56">
        <f t="shared" si="17"/>
        <v>1</v>
      </c>
      <c r="V97" s="56">
        <f t="shared" si="14"/>
        <v>1166.6666666666667</v>
      </c>
      <c r="W97" s="56">
        <f t="shared" si="15"/>
        <v>1166.6666666666667</v>
      </c>
      <c r="X97" s="56">
        <f t="shared" si="16"/>
        <v>0</v>
      </c>
      <c r="Y97" s="56"/>
      <c r="Z97" s="56"/>
      <c r="AA97" s="56"/>
      <c r="AB97" s="56"/>
      <c r="AC97" s="56"/>
      <c r="AD97" s="56"/>
    </row>
    <row r="98" spans="1:30" s="39" customFormat="1">
      <c r="A98" s="37">
        <v>96</v>
      </c>
      <c r="B98" s="37" t="s">
        <v>424</v>
      </c>
      <c r="C98" s="34">
        <v>1900</v>
      </c>
      <c r="D98" s="34">
        <v>2800</v>
      </c>
      <c r="E98" s="34">
        <v>1750</v>
      </c>
      <c r="F98" s="34">
        <v>120</v>
      </c>
      <c r="G98" s="34">
        <v>2800</v>
      </c>
      <c r="H98" s="34">
        <v>20</v>
      </c>
      <c r="I98" s="34">
        <v>4007</v>
      </c>
      <c r="J98" s="34">
        <v>16</v>
      </c>
      <c r="K98" s="34">
        <v>42</v>
      </c>
      <c r="L98" s="31">
        <v>38</v>
      </c>
      <c r="M98" s="34">
        <v>38</v>
      </c>
      <c r="N98" s="56">
        <v>2000</v>
      </c>
      <c r="O98" s="56">
        <v>3500</v>
      </c>
      <c r="P98" s="57">
        <f t="shared" si="9"/>
        <v>25.070061249999998</v>
      </c>
      <c r="Q98" s="56">
        <f t="shared" si="10"/>
        <v>105.44736842105263</v>
      </c>
      <c r="R98" s="57">
        <f t="shared" si="11"/>
        <v>7.1628746428571421E-3</v>
      </c>
      <c r="S98" s="57">
        <f t="shared" si="12"/>
        <v>1</v>
      </c>
      <c r="T98" s="57">
        <f t="shared" si="13"/>
        <v>1</v>
      </c>
      <c r="U98" s="56">
        <f t="shared" si="17"/>
        <v>1</v>
      </c>
      <c r="V98" s="56">
        <f t="shared" si="14"/>
        <v>1166.6666666666667</v>
      </c>
      <c r="W98" s="56">
        <f t="shared" si="15"/>
        <v>1166.6666666666667</v>
      </c>
      <c r="X98" s="56">
        <f t="shared" si="16"/>
        <v>0</v>
      </c>
      <c r="Y98" s="56"/>
      <c r="Z98" s="56"/>
      <c r="AA98" s="56"/>
      <c r="AB98" s="56"/>
      <c r="AC98" s="56"/>
      <c r="AD98" s="56"/>
    </row>
    <row r="99" spans="1:30">
      <c r="A99" s="38">
        <v>97</v>
      </c>
      <c r="B99" s="38" t="s">
        <v>425</v>
      </c>
      <c r="C99" s="26">
        <v>1900</v>
      </c>
      <c r="D99" s="26">
        <v>2800</v>
      </c>
      <c r="E99" s="26">
        <v>1750</v>
      </c>
      <c r="F99" s="26">
        <v>120</v>
      </c>
      <c r="G99" s="26">
        <v>2800</v>
      </c>
      <c r="H99" s="26">
        <v>20</v>
      </c>
      <c r="I99" s="26">
        <v>4016</v>
      </c>
      <c r="J99" s="26">
        <v>16</v>
      </c>
      <c r="K99" s="26">
        <v>42</v>
      </c>
      <c r="L99" s="31">
        <v>38</v>
      </c>
      <c r="M99" s="26">
        <v>38</v>
      </c>
      <c r="N99" s="56">
        <v>2000</v>
      </c>
      <c r="O99" s="56">
        <v>3500</v>
      </c>
      <c r="P99" s="57">
        <f t="shared" si="9"/>
        <v>25.160320000000002</v>
      </c>
      <c r="Q99" s="56">
        <f t="shared" si="10"/>
        <v>105.68421052631579</v>
      </c>
      <c r="R99" s="57">
        <f t="shared" si="11"/>
        <v>7.1886628571428577E-3</v>
      </c>
      <c r="S99" s="57">
        <f t="shared" si="12"/>
        <v>1</v>
      </c>
      <c r="T99" s="57">
        <f t="shared" si="13"/>
        <v>1</v>
      </c>
      <c r="U99" s="56">
        <f t="shared" si="17"/>
        <v>1</v>
      </c>
      <c r="V99" s="56">
        <f t="shared" si="14"/>
        <v>1166.6666666666667</v>
      </c>
      <c r="W99" s="56">
        <f t="shared" si="15"/>
        <v>1166.6666666666667</v>
      </c>
      <c r="X99" s="56">
        <f t="shared" si="16"/>
        <v>0</v>
      </c>
      <c r="Y99" s="56"/>
      <c r="Z99" s="56"/>
      <c r="AA99" s="56"/>
      <c r="AB99" s="56"/>
      <c r="AC99" s="56"/>
      <c r="AD99" s="56"/>
    </row>
    <row r="100" spans="1:30">
      <c r="A100" s="38">
        <v>98</v>
      </c>
      <c r="B100" s="38" t="s">
        <v>426</v>
      </c>
      <c r="C100" s="26">
        <v>1900</v>
      </c>
      <c r="D100" s="26">
        <v>2800</v>
      </c>
      <c r="E100" s="26">
        <v>1750</v>
      </c>
      <c r="F100" s="26">
        <v>120</v>
      </c>
      <c r="G100" s="26">
        <v>2800</v>
      </c>
      <c r="H100" s="26">
        <v>20</v>
      </c>
      <c r="I100" s="26">
        <v>4029</v>
      </c>
      <c r="J100" s="26">
        <v>16</v>
      </c>
      <c r="K100" s="26">
        <v>42</v>
      </c>
      <c r="L100" s="31">
        <v>38</v>
      </c>
      <c r="M100" s="26">
        <v>38</v>
      </c>
      <c r="N100" s="56">
        <v>2000</v>
      </c>
      <c r="O100" s="56">
        <v>3500</v>
      </c>
      <c r="P100" s="57">
        <f t="shared" si="9"/>
        <v>25.291051249999999</v>
      </c>
      <c r="Q100" s="56">
        <f t="shared" si="10"/>
        <v>106.02631578947368</v>
      </c>
      <c r="R100" s="57">
        <f t="shared" si="11"/>
        <v>7.2260146428571427E-3</v>
      </c>
      <c r="S100" s="57">
        <f t="shared" si="12"/>
        <v>1</v>
      </c>
      <c r="T100" s="57">
        <f t="shared" si="13"/>
        <v>1</v>
      </c>
      <c r="U100" s="56">
        <f t="shared" si="17"/>
        <v>1</v>
      </c>
      <c r="V100" s="56">
        <f t="shared" si="14"/>
        <v>1166.6666666666667</v>
      </c>
      <c r="W100" s="56">
        <f t="shared" si="15"/>
        <v>1166.6666666666667</v>
      </c>
      <c r="X100" s="56">
        <f t="shared" si="16"/>
        <v>0</v>
      </c>
      <c r="Y100" s="56"/>
      <c r="Z100" s="56"/>
      <c r="AA100" s="56"/>
      <c r="AB100" s="56"/>
      <c r="AC100" s="56"/>
      <c r="AD100" s="56"/>
    </row>
    <row r="101" spans="1:30">
      <c r="A101" s="38">
        <v>99</v>
      </c>
      <c r="B101" s="38" t="s">
        <v>427</v>
      </c>
      <c r="C101" s="26">
        <v>1900</v>
      </c>
      <c r="D101" s="26">
        <v>2800</v>
      </c>
      <c r="E101" s="26">
        <v>1750</v>
      </c>
      <c r="F101" s="26">
        <v>120</v>
      </c>
      <c r="G101" s="26">
        <v>2800</v>
      </c>
      <c r="H101" s="26">
        <v>20</v>
      </c>
      <c r="I101" s="26">
        <v>4046</v>
      </c>
      <c r="J101" s="26">
        <v>16</v>
      </c>
      <c r="K101" s="26">
        <v>42</v>
      </c>
      <c r="L101" s="31">
        <v>38</v>
      </c>
      <c r="M101" s="26">
        <v>38</v>
      </c>
      <c r="N101" s="56">
        <v>2000</v>
      </c>
      <c r="O101" s="56">
        <v>3500</v>
      </c>
      <c r="P101" s="57">
        <f t="shared" si="9"/>
        <v>25.462645000000002</v>
      </c>
      <c r="Q101" s="56">
        <f t="shared" si="10"/>
        <v>106.47368421052632</v>
      </c>
      <c r="R101" s="57">
        <f t="shared" si="11"/>
        <v>7.2750414285714295E-3</v>
      </c>
      <c r="S101" s="57">
        <f t="shared" si="12"/>
        <v>1</v>
      </c>
      <c r="T101" s="57">
        <f t="shared" si="13"/>
        <v>1</v>
      </c>
      <c r="U101" s="56">
        <f t="shared" si="17"/>
        <v>1</v>
      </c>
      <c r="V101" s="56">
        <f t="shared" si="14"/>
        <v>1166.6666666666667</v>
      </c>
      <c r="W101" s="56">
        <f t="shared" si="15"/>
        <v>1166.6666666666667</v>
      </c>
      <c r="X101" s="56">
        <f t="shared" si="16"/>
        <v>0</v>
      </c>
      <c r="Y101" s="56"/>
      <c r="Z101" s="56"/>
      <c r="AA101" s="56"/>
      <c r="AB101" s="56"/>
      <c r="AC101" s="56"/>
      <c r="AD101" s="56"/>
    </row>
    <row r="102" spans="1:30">
      <c r="A102" s="37">
        <v>100</v>
      </c>
      <c r="B102" s="37" t="s">
        <v>428</v>
      </c>
      <c r="C102" s="34">
        <v>1900</v>
      </c>
      <c r="D102" s="34">
        <v>2800</v>
      </c>
      <c r="E102" s="34">
        <v>1750</v>
      </c>
      <c r="F102" s="34">
        <v>120</v>
      </c>
      <c r="G102" s="34">
        <v>2800</v>
      </c>
      <c r="H102" s="34">
        <v>20</v>
      </c>
      <c r="I102" s="34">
        <v>4067</v>
      </c>
      <c r="J102" s="34">
        <v>16</v>
      </c>
      <c r="K102" s="34">
        <v>42</v>
      </c>
      <c r="L102" s="31">
        <v>38</v>
      </c>
      <c r="M102" s="34">
        <v>38</v>
      </c>
      <c r="N102" s="56">
        <v>2000</v>
      </c>
      <c r="O102" s="56">
        <v>3500</v>
      </c>
      <c r="P102" s="57">
        <f t="shared" si="9"/>
        <v>25.675611249999999</v>
      </c>
      <c r="Q102" s="56">
        <f t="shared" si="10"/>
        <v>107.02631578947368</v>
      </c>
      <c r="R102" s="57">
        <f t="shared" si="11"/>
        <v>7.3358889285714286E-3</v>
      </c>
      <c r="S102" s="57">
        <f t="shared" si="12"/>
        <v>1</v>
      </c>
      <c r="T102" s="57">
        <f t="shared" si="13"/>
        <v>1</v>
      </c>
      <c r="U102" s="56">
        <f t="shared" si="17"/>
        <v>1</v>
      </c>
      <c r="V102" s="56">
        <f t="shared" si="14"/>
        <v>1166.6666666666667</v>
      </c>
      <c r="W102" s="56">
        <f t="shared" si="15"/>
        <v>1166.6666666666667</v>
      </c>
      <c r="X102" s="56">
        <f t="shared" si="16"/>
        <v>0</v>
      </c>
      <c r="Y102" s="56"/>
      <c r="Z102" s="56"/>
      <c r="AA102" s="56"/>
      <c r="AB102" s="56"/>
      <c r="AC102" s="56"/>
      <c r="AD102" s="56"/>
    </row>
    <row r="103" spans="1:30">
      <c r="A103" s="38">
        <v>101</v>
      </c>
      <c r="B103" s="38" t="s">
        <v>429</v>
      </c>
      <c r="C103" s="26">
        <v>1900</v>
      </c>
      <c r="D103" s="26">
        <v>2800</v>
      </c>
      <c r="E103" s="26">
        <v>1750</v>
      </c>
      <c r="F103" s="26">
        <v>120</v>
      </c>
      <c r="G103" s="26">
        <v>2800</v>
      </c>
      <c r="H103" s="26">
        <v>20</v>
      </c>
      <c r="I103" s="26">
        <v>4091</v>
      </c>
      <c r="J103" s="26">
        <v>16</v>
      </c>
      <c r="K103" s="26">
        <v>40</v>
      </c>
      <c r="L103" s="31">
        <v>35</v>
      </c>
      <c r="M103" s="26">
        <v>35</v>
      </c>
      <c r="N103" s="56">
        <v>2000</v>
      </c>
      <c r="O103" s="56">
        <v>3500</v>
      </c>
      <c r="P103" s="57">
        <f t="shared" si="9"/>
        <v>25.92035125</v>
      </c>
      <c r="Q103" s="56">
        <f t="shared" si="10"/>
        <v>116.88571428571429</v>
      </c>
      <c r="R103" s="57">
        <f t="shared" si="11"/>
        <v>7.4058146428571427E-3</v>
      </c>
      <c r="S103" s="57">
        <f t="shared" si="12"/>
        <v>1</v>
      </c>
      <c r="T103" s="57">
        <f t="shared" si="13"/>
        <v>1</v>
      </c>
      <c r="U103" s="56">
        <f t="shared" si="17"/>
        <v>1</v>
      </c>
      <c r="V103" s="56">
        <f t="shared" si="14"/>
        <v>1166.6666666666667</v>
      </c>
      <c r="W103" s="56">
        <f t="shared" si="15"/>
        <v>1166.6666666666667</v>
      </c>
      <c r="X103" s="56">
        <f t="shared" si="16"/>
        <v>0</v>
      </c>
      <c r="Y103" s="56"/>
      <c r="Z103" s="56"/>
      <c r="AA103" s="56"/>
      <c r="AB103" s="56"/>
      <c r="AC103" s="56"/>
      <c r="AD103" s="56"/>
    </row>
    <row r="104" spans="1:30">
      <c r="A104" s="38">
        <v>102</v>
      </c>
      <c r="B104" s="38" t="s">
        <v>430</v>
      </c>
      <c r="C104" s="26">
        <v>1900</v>
      </c>
      <c r="D104" s="26">
        <v>2800</v>
      </c>
      <c r="E104" s="26">
        <v>1750</v>
      </c>
      <c r="F104" s="26">
        <v>120</v>
      </c>
      <c r="G104" s="26">
        <v>2800</v>
      </c>
      <c r="H104" s="26">
        <v>20</v>
      </c>
      <c r="I104" s="26">
        <v>4120</v>
      </c>
      <c r="J104" s="26">
        <v>16</v>
      </c>
      <c r="K104" s="26">
        <v>40</v>
      </c>
      <c r="L104" s="31">
        <v>35</v>
      </c>
      <c r="M104" s="26">
        <v>35</v>
      </c>
      <c r="N104" s="56">
        <v>2000</v>
      </c>
      <c r="O104" s="56">
        <v>3500</v>
      </c>
      <c r="P104" s="57">
        <f t="shared" si="9"/>
        <v>26.218</v>
      </c>
      <c r="Q104" s="56">
        <f t="shared" si="10"/>
        <v>117.71428571428571</v>
      </c>
      <c r="R104" s="57">
        <f t="shared" si="11"/>
        <v>7.4908571428571429E-3</v>
      </c>
      <c r="S104" s="57">
        <f t="shared" si="12"/>
        <v>1</v>
      </c>
      <c r="T104" s="57">
        <f t="shared" si="13"/>
        <v>1</v>
      </c>
      <c r="U104" s="56">
        <f t="shared" si="17"/>
        <v>1</v>
      </c>
      <c r="V104" s="56">
        <f t="shared" si="14"/>
        <v>1166.6666666666667</v>
      </c>
      <c r="W104" s="56">
        <f t="shared" si="15"/>
        <v>1166.6666666666667</v>
      </c>
      <c r="X104" s="56">
        <f t="shared" si="16"/>
        <v>0</v>
      </c>
      <c r="Y104" s="56"/>
      <c r="Z104" s="56"/>
      <c r="AA104" s="56"/>
      <c r="AB104" s="56"/>
      <c r="AC104" s="56"/>
      <c r="AD104" s="56"/>
    </row>
    <row r="105" spans="1:30">
      <c r="A105" s="38">
        <v>103</v>
      </c>
      <c r="B105" s="38" t="s">
        <v>431</v>
      </c>
      <c r="C105" s="26">
        <v>1900</v>
      </c>
      <c r="D105" s="26">
        <v>2800</v>
      </c>
      <c r="E105" s="26">
        <v>1750</v>
      </c>
      <c r="F105" s="26">
        <v>120</v>
      </c>
      <c r="G105" s="26">
        <v>2800</v>
      </c>
      <c r="H105" s="26">
        <v>20</v>
      </c>
      <c r="I105" s="26">
        <v>4152</v>
      </c>
      <c r="J105" s="26">
        <v>16</v>
      </c>
      <c r="K105" s="26">
        <v>40</v>
      </c>
      <c r="L105" s="31">
        <v>35</v>
      </c>
      <c r="M105" s="26">
        <v>35</v>
      </c>
      <c r="N105" s="56">
        <v>2000</v>
      </c>
      <c r="O105" s="56">
        <v>3500</v>
      </c>
      <c r="P105" s="57">
        <f t="shared" si="9"/>
        <v>26.54888</v>
      </c>
      <c r="Q105" s="56">
        <f t="shared" si="10"/>
        <v>118.62857142857143</v>
      </c>
      <c r="R105" s="57">
        <f t="shared" si="11"/>
        <v>7.5853942857142861E-3</v>
      </c>
      <c r="S105" s="57">
        <f t="shared" si="12"/>
        <v>1</v>
      </c>
      <c r="T105" s="57">
        <f t="shared" si="13"/>
        <v>1</v>
      </c>
      <c r="U105" s="56">
        <f t="shared" si="17"/>
        <v>1</v>
      </c>
      <c r="V105" s="56">
        <f t="shared" si="14"/>
        <v>1166.6666666666667</v>
      </c>
      <c r="W105" s="56">
        <f t="shared" si="15"/>
        <v>1166.6666666666667</v>
      </c>
      <c r="X105" s="56">
        <f t="shared" si="16"/>
        <v>0</v>
      </c>
      <c r="Y105" s="56"/>
      <c r="Z105" s="56"/>
      <c r="AA105" s="56"/>
      <c r="AB105" s="56"/>
      <c r="AC105" s="56"/>
      <c r="AD105" s="56"/>
    </row>
    <row r="106" spans="1:30">
      <c r="A106" s="37">
        <v>104</v>
      </c>
      <c r="B106" s="37" t="s">
        <v>432</v>
      </c>
      <c r="C106" s="34">
        <v>1900</v>
      </c>
      <c r="D106" s="34">
        <v>2800</v>
      </c>
      <c r="E106" s="34">
        <v>1750</v>
      </c>
      <c r="F106" s="34">
        <v>120</v>
      </c>
      <c r="G106" s="34">
        <v>2800</v>
      </c>
      <c r="H106" s="34">
        <v>20</v>
      </c>
      <c r="I106" s="34">
        <v>4188</v>
      </c>
      <c r="J106" s="34">
        <v>16</v>
      </c>
      <c r="K106" s="34">
        <v>40</v>
      </c>
      <c r="L106" s="31">
        <v>35</v>
      </c>
      <c r="M106" s="34">
        <v>35</v>
      </c>
      <c r="N106" s="56">
        <v>2000</v>
      </c>
      <c r="O106" s="56">
        <v>3500</v>
      </c>
      <c r="P106" s="57">
        <f t="shared" si="9"/>
        <v>26.924179999999996</v>
      </c>
      <c r="Q106" s="56">
        <f t="shared" si="10"/>
        <v>119.65714285714286</v>
      </c>
      <c r="R106" s="57">
        <f t="shared" si="11"/>
        <v>7.6926228571428563E-3</v>
      </c>
      <c r="S106" s="57">
        <f t="shared" si="12"/>
        <v>1</v>
      </c>
      <c r="T106" s="57">
        <f t="shared" si="13"/>
        <v>1</v>
      </c>
      <c r="U106" s="56">
        <f t="shared" si="17"/>
        <v>1</v>
      </c>
      <c r="V106" s="56">
        <f t="shared" si="14"/>
        <v>1166.6666666666667</v>
      </c>
      <c r="W106" s="56">
        <f t="shared" si="15"/>
        <v>1166.6666666666667</v>
      </c>
      <c r="X106" s="56">
        <f t="shared" si="16"/>
        <v>0</v>
      </c>
      <c r="Y106" s="56"/>
      <c r="Z106" s="56"/>
      <c r="AA106" s="56"/>
      <c r="AB106" s="56"/>
      <c r="AC106" s="56"/>
      <c r="AD106" s="56"/>
    </row>
    <row r="107" spans="1:30">
      <c r="A107" s="38">
        <v>105</v>
      </c>
      <c r="B107" s="38" t="s">
        <v>433</v>
      </c>
      <c r="C107" s="26">
        <v>1900</v>
      </c>
      <c r="D107" s="26">
        <v>2800</v>
      </c>
      <c r="E107" s="26">
        <v>1750</v>
      </c>
      <c r="F107" s="26">
        <v>120</v>
      </c>
      <c r="G107" s="26">
        <v>2800</v>
      </c>
      <c r="H107" s="26">
        <v>20</v>
      </c>
      <c r="I107" s="26">
        <v>4228</v>
      </c>
      <c r="J107" s="26">
        <v>16</v>
      </c>
      <c r="K107" s="26">
        <v>35</v>
      </c>
      <c r="L107" s="31">
        <v>28</v>
      </c>
      <c r="M107" s="26">
        <v>28</v>
      </c>
      <c r="N107" s="56">
        <v>2000</v>
      </c>
      <c r="O107" s="56">
        <v>3500</v>
      </c>
      <c r="P107" s="57">
        <f t="shared" si="9"/>
        <v>27.34498</v>
      </c>
      <c r="Q107" s="56">
        <f t="shared" si="10"/>
        <v>151</v>
      </c>
      <c r="R107" s="57">
        <f t="shared" si="11"/>
        <v>7.8128514285714292E-3</v>
      </c>
      <c r="S107" s="57" t="str">
        <f t="shared" si="12"/>
        <v>II</v>
      </c>
      <c r="T107" s="57">
        <f t="shared" si="13"/>
        <v>0.93073267293914497</v>
      </c>
      <c r="U107" s="56">
        <f t="shared" si="17"/>
        <v>1</v>
      </c>
      <c r="V107" s="56">
        <f t="shared" si="14"/>
        <v>1149.5285990048451</v>
      </c>
      <c r="W107" s="56">
        <f t="shared" si="15"/>
        <v>1166.6666666666667</v>
      </c>
      <c r="X107" s="56">
        <f t="shared" si="16"/>
        <v>1.4908778847832229</v>
      </c>
      <c r="Y107" s="56"/>
      <c r="Z107" s="56"/>
      <c r="AA107" s="56"/>
      <c r="AB107" s="56"/>
      <c r="AC107" s="56"/>
      <c r="AD107" s="56"/>
    </row>
    <row r="108" spans="1:30">
      <c r="A108" s="38">
        <v>106</v>
      </c>
      <c r="B108" s="38" t="s">
        <v>434</v>
      </c>
      <c r="C108" s="26">
        <v>1900</v>
      </c>
      <c r="D108" s="26">
        <v>2800</v>
      </c>
      <c r="E108" s="26">
        <v>1750</v>
      </c>
      <c r="F108" s="26">
        <v>120</v>
      </c>
      <c r="G108" s="26">
        <v>2800</v>
      </c>
      <c r="H108" s="26">
        <v>20</v>
      </c>
      <c r="I108" s="26">
        <v>4272</v>
      </c>
      <c r="J108" s="26">
        <v>16</v>
      </c>
      <c r="K108" s="26">
        <v>35</v>
      </c>
      <c r="L108" s="31">
        <v>28</v>
      </c>
      <c r="M108" s="26">
        <v>28</v>
      </c>
      <c r="N108" s="56">
        <v>2000</v>
      </c>
      <c r="O108" s="56">
        <v>3500</v>
      </c>
      <c r="P108" s="57">
        <f t="shared" si="9"/>
        <v>27.812480000000001</v>
      </c>
      <c r="Q108" s="56">
        <f t="shared" si="10"/>
        <v>152.57142857142858</v>
      </c>
      <c r="R108" s="57">
        <f t="shared" si="11"/>
        <v>7.9464228571428566E-3</v>
      </c>
      <c r="S108" s="57" t="str">
        <f t="shared" si="12"/>
        <v>II</v>
      </c>
      <c r="T108" s="57">
        <f t="shared" si="13"/>
        <v>0.92898723710620679</v>
      </c>
      <c r="U108" s="56">
        <f t="shared" si="17"/>
        <v>1</v>
      </c>
      <c r="V108" s="56">
        <f t="shared" si="14"/>
        <v>1149.2268015844788</v>
      </c>
      <c r="W108" s="56">
        <f t="shared" si="15"/>
        <v>1166.6666666666667</v>
      </c>
      <c r="X108" s="56">
        <f t="shared" si="16"/>
        <v>1.5175303132630531</v>
      </c>
      <c r="Y108" s="56"/>
      <c r="Z108" s="56"/>
      <c r="AA108" s="56"/>
      <c r="AB108" s="56"/>
      <c r="AC108" s="56"/>
      <c r="AD108" s="56"/>
    </row>
    <row r="109" spans="1:30">
      <c r="A109" s="38">
        <v>107</v>
      </c>
      <c r="B109" s="38" t="s">
        <v>435</v>
      </c>
      <c r="C109" s="26">
        <v>1900</v>
      </c>
      <c r="D109" s="26">
        <v>2800</v>
      </c>
      <c r="E109" s="26">
        <v>1750</v>
      </c>
      <c r="F109" s="26">
        <v>120</v>
      </c>
      <c r="G109" s="26">
        <v>2800</v>
      </c>
      <c r="H109" s="26">
        <v>20</v>
      </c>
      <c r="I109" s="26">
        <v>4320</v>
      </c>
      <c r="J109" s="26">
        <v>16</v>
      </c>
      <c r="K109" s="26">
        <v>35</v>
      </c>
      <c r="L109" s="31">
        <v>28</v>
      </c>
      <c r="M109" s="26">
        <v>28</v>
      </c>
      <c r="N109" s="56">
        <v>2000</v>
      </c>
      <c r="O109" s="56">
        <v>3500</v>
      </c>
      <c r="P109" s="57">
        <f t="shared" si="9"/>
        <v>28.327999999999999</v>
      </c>
      <c r="Q109" s="56">
        <f t="shared" si="10"/>
        <v>154.28571428571428</v>
      </c>
      <c r="R109" s="57">
        <f t="shared" si="11"/>
        <v>8.0937142857142857E-3</v>
      </c>
      <c r="S109" s="57" t="str">
        <f t="shared" si="12"/>
        <v>II</v>
      </c>
      <c r="T109" s="57">
        <f t="shared" si="13"/>
        <v>0.92714005361236873</v>
      </c>
      <c r="U109" s="56">
        <f t="shared" si="17"/>
        <v>1</v>
      </c>
      <c r="V109" s="56">
        <f t="shared" si="14"/>
        <v>1148.9136424346727</v>
      </c>
      <c r="W109" s="56">
        <f t="shared" si="15"/>
        <v>1166.6666666666667</v>
      </c>
      <c r="X109" s="56">
        <f t="shared" si="16"/>
        <v>1.5452009251429393</v>
      </c>
      <c r="Y109" s="56"/>
      <c r="Z109" s="56"/>
      <c r="AA109" s="56"/>
      <c r="AB109" s="56"/>
      <c r="AC109" s="56"/>
      <c r="AD109" s="56"/>
    </row>
    <row r="110" spans="1:30">
      <c r="A110" s="37">
        <v>108</v>
      </c>
      <c r="B110" s="37" t="s">
        <v>436</v>
      </c>
      <c r="C110" s="34">
        <v>1900</v>
      </c>
      <c r="D110" s="34">
        <v>2800</v>
      </c>
      <c r="E110" s="34">
        <v>1750</v>
      </c>
      <c r="F110" s="34">
        <v>120</v>
      </c>
      <c r="G110" s="34">
        <v>2800</v>
      </c>
      <c r="H110" s="34">
        <v>20</v>
      </c>
      <c r="I110" s="34">
        <v>4372</v>
      </c>
      <c r="J110" s="34">
        <v>16</v>
      </c>
      <c r="K110" s="34">
        <v>35</v>
      </c>
      <c r="L110" s="31">
        <v>28</v>
      </c>
      <c r="M110" s="34">
        <v>28</v>
      </c>
      <c r="N110" s="56">
        <v>2000</v>
      </c>
      <c r="O110" s="56">
        <v>3500</v>
      </c>
      <c r="P110" s="57">
        <f t="shared" si="9"/>
        <v>28.892980000000005</v>
      </c>
      <c r="Q110" s="56">
        <f t="shared" si="10"/>
        <v>156.14285714285714</v>
      </c>
      <c r="R110" s="57">
        <f t="shared" si="11"/>
        <v>8.2551371428571437E-3</v>
      </c>
      <c r="S110" s="57" t="str">
        <f t="shared" si="12"/>
        <v>II</v>
      </c>
      <c r="T110" s="57">
        <f t="shared" si="13"/>
        <v>0.92520324791831932</v>
      </c>
      <c r="U110" s="56">
        <f t="shared" si="17"/>
        <v>1</v>
      </c>
      <c r="V110" s="56">
        <f t="shared" si="14"/>
        <v>1148.589702525654</v>
      </c>
      <c r="W110" s="56">
        <f t="shared" si="15"/>
        <v>1166.6666666666667</v>
      </c>
      <c r="X110" s="56">
        <f t="shared" si="16"/>
        <v>1.5738399971080137</v>
      </c>
      <c r="Y110" s="56"/>
      <c r="Z110" s="56"/>
      <c r="AA110" s="56"/>
      <c r="AB110" s="56"/>
      <c r="AC110" s="56"/>
      <c r="AD110" s="56"/>
    </row>
    <row r="111" spans="1:30">
      <c r="A111" s="38">
        <v>109</v>
      </c>
      <c r="B111" s="38" t="s">
        <v>437</v>
      </c>
      <c r="C111" s="26">
        <v>1900</v>
      </c>
      <c r="D111" s="26">
        <v>2800</v>
      </c>
      <c r="E111" s="26">
        <v>1750</v>
      </c>
      <c r="F111" s="26">
        <v>120</v>
      </c>
      <c r="G111" s="26">
        <v>2800</v>
      </c>
      <c r="H111" s="26">
        <v>20</v>
      </c>
      <c r="I111" s="26">
        <v>4427</v>
      </c>
      <c r="J111" s="26">
        <v>16</v>
      </c>
      <c r="K111" s="26">
        <v>35</v>
      </c>
      <c r="L111" s="31">
        <v>28</v>
      </c>
      <c r="M111" s="26">
        <v>28</v>
      </c>
      <c r="N111" s="56">
        <v>2000</v>
      </c>
      <c r="O111" s="56">
        <v>3500</v>
      </c>
      <c r="P111" s="57">
        <f t="shared" si="9"/>
        <v>29.497911249999998</v>
      </c>
      <c r="Q111" s="56">
        <f t="shared" si="10"/>
        <v>158.10714285714286</v>
      </c>
      <c r="R111" s="57">
        <f t="shared" si="11"/>
        <v>8.4279746428571421E-3</v>
      </c>
      <c r="S111" s="57" t="str">
        <f t="shared" si="12"/>
        <v>II</v>
      </c>
      <c r="T111" s="57">
        <f t="shared" si="13"/>
        <v>0.92322433589490704</v>
      </c>
      <c r="U111" s="56">
        <f t="shared" si="17"/>
        <v>1</v>
      </c>
      <c r="V111" s="56">
        <f t="shared" si="14"/>
        <v>1148.2692380157871</v>
      </c>
      <c r="W111" s="56">
        <f t="shared" si="15"/>
        <v>1166.6666666666667</v>
      </c>
      <c r="X111" s="56">
        <f t="shared" si="16"/>
        <v>1.6021877136298157</v>
      </c>
      <c r="Y111" s="56"/>
      <c r="Z111" s="56"/>
      <c r="AA111" s="56"/>
      <c r="AB111" s="56"/>
      <c r="AC111" s="56"/>
      <c r="AD111" s="56"/>
    </row>
    <row r="112" spans="1:30">
      <c r="A112" s="38">
        <v>110</v>
      </c>
      <c r="B112" s="38" t="s">
        <v>438</v>
      </c>
      <c r="C112" s="26">
        <v>1900</v>
      </c>
      <c r="D112" s="26">
        <v>2800</v>
      </c>
      <c r="E112" s="26">
        <v>1750</v>
      </c>
      <c r="F112" s="26">
        <v>120</v>
      </c>
      <c r="G112" s="26">
        <v>2800</v>
      </c>
      <c r="H112" s="26">
        <v>20</v>
      </c>
      <c r="I112" s="26">
        <v>4486</v>
      </c>
      <c r="J112" s="26">
        <v>16</v>
      </c>
      <c r="K112" s="26">
        <v>35</v>
      </c>
      <c r="L112" s="31">
        <v>28</v>
      </c>
      <c r="M112" s="26">
        <v>28</v>
      </c>
      <c r="N112" s="56">
        <v>2000</v>
      </c>
      <c r="O112" s="56">
        <v>3500</v>
      </c>
      <c r="P112" s="57">
        <f t="shared" si="9"/>
        <v>30.155245000000001</v>
      </c>
      <c r="Q112" s="56">
        <f t="shared" si="10"/>
        <v>160.21428571428572</v>
      </c>
      <c r="R112" s="57">
        <f t="shared" si="11"/>
        <v>8.6157842857142852E-3</v>
      </c>
      <c r="S112" s="57" t="str">
        <f t="shared" si="12"/>
        <v>II</v>
      </c>
      <c r="T112" s="57">
        <f t="shared" si="13"/>
        <v>0.92117744320708461</v>
      </c>
      <c r="U112" s="56">
        <f t="shared" si="17"/>
        <v>1</v>
      </c>
      <c r="V112" s="56">
        <f t="shared" si="14"/>
        <v>1147.9485630942731</v>
      </c>
      <c r="W112" s="56">
        <f t="shared" si="15"/>
        <v>1166.6666666666667</v>
      </c>
      <c r="X112" s="56">
        <f t="shared" si="16"/>
        <v>1.6305698856348856</v>
      </c>
      <c r="Y112" s="56"/>
      <c r="Z112" s="56"/>
      <c r="AA112" s="56"/>
      <c r="AB112" s="56"/>
      <c r="AC112" s="56"/>
      <c r="AD112" s="56"/>
    </row>
    <row r="113" spans="1:30">
      <c r="A113" s="38">
        <v>111</v>
      </c>
      <c r="B113" s="38" t="s">
        <v>439</v>
      </c>
      <c r="C113" s="26">
        <v>1900</v>
      </c>
      <c r="D113" s="26">
        <v>2800</v>
      </c>
      <c r="E113" s="26">
        <v>1750</v>
      </c>
      <c r="F113" s="26">
        <v>120</v>
      </c>
      <c r="G113" s="26">
        <v>2800</v>
      </c>
      <c r="H113" s="26">
        <v>20</v>
      </c>
      <c r="I113" s="26">
        <v>4550</v>
      </c>
      <c r="J113" s="26">
        <v>16</v>
      </c>
      <c r="K113" s="26">
        <v>35</v>
      </c>
      <c r="L113" s="31">
        <v>28</v>
      </c>
      <c r="M113" s="26">
        <v>28</v>
      </c>
      <c r="N113" s="56">
        <v>2000</v>
      </c>
      <c r="O113" s="56">
        <v>3500</v>
      </c>
      <c r="P113" s="57">
        <f t="shared" si="9"/>
        <v>30.878125000000001</v>
      </c>
      <c r="Q113" s="56">
        <f t="shared" si="10"/>
        <v>162.5</v>
      </c>
      <c r="R113" s="57">
        <f t="shared" si="11"/>
        <v>8.8223214285714294E-3</v>
      </c>
      <c r="S113" s="57" t="str">
        <f t="shared" si="12"/>
        <v>II</v>
      </c>
      <c r="T113" s="57">
        <f t="shared" si="13"/>
        <v>0.91904165786576064</v>
      </c>
      <c r="U113" s="56">
        <f t="shared" si="17"/>
        <v>1</v>
      </c>
      <c r="V113" s="56">
        <f t="shared" si="14"/>
        <v>1147.6148955240988</v>
      </c>
      <c r="W113" s="56">
        <f t="shared" si="15"/>
        <v>1166.6666666666667</v>
      </c>
      <c r="X113" s="56">
        <f t="shared" si="16"/>
        <v>1.6601188444724155</v>
      </c>
      <c r="Y113" s="56"/>
      <c r="Z113" s="56"/>
      <c r="AA113" s="56"/>
      <c r="AB113" s="56"/>
      <c r="AC113" s="56"/>
      <c r="AD113" s="56"/>
    </row>
    <row r="114" spans="1:30">
      <c r="A114" s="37">
        <v>112</v>
      </c>
      <c r="B114" s="37" t="s">
        <v>440</v>
      </c>
      <c r="C114" s="34">
        <v>1900</v>
      </c>
      <c r="D114" s="34">
        <v>2800</v>
      </c>
      <c r="E114" s="34">
        <v>1750</v>
      </c>
      <c r="F114" s="34">
        <v>120</v>
      </c>
      <c r="G114" s="34">
        <v>2800</v>
      </c>
      <c r="H114" s="34">
        <v>20</v>
      </c>
      <c r="I114" s="34">
        <v>4616</v>
      </c>
      <c r="J114" s="34">
        <v>16</v>
      </c>
      <c r="K114" s="34">
        <v>35</v>
      </c>
      <c r="L114" s="31">
        <v>28</v>
      </c>
      <c r="M114" s="34">
        <v>28</v>
      </c>
      <c r="N114" s="56">
        <v>2000</v>
      </c>
      <c r="O114" s="56">
        <v>3500</v>
      </c>
      <c r="P114" s="57">
        <f t="shared" si="9"/>
        <v>31.634319999999999</v>
      </c>
      <c r="Q114" s="56">
        <f t="shared" si="10"/>
        <v>164.85714285714286</v>
      </c>
      <c r="R114" s="57">
        <f t="shared" si="11"/>
        <v>9.038377142857143E-3</v>
      </c>
      <c r="S114" s="57" t="str">
        <f t="shared" si="12"/>
        <v>II</v>
      </c>
      <c r="T114" s="57">
        <f t="shared" si="13"/>
        <v>0.91692662806423064</v>
      </c>
      <c r="U114" s="56">
        <f t="shared" si="17"/>
        <v>1</v>
      </c>
      <c r="V114" s="56">
        <f t="shared" si="14"/>
        <v>1147.3016684915647</v>
      </c>
      <c r="W114" s="56">
        <f t="shared" si="15"/>
        <v>1166.6666666666667</v>
      </c>
      <c r="X114" s="56">
        <f t="shared" si="16"/>
        <v>1.6878732688119027</v>
      </c>
      <c r="Y114" s="56"/>
      <c r="Z114" s="56"/>
      <c r="AA114" s="56"/>
      <c r="AB114" s="56"/>
      <c r="AC114" s="56"/>
      <c r="AD114" s="56"/>
    </row>
    <row r="115" spans="1:30">
      <c r="A115" s="38">
        <v>113</v>
      </c>
      <c r="B115" s="38" t="s">
        <v>441</v>
      </c>
      <c r="C115" s="26">
        <v>1900</v>
      </c>
      <c r="D115" s="26">
        <v>2800</v>
      </c>
      <c r="E115" s="26">
        <v>1750</v>
      </c>
      <c r="F115" s="26">
        <v>120</v>
      </c>
      <c r="G115" s="26">
        <v>2800</v>
      </c>
      <c r="H115" s="26">
        <v>20</v>
      </c>
      <c r="I115" s="26">
        <v>4687</v>
      </c>
      <c r="J115" s="26">
        <v>16</v>
      </c>
      <c r="K115" s="26">
        <v>35</v>
      </c>
      <c r="L115" s="31">
        <v>28</v>
      </c>
      <c r="M115" s="26">
        <v>28</v>
      </c>
      <c r="N115" s="56">
        <v>2000</v>
      </c>
      <c r="O115" s="56">
        <v>3500</v>
      </c>
      <c r="P115" s="57">
        <f t="shared" si="9"/>
        <v>32.459961249999999</v>
      </c>
      <c r="Q115" s="56">
        <f t="shared" si="10"/>
        <v>167.39285714285714</v>
      </c>
      <c r="R115" s="57">
        <f t="shared" si="11"/>
        <v>9.2742746428571433E-3</v>
      </c>
      <c r="S115" s="57" t="str">
        <f t="shared" si="12"/>
        <v>II</v>
      </c>
      <c r="T115" s="57">
        <f t="shared" si="13"/>
        <v>0.91474528261460941</v>
      </c>
      <c r="U115" s="56">
        <f t="shared" si="17"/>
        <v>1</v>
      </c>
      <c r="V115" s="56">
        <f t="shared" si="14"/>
        <v>1146.9854426823431</v>
      </c>
      <c r="W115" s="56">
        <f t="shared" si="15"/>
        <v>1166.6666666666667</v>
      </c>
      <c r="X115" s="56">
        <f t="shared" si="16"/>
        <v>1.7159087859299322</v>
      </c>
      <c r="Y115" s="56"/>
      <c r="Z115" s="56"/>
      <c r="AA115" s="56"/>
      <c r="AB115" s="56"/>
      <c r="AC115" s="56"/>
      <c r="AD115" s="56"/>
    </row>
    <row r="116" spans="1:30">
      <c r="A116" s="38">
        <v>114</v>
      </c>
      <c r="B116" s="38" t="s">
        <v>442</v>
      </c>
      <c r="C116" s="26">
        <v>1900</v>
      </c>
      <c r="D116" s="26">
        <v>2800</v>
      </c>
      <c r="E116" s="26">
        <v>1750</v>
      </c>
      <c r="F116" s="26">
        <v>120</v>
      </c>
      <c r="G116" s="26">
        <v>2800</v>
      </c>
      <c r="H116" s="26">
        <v>20</v>
      </c>
      <c r="I116" s="26">
        <v>4762</v>
      </c>
      <c r="J116" s="26">
        <v>16</v>
      </c>
      <c r="K116" s="26">
        <v>35</v>
      </c>
      <c r="L116" s="31">
        <v>28</v>
      </c>
      <c r="M116" s="26">
        <v>28</v>
      </c>
      <c r="N116" s="56">
        <v>2000</v>
      </c>
      <c r="O116" s="56">
        <v>3500</v>
      </c>
      <c r="P116" s="57">
        <f t="shared" si="9"/>
        <v>33.345804999999999</v>
      </c>
      <c r="Q116" s="56">
        <f t="shared" si="10"/>
        <v>170.07142857142858</v>
      </c>
      <c r="R116" s="57">
        <f t="shared" si="11"/>
        <v>9.5273728571428559E-3</v>
      </c>
      <c r="S116" s="57" t="str">
        <f t="shared" si="12"/>
        <v>II</v>
      </c>
      <c r="T116" s="57">
        <f t="shared" si="13"/>
        <v>0.91254091449820995</v>
      </c>
      <c r="U116" s="56">
        <f t="shared" si="17"/>
        <v>1</v>
      </c>
      <c r="V116" s="56">
        <f t="shared" si="14"/>
        <v>1146.6759216574328</v>
      </c>
      <c r="W116" s="56">
        <f t="shared" si="15"/>
        <v>1166.6666666666667</v>
      </c>
      <c r="X116" s="56">
        <f t="shared" si="16"/>
        <v>1.7433648541550286</v>
      </c>
      <c r="Y116" s="56"/>
      <c r="Z116" s="56"/>
      <c r="AA116" s="56"/>
      <c r="AB116" s="56"/>
      <c r="AC116" s="56"/>
      <c r="AD116" s="56"/>
    </row>
    <row r="117" spans="1:30">
      <c r="A117" s="38">
        <v>115</v>
      </c>
      <c r="B117" s="38" t="s">
        <v>443</v>
      </c>
      <c r="C117" s="26">
        <v>1900</v>
      </c>
      <c r="D117" s="26">
        <v>2800</v>
      </c>
      <c r="E117" s="26">
        <v>1750</v>
      </c>
      <c r="F117" s="26">
        <v>120</v>
      </c>
      <c r="G117" s="26">
        <v>2800</v>
      </c>
      <c r="H117" s="26">
        <v>20</v>
      </c>
      <c r="I117" s="26">
        <v>4841</v>
      </c>
      <c r="J117" s="26">
        <v>16</v>
      </c>
      <c r="K117" s="26">
        <v>35</v>
      </c>
      <c r="L117" s="31">
        <v>28</v>
      </c>
      <c r="M117" s="26">
        <v>28</v>
      </c>
      <c r="N117" s="56">
        <v>2000</v>
      </c>
      <c r="O117" s="56">
        <v>3500</v>
      </c>
      <c r="P117" s="57">
        <f t="shared" si="9"/>
        <v>34.294101249999997</v>
      </c>
      <c r="Q117" s="56">
        <f t="shared" si="10"/>
        <v>172.89285714285714</v>
      </c>
      <c r="R117" s="57">
        <f t="shared" si="11"/>
        <v>9.7983146428571415E-3</v>
      </c>
      <c r="S117" s="57" t="str">
        <f t="shared" si="12"/>
        <v>II</v>
      </c>
      <c r="T117" s="57">
        <f t="shared" si="13"/>
        <v>0.91032351996510807</v>
      </c>
      <c r="U117" s="56">
        <f t="shared" si="17"/>
        <v>1</v>
      </c>
      <c r="V117" s="56">
        <f t="shared" si="14"/>
        <v>1146.372415395668</v>
      </c>
      <c r="W117" s="56">
        <f t="shared" si="15"/>
        <v>1166.6666666666667</v>
      </c>
      <c r="X117" s="56">
        <f t="shared" si="16"/>
        <v>1.7703017796353935</v>
      </c>
      <c r="Y117" s="56"/>
      <c r="Z117" s="56"/>
      <c r="AA117" s="56"/>
      <c r="AB117" s="56"/>
      <c r="AC117" s="56"/>
      <c r="AD117" s="56"/>
    </row>
    <row r="118" spans="1:30">
      <c r="A118" s="37">
        <v>116</v>
      </c>
      <c r="B118" s="37" t="s">
        <v>444</v>
      </c>
      <c r="C118" s="34">
        <v>1900</v>
      </c>
      <c r="D118" s="34">
        <v>2800</v>
      </c>
      <c r="E118" s="34">
        <v>1750</v>
      </c>
      <c r="F118" s="34">
        <v>120</v>
      </c>
      <c r="G118" s="34">
        <v>2800</v>
      </c>
      <c r="H118" s="34">
        <v>20</v>
      </c>
      <c r="I118" s="34">
        <v>4923</v>
      </c>
      <c r="J118" s="34">
        <v>16</v>
      </c>
      <c r="K118" s="34">
        <v>42</v>
      </c>
      <c r="L118" s="31">
        <v>35</v>
      </c>
      <c r="M118" s="34">
        <v>35</v>
      </c>
      <c r="N118" s="56">
        <v>2000</v>
      </c>
      <c r="O118" s="56">
        <v>3500</v>
      </c>
      <c r="P118" s="57">
        <f t="shared" si="9"/>
        <v>35.294911249999998</v>
      </c>
      <c r="Q118" s="56">
        <f t="shared" si="10"/>
        <v>140.65714285714284</v>
      </c>
      <c r="R118" s="57">
        <f t="shared" si="11"/>
        <v>1.0084260357142856E-2</v>
      </c>
      <c r="S118" s="57">
        <f t="shared" si="12"/>
        <v>1</v>
      </c>
      <c r="T118" s="57">
        <f t="shared" si="13"/>
        <v>1</v>
      </c>
      <c r="U118" s="56">
        <f t="shared" si="17"/>
        <v>1</v>
      </c>
      <c r="V118" s="56">
        <f t="shared" si="14"/>
        <v>1166.6666666666667</v>
      </c>
      <c r="W118" s="56">
        <f t="shared" si="15"/>
        <v>1166.6666666666667</v>
      </c>
      <c r="X118" s="56">
        <f t="shared" si="16"/>
        <v>0</v>
      </c>
      <c r="Y118" s="56"/>
      <c r="Z118" s="56"/>
      <c r="AA118" s="56"/>
      <c r="AB118" s="56"/>
      <c r="AC118" s="56"/>
      <c r="AD118" s="56"/>
    </row>
    <row r="119" spans="1:30">
      <c r="A119" s="38">
        <v>117</v>
      </c>
      <c r="B119" s="38" t="s">
        <v>445</v>
      </c>
      <c r="C119" s="26">
        <v>1900</v>
      </c>
      <c r="D119" s="26">
        <v>2800</v>
      </c>
      <c r="E119" s="26">
        <v>1750</v>
      </c>
      <c r="F119" s="26">
        <v>120</v>
      </c>
      <c r="G119" s="26">
        <v>2800</v>
      </c>
      <c r="H119" s="26">
        <v>20</v>
      </c>
      <c r="I119" s="26">
        <v>5010</v>
      </c>
      <c r="J119" s="26">
        <v>16</v>
      </c>
      <c r="K119" s="26">
        <v>42</v>
      </c>
      <c r="L119" s="31">
        <v>35</v>
      </c>
      <c r="M119" s="26">
        <v>35</v>
      </c>
      <c r="N119" s="56">
        <v>2000</v>
      </c>
      <c r="O119" s="56">
        <v>3500</v>
      </c>
      <c r="P119" s="57">
        <f t="shared" si="9"/>
        <v>36.375124999999997</v>
      </c>
      <c r="Q119" s="56">
        <f t="shared" si="10"/>
        <v>143.14285714285714</v>
      </c>
      <c r="R119" s="57">
        <f t="shared" si="11"/>
        <v>1.0392892857142856E-2</v>
      </c>
      <c r="S119" s="57">
        <f t="shared" si="12"/>
        <v>1</v>
      </c>
      <c r="T119" s="57">
        <f t="shared" si="13"/>
        <v>1</v>
      </c>
      <c r="U119" s="56">
        <f t="shared" si="17"/>
        <v>1</v>
      </c>
      <c r="V119" s="56">
        <f t="shared" si="14"/>
        <v>1166.6666666666667</v>
      </c>
      <c r="W119" s="56">
        <f t="shared" si="15"/>
        <v>1166.6666666666667</v>
      </c>
      <c r="X119" s="56">
        <f t="shared" si="16"/>
        <v>0</v>
      </c>
      <c r="Y119" s="56"/>
      <c r="Z119" s="56"/>
      <c r="AA119" s="56"/>
      <c r="AB119" s="56"/>
      <c r="AC119" s="56"/>
      <c r="AD119" s="56"/>
    </row>
    <row r="120" spans="1:30">
      <c r="A120" s="38">
        <v>118</v>
      </c>
      <c r="B120" s="38" t="s">
        <v>446</v>
      </c>
      <c r="C120" s="26">
        <v>1900</v>
      </c>
      <c r="D120" s="26">
        <v>2800</v>
      </c>
      <c r="E120" s="26">
        <v>1750</v>
      </c>
      <c r="F120" s="26">
        <v>120</v>
      </c>
      <c r="G120" s="26">
        <v>2800</v>
      </c>
      <c r="H120" s="26">
        <v>20</v>
      </c>
      <c r="I120" s="26">
        <v>5100</v>
      </c>
      <c r="J120" s="26">
        <v>16</v>
      </c>
      <c r="K120" s="26">
        <v>42</v>
      </c>
      <c r="L120" s="31">
        <v>35</v>
      </c>
      <c r="M120" s="26">
        <v>35</v>
      </c>
      <c r="N120" s="56">
        <v>2000</v>
      </c>
      <c r="O120" s="56">
        <v>3500</v>
      </c>
      <c r="P120" s="57">
        <f t="shared" si="9"/>
        <v>37.512500000000003</v>
      </c>
      <c r="Q120" s="56">
        <f t="shared" si="10"/>
        <v>145.71428571428572</v>
      </c>
      <c r="R120" s="57">
        <f t="shared" si="11"/>
        <v>1.0717857142857144E-2</v>
      </c>
      <c r="S120" s="57">
        <f t="shared" si="12"/>
        <v>1</v>
      </c>
      <c r="T120" s="57">
        <f t="shared" si="13"/>
        <v>1</v>
      </c>
      <c r="U120" s="56">
        <f t="shared" si="17"/>
        <v>1</v>
      </c>
      <c r="V120" s="56">
        <f t="shared" si="14"/>
        <v>1166.6666666666667</v>
      </c>
      <c r="W120" s="56">
        <f t="shared" si="15"/>
        <v>1166.6666666666667</v>
      </c>
      <c r="X120" s="56">
        <f t="shared" si="16"/>
        <v>0</v>
      </c>
      <c r="Y120" s="56"/>
      <c r="Z120" s="56"/>
      <c r="AA120" s="56"/>
      <c r="AB120" s="56"/>
      <c r="AC120" s="56"/>
      <c r="AD120" s="56"/>
    </row>
    <row r="121" spans="1:30">
      <c r="A121" s="38">
        <v>119</v>
      </c>
      <c r="B121" s="38" t="s">
        <v>447</v>
      </c>
      <c r="C121" s="26">
        <v>1900</v>
      </c>
      <c r="D121" s="26">
        <v>2800</v>
      </c>
      <c r="E121" s="26">
        <v>1750</v>
      </c>
      <c r="F121" s="26">
        <v>120</v>
      </c>
      <c r="G121" s="26">
        <v>2800</v>
      </c>
      <c r="H121" s="26">
        <v>20</v>
      </c>
      <c r="I121" s="26">
        <v>5194</v>
      </c>
      <c r="J121" s="26">
        <v>16</v>
      </c>
      <c r="K121" s="26">
        <v>42</v>
      </c>
      <c r="L121" s="31">
        <v>35</v>
      </c>
      <c r="M121" s="26">
        <v>35</v>
      </c>
      <c r="N121" s="56">
        <v>2000</v>
      </c>
      <c r="O121" s="56">
        <v>3500</v>
      </c>
      <c r="P121" s="57">
        <f t="shared" si="9"/>
        <v>38.722045000000001</v>
      </c>
      <c r="Q121" s="56">
        <f t="shared" si="10"/>
        <v>148.4</v>
      </c>
      <c r="R121" s="57">
        <f t="shared" si="11"/>
        <v>1.1063441428571429E-2</v>
      </c>
      <c r="S121" s="57">
        <f t="shared" si="12"/>
        <v>1</v>
      </c>
      <c r="T121" s="57">
        <f t="shared" si="13"/>
        <v>1</v>
      </c>
      <c r="U121" s="56">
        <f t="shared" si="17"/>
        <v>1</v>
      </c>
      <c r="V121" s="56">
        <f t="shared" si="14"/>
        <v>1166.6666666666667</v>
      </c>
      <c r="W121" s="56">
        <f t="shared" si="15"/>
        <v>1166.6666666666667</v>
      </c>
      <c r="X121" s="56">
        <f t="shared" si="16"/>
        <v>0</v>
      </c>
      <c r="Y121" s="56"/>
      <c r="Z121" s="56"/>
      <c r="AA121" s="56"/>
      <c r="AB121" s="56"/>
      <c r="AC121" s="56"/>
      <c r="AD121" s="56"/>
    </row>
    <row r="122" spans="1:30">
      <c r="A122" s="37">
        <v>120</v>
      </c>
      <c r="B122" s="37" t="s">
        <v>448</v>
      </c>
      <c r="C122" s="34">
        <v>1900</v>
      </c>
      <c r="D122" s="34">
        <v>2800</v>
      </c>
      <c r="E122" s="34">
        <v>1750</v>
      </c>
      <c r="F122" s="34">
        <v>120</v>
      </c>
      <c r="G122" s="34">
        <v>2800</v>
      </c>
      <c r="H122" s="34">
        <v>20</v>
      </c>
      <c r="I122" s="34">
        <v>5292</v>
      </c>
      <c r="J122" s="34">
        <v>16</v>
      </c>
      <c r="K122" s="34">
        <v>42</v>
      </c>
      <c r="L122" s="31">
        <v>35</v>
      </c>
      <c r="M122" s="34">
        <v>35</v>
      </c>
      <c r="N122" s="56">
        <v>2000</v>
      </c>
      <c r="O122" s="56">
        <v>3500</v>
      </c>
      <c r="P122" s="57">
        <f t="shared" si="9"/>
        <v>40.00658</v>
      </c>
      <c r="Q122" s="56">
        <f t="shared" si="10"/>
        <v>151.19999999999999</v>
      </c>
      <c r="R122" s="57">
        <f t="shared" si="11"/>
        <v>1.1430451428571428E-2</v>
      </c>
      <c r="S122" s="57">
        <f t="shared" si="12"/>
        <v>1</v>
      </c>
      <c r="T122" s="57">
        <f t="shared" si="13"/>
        <v>1</v>
      </c>
      <c r="U122" s="56">
        <f t="shared" si="17"/>
        <v>1</v>
      </c>
      <c r="V122" s="56">
        <f t="shared" si="14"/>
        <v>1166.6666666666667</v>
      </c>
      <c r="W122" s="56">
        <f t="shared" si="15"/>
        <v>1166.6666666666667</v>
      </c>
      <c r="X122" s="56">
        <f t="shared" si="16"/>
        <v>0</v>
      </c>
      <c r="Y122" s="56"/>
      <c r="Z122" s="56"/>
      <c r="AA122" s="56"/>
      <c r="AB122" s="56"/>
      <c r="AC122" s="56"/>
      <c r="AD122" s="56"/>
    </row>
    <row r="123" spans="1:30">
      <c r="A123" s="38">
        <v>121</v>
      </c>
      <c r="B123" s="38" t="s">
        <v>449</v>
      </c>
      <c r="C123" s="26">
        <v>1900</v>
      </c>
      <c r="D123" s="26">
        <v>2800</v>
      </c>
      <c r="E123" s="26">
        <v>1750</v>
      </c>
      <c r="F123" s="26">
        <v>120</v>
      </c>
      <c r="G123" s="26">
        <v>2800</v>
      </c>
      <c r="H123" s="26">
        <v>20</v>
      </c>
      <c r="I123" s="26">
        <v>5393</v>
      </c>
      <c r="J123" s="26">
        <v>16</v>
      </c>
      <c r="K123" s="26">
        <v>42</v>
      </c>
      <c r="L123" s="31">
        <v>35</v>
      </c>
      <c r="M123" s="26">
        <v>35</v>
      </c>
      <c r="N123" s="56">
        <v>2000</v>
      </c>
      <c r="O123" s="56">
        <v>3500</v>
      </c>
      <c r="P123" s="57">
        <f t="shared" si="9"/>
        <v>41.355561250000001</v>
      </c>
      <c r="Q123" s="56">
        <f t="shared" si="10"/>
        <v>154.08571428571429</v>
      </c>
      <c r="R123" s="57">
        <f t="shared" si="11"/>
        <v>1.1815874642857143E-2</v>
      </c>
      <c r="S123" s="57">
        <f t="shared" si="12"/>
        <v>1</v>
      </c>
      <c r="T123" s="57">
        <f t="shared" si="13"/>
        <v>1</v>
      </c>
      <c r="U123" s="56">
        <f t="shared" si="17"/>
        <v>1</v>
      </c>
      <c r="V123" s="56">
        <f t="shared" si="14"/>
        <v>1166.6666666666667</v>
      </c>
      <c r="W123" s="56">
        <f t="shared" si="15"/>
        <v>1166.6666666666667</v>
      </c>
      <c r="X123" s="56">
        <f t="shared" si="16"/>
        <v>0</v>
      </c>
      <c r="Y123" s="56"/>
      <c r="Z123" s="56"/>
      <c r="AA123" s="56"/>
      <c r="AB123" s="56"/>
      <c r="AC123" s="56"/>
      <c r="AD123" s="56"/>
    </row>
    <row r="124" spans="1:30">
      <c r="A124" s="38">
        <v>122</v>
      </c>
      <c r="B124" s="38" t="s">
        <v>450</v>
      </c>
      <c r="C124" s="26">
        <v>1900</v>
      </c>
      <c r="D124" s="26">
        <v>2800</v>
      </c>
      <c r="E124" s="26">
        <v>1750</v>
      </c>
      <c r="F124" s="26">
        <v>120</v>
      </c>
      <c r="G124" s="26">
        <v>2800</v>
      </c>
      <c r="H124" s="26">
        <v>20</v>
      </c>
      <c r="I124" s="26">
        <v>5499</v>
      </c>
      <c r="J124" s="26">
        <v>16</v>
      </c>
      <c r="K124" s="26">
        <v>42</v>
      </c>
      <c r="L124" s="31">
        <v>35</v>
      </c>
      <c r="M124" s="26">
        <v>35</v>
      </c>
      <c r="N124" s="56">
        <v>2000</v>
      </c>
      <c r="O124" s="56">
        <v>3500</v>
      </c>
      <c r="P124" s="57">
        <f t="shared" si="9"/>
        <v>42.798751249999995</v>
      </c>
      <c r="Q124" s="56">
        <f t="shared" si="10"/>
        <v>157.11428571428573</v>
      </c>
      <c r="R124" s="57">
        <f t="shared" si="11"/>
        <v>1.2228214642857142E-2</v>
      </c>
      <c r="S124" s="57">
        <f t="shared" si="12"/>
        <v>1</v>
      </c>
      <c r="T124" s="57">
        <f t="shared" si="13"/>
        <v>1</v>
      </c>
      <c r="U124" s="56">
        <f t="shared" si="17"/>
        <v>1</v>
      </c>
      <c r="V124" s="56">
        <f t="shared" si="14"/>
        <v>1166.6666666666667</v>
      </c>
      <c r="W124" s="56">
        <f t="shared" si="15"/>
        <v>1166.6666666666667</v>
      </c>
      <c r="X124" s="56">
        <f t="shared" si="16"/>
        <v>0</v>
      </c>
      <c r="Y124" s="56"/>
      <c r="Z124" s="56"/>
      <c r="AA124" s="56"/>
      <c r="AB124" s="56"/>
      <c r="AC124" s="56"/>
      <c r="AD124" s="56"/>
    </row>
    <row r="125" spans="1:30">
      <c r="A125" s="38">
        <v>123</v>
      </c>
      <c r="B125" s="38" t="s">
        <v>451</v>
      </c>
      <c r="C125" s="26">
        <v>1900</v>
      </c>
      <c r="D125" s="26">
        <v>2800</v>
      </c>
      <c r="E125" s="26">
        <v>1750</v>
      </c>
      <c r="F125" s="26">
        <v>120</v>
      </c>
      <c r="G125" s="26">
        <v>2800</v>
      </c>
      <c r="H125" s="26">
        <v>20</v>
      </c>
      <c r="I125" s="26">
        <v>5608</v>
      </c>
      <c r="J125" s="26">
        <v>16</v>
      </c>
      <c r="K125" s="26">
        <v>42</v>
      </c>
      <c r="L125" s="31">
        <v>35</v>
      </c>
      <c r="M125" s="26">
        <v>35</v>
      </c>
      <c r="N125" s="56">
        <v>2000</v>
      </c>
      <c r="O125" s="56">
        <v>3500</v>
      </c>
      <c r="P125" s="57">
        <f t="shared" si="9"/>
        <v>44.312080000000002</v>
      </c>
      <c r="Q125" s="56">
        <f t="shared" si="10"/>
        <v>160.22857142857143</v>
      </c>
      <c r="R125" s="57">
        <f t="shared" si="11"/>
        <v>1.2660594285714286E-2</v>
      </c>
      <c r="S125" s="57">
        <f t="shared" si="12"/>
        <v>1</v>
      </c>
      <c r="T125" s="57">
        <f t="shared" si="13"/>
        <v>1</v>
      </c>
      <c r="U125" s="56">
        <f t="shared" si="17"/>
        <v>1</v>
      </c>
      <c r="V125" s="56">
        <f t="shared" si="14"/>
        <v>1166.6666666666667</v>
      </c>
      <c r="W125" s="56">
        <f t="shared" si="15"/>
        <v>1166.6666666666667</v>
      </c>
      <c r="X125" s="56">
        <f t="shared" si="16"/>
        <v>0</v>
      </c>
      <c r="Y125" s="56"/>
      <c r="Z125" s="56"/>
      <c r="AA125" s="56"/>
      <c r="AB125" s="56"/>
      <c r="AC125" s="56"/>
      <c r="AD125" s="56"/>
    </row>
    <row r="126" spans="1:30">
      <c r="A126" s="37">
        <v>124</v>
      </c>
      <c r="B126" s="37" t="s">
        <v>452</v>
      </c>
      <c r="C126" s="34">
        <v>1900</v>
      </c>
      <c r="D126" s="34">
        <v>2800</v>
      </c>
      <c r="E126" s="34">
        <v>1750</v>
      </c>
      <c r="F126" s="34">
        <v>120</v>
      </c>
      <c r="G126" s="34">
        <v>2800</v>
      </c>
      <c r="H126" s="34">
        <v>20</v>
      </c>
      <c r="I126" s="34">
        <v>5722</v>
      </c>
      <c r="J126" s="34">
        <v>16</v>
      </c>
      <c r="K126" s="34">
        <v>42</v>
      </c>
      <c r="L126" s="31">
        <v>35</v>
      </c>
      <c r="M126" s="34">
        <v>35</v>
      </c>
      <c r="N126" s="56">
        <v>2000</v>
      </c>
      <c r="O126" s="56">
        <v>3500</v>
      </c>
      <c r="P126" s="57">
        <f t="shared" si="9"/>
        <v>45.926604999999995</v>
      </c>
      <c r="Q126" s="56">
        <f t="shared" si="10"/>
        <v>163.48571428571429</v>
      </c>
      <c r="R126" s="57">
        <f t="shared" si="11"/>
        <v>1.3121887142857142E-2</v>
      </c>
      <c r="S126" s="57">
        <f t="shared" si="12"/>
        <v>1</v>
      </c>
      <c r="T126" s="57">
        <f t="shared" si="13"/>
        <v>1</v>
      </c>
      <c r="U126" s="56">
        <f t="shared" si="17"/>
        <v>1</v>
      </c>
      <c r="V126" s="56">
        <f t="shared" si="14"/>
        <v>1166.6666666666667</v>
      </c>
      <c r="W126" s="56">
        <f t="shared" si="15"/>
        <v>1166.6666666666667</v>
      </c>
      <c r="X126" s="56">
        <f t="shared" si="16"/>
        <v>0</v>
      </c>
      <c r="Y126" s="56"/>
      <c r="Z126" s="56"/>
      <c r="AA126" s="56"/>
      <c r="AB126" s="56"/>
      <c r="AC126" s="56"/>
      <c r="AD126" s="56"/>
    </row>
    <row r="127" spans="1:30">
      <c r="A127" s="38">
        <v>125</v>
      </c>
      <c r="B127" s="38" t="s">
        <v>453</v>
      </c>
      <c r="C127" s="26">
        <v>1900</v>
      </c>
      <c r="D127" s="26">
        <v>2800</v>
      </c>
      <c r="E127" s="26">
        <v>1750</v>
      </c>
      <c r="F127" s="26">
        <v>120</v>
      </c>
      <c r="G127" s="26">
        <v>2800</v>
      </c>
      <c r="H127" s="26">
        <v>20</v>
      </c>
      <c r="I127" s="26">
        <v>5839</v>
      </c>
      <c r="J127" s="26">
        <v>16</v>
      </c>
      <c r="K127" s="26">
        <v>42</v>
      </c>
      <c r="L127" s="31">
        <v>35</v>
      </c>
      <c r="M127" s="26">
        <v>35</v>
      </c>
      <c r="N127" s="56">
        <v>2000</v>
      </c>
      <c r="O127" s="56">
        <v>3500</v>
      </c>
      <c r="P127" s="57">
        <f t="shared" si="9"/>
        <v>47.61740125</v>
      </c>
      <c r="Q127" s="56">
        <f t="shared" si="10"/>
        <v>166.82857142857142</v>
      </c>
      <c r="R127" s="57">
        <f t="shared" si="11"/>
        <v>1.3604971785714286E-2</v>
      </c>
      <c r="S127" s="57">
        <f t="shared" si="12"/>
        <v>1</v>
      </c>
      <c r="T127" s="57">
        <f t="shared" si="13"/>
        <v>1</v>
      </c>
      <c r="U127" s="56">
        <f t="shared" si="17"/>
        <v>1</v>
      </c>
      <c r="V127" s="56">
        <f t="shared" si="14"/>
        <v>1166.6666666666667</v>
      </c>
      <c r="W127" s="56">
        <f t="shared" si="15"/>
        <v>1166.6666666666667</v>
      </c>
      <c r="X127" s="56">
        <f t="shared" si="16"/>
        <v>0</v>
      </c>
      <c r="Y127" s="56"/>
      <c r="Z127" s="56"/>
      <c r="AA127" s="56"/>
      <c r="AB127" s="56"/>
      <c r="AC127" s="56"/>
      <c r="AD127" s="56"/>
    </row>
    <row r="128" spans="1:30">
      <c r="A128" s="38">
        <v>126</v>
      </c>
      <c r="B128" s="38" t="s">
        <v>454</v>
      </c>
      <c r="C128" s="26">
        <v>1900</v>
      </c>
      <c r="D128" s="26">
        <v>2800</v>
      </c>
      <c r="E128" s="26">
        <v>1750</v>
      </c>
      <c r="F128" s="26">
        <v>120</v>
      </c>
      <c r="G128" s="26">
        <v>2800</v>
      </c>
      <c r="H128" s="26">
        <v>20</v>
      </c>
      <c r="I128" s="26">
        <v>5960</v>
      </c>
      <c r="J128" s="26">
        <v>16</v>
      </c>
      <c r="K128" s="26">
        <v>42</v>
      </c>
      <c r="L128" s="31">
        <v>35</v>
      </c>
      <c r="M128" s="26">
        <v>35</v>
      </c>
      <c r="N128" s="56">
        <v>2000</v>
      </c>
      <c r="O128" s="56">
        <v>3500</v>
      </c>
      <c r="P128" s="57">
        <f t="shared" si="9"/>
        <v>49.401999999999994</v>
      </c>
      <c r="Q128" s="56">
        <f t="shared" si="10"/>
        <v>170.28571428571428</v>
      </c>
      <c r="R128" s="57">
        <f t="shared" si="11"/>
        <v>1.4114857142857141E-2</v>
      </c>
      <c r="S128" s="57">
        <f t="shared" si="12"/>
        <v>1</v>
      </c>
      <c r="T128" s="57">
        <f t="shared" si="13"/>
        <v>1</v>
      </c>
      <c r="U128" s="56">
        <f t="shared" si="17"/>
        <v>1</v>
      </c>
      <c r="V128" s="56">
        <f t="shared" si="14"/>
        <v>1166.6666666666667</v>
      </c>
      <c r="W128" s="56">
        <f t="shared" si="15"/>
        <v>1166.6666666666667</v>
      </c>
      <c r="X128" s="56">
        <f t="shared" si="16"/>
        <v>0</v>
      </c>
      <c r="Y128" s="56"/>
      <c r="Z128" s="56"/>
      <c r="AA128" s="56"/>
      <c r="AB128" s="56"/>
      <c r="AC128" s="56"/>
      <c r="AD128" s="56"/>
    </row>
    <row r="129" spans="1:30">
      <c r="A129" s="38">
        <v>127</v>
      </c>
      <c r="B129" s="38" t="s">
        <v>455</v>
      </c>
      <c r="C129" s="26">
        <v>1900</v>
      </c>
      <c r="D129" s="26">
        <v>2800</v>
      </c>
      <c r="E129" s="26">
        <v>1750</v>
      </c>
      <c r="F129" s="26">
        <v>120</v>
      </c>
      <c r="G129" s="26">
        <v>2800</v>
      </c>
      <c r="H129" s="26">
        <v>20</v>
      </c>
      <c r="I129" s="26">
        <v>6085</v>
      </c>
      <c r="J129" s="26">
        <v>16</v>
      </c>
      <c r="K129" s="26">
        <v>42</v>
      </c>
      <c r="L129" s="31">
        <v>35</v>
      </c>
      <c r="M129" s="26">
        <v>35</v>
      </c>
      <c r="N129" s="56">
        <v>2000</v>
      </c>
      <c r="O129" s="56">
        <v>3500</v>
      </c>
      <c r="P129" s="57">
        <f t="shared" si="9"/>
        <v>51.284031249999998</v>
      </c>
      <c r="Q129" s="56">
        <f t="shared" si="10"/>
        <v>173.85714285714286</v>
      </c>
      <c r="R129" s="57">
        <f t="shared" si="11"/>
        <v>1.4652580357142857E-2</v>
      </c>
      <c r="S129" s="57">
        <f t="shared" si="12"/>
        <v>1</v>
      </c>
      <c r="T129" s="57">
        <f t="shared" si="13"/>
        <v>1</v>
      </c>
      <c r="U129" s="56">
        <f t="shared" si="17"/>
        <v>1</v>
      </c>
      <c r="V129" s="56">
        <f t="shared" si="14"/>
        <v>1166.6666666666667</v>
      </c>
      <c r="W129" s="56">
        <f t="shared" si="15"/>
        <v>1166.6666666666667</v>
      </c>
      <c r="X129" s="56">
        <f t="shared" si="16"/>
        <v>0</v>
      </c>
      <c r="Y129" s="56"/>
      <c r="Z129" s="56"/>
      <c r="AA129" s="56"/>
      <c r="AB129" s="56"/>
      <c r="AC129" s="56"/>
      <c r="AD129" s="56"/>
    </row>
    <row r="130" spans="1:30">
      <c r="A130" s="37">
        <v>128</v>
      </c>
      <c r="B130" s="37" t="s">
        <v>456</v>
      </c>
      <c r="C130" s="34">
        <v>1900</v>
      </c>
      <c r="D130" s="34">
        <v>2800</v>
      </c>
      <c r="E130" s="34">
        <v>1750</v>
      </c>
      <c r="F130" s="34">
        <v>120</v>
      </c>
      <c r="G130" s="34">
        <v>2800</v>
      </c>
      <c r="H130" s="34">
        <v>20</v>
      </c>
      <c r="I130" s="34">
        <v>6214</v>
      </c>
      <c r="J130" s="34">
        <v>16</v>
      </c>
      <c r="K130" s="34">
        <v>42</v>
      </c>
      <c r="L130" s="31">
        <v>38</v>
      </c>
      <c r="M130" s="34">
        <v>38</v>
      </c>
      <c r="N130" s="56">
        <v>2000</v>
      </c>
      <c r="O130" s="56">
        <v>3500</v>
      </c>
      <c r="P130" s="57">
        <f t="shared" si="9"/>
        <v>53.267244999999988</v>
      </c>
      <c r="Q130" s="56">
        <f t="shared" si="10"/>
        <v>163.52631578947367</v>
      </c>
      <c r="R130" s="57">
        <f t="shared" si="11"/>
        <v>1.5219212857142854E-2</v>
      </c>
      <c r="S130" s="57">
        <f t="shared" si="12"/>
        <v>1</v>
      </c>
      <c r="T130" s="57">
        <f t="shared" si="13"/>
        <v>1</v>
      </c>
      <c r="U130" s="56">
        <f t="shared" si="17"/>
        <v>1</v>
      </c>
      <c r="V130" s="56">
        <f t="shared" si="14"/>
        <v>1166.6666666666667</v>
      </c>
      <c r="W130" s="56">
        <f t="shared" si="15"/>
        <v>1166.6666666666667</v>
      </c>
      <c r="X130" s="56">
        <f t="shared" si="16"/>
        <v>0</v>
      </c>
      <c r="Y130" s="56"/>
      <c r="Z130" s="56"/>
      <c r="AA130" s="56"/>
      <c r="AB130" s="56"/>
      <c r="AC130" s="56"/>
      <c r="AD130" s="56"/>
    </row>
    <row r="131" spans="1:30">
      <c r="A131" s="38">
        <v>129</v>
      </c>
      <c r="B131" s="38" t="s">
        <v>457</v>
      </c>
      <c r="C131" s="26">
        <v>1900</v>
      </c>
      <c r="D131" s="26">
        <v>2800</v>
      </c>
      <c r="E131" s="26">
        <v>1750</v>
      </c>
      <c r="F131" s="26">
        <v>120</v>
      </c>
      <c r="G131" s="26">
        <v>2800</v>
      </c>
      <c r="H131" s="26">
        <v>20</v>
      </c>
      <c r="I131" s="26">
        <v>6358</v>
      </c>
      <c r="J131" s="26">
        <v>16</v>
      </c>
      <c r="K131" s="26">
        <v>42</v>
      </c>
      <c r="L131" s="31">
        <v>38</v>
      </c>
      <c r="M131" s="26">
        <v>38</v>
      </c>
      <c r="N131" s="56">
        <v>2000</v>
      </c>
      <c r="O131" s="56">
        <v>3500</v>
      </c>
      <c r="P131" s="57">
        <f t="shared" si="9"/>
        <v>55.530205000000002</v>
      </c>
      <c r="Q131" s="56">
        <f t="shared" si="10"/>
        <v>167.31578947368422</v>
      </c>
      <c r="R131" s="57">
        <f t="shared" si="11"/>
        <v>1.5865772857142857E-2</v>
      </c>
      <c r="S131" s="57">
        <f t="shared" si="12"/>
        <v>1</v>
      </c>
      <c r="T131" s="57">
        <f t="shared" si="13"/>
        <v>1</v>
      </c>
      <c r="U131" s="56">
        <f t="shared" si="17"/>
        <v>1</v>
      </c>
      <c r="V131" s="56">
        <f t="shared" si="14"/>
        <v>1166.6666666666667</v>
      </c>
      <c r="W131" s="56">
        <f t="shared" si="15"/>
        <v>1166.6666666666667</v>
      </c>
      <c r="X131" s="56">
        <f t="shared" si="16"/>
        <v>0</v>
      </c>
      <c r="Y131" s="56"/>
      <c r="Z131" s="56"/>
      <c r="AA131" s="56"/>
      <c r="AB131" s="56"/>
      <c r="AC131" s="56"/>
      <c r="AD131" s="56"/>
    </row>
    <row r="132" spans="1:30">
      <c r="A132" s="38">
        <v>130</v>
      </c>
      <c r="B132" s="38" t="s">
        <v>458</v>
      </c>
      <c r="C132" s="26">
        <v>1900</v>
      </c>
      <c r="D132" s="26">
        <v>2800</v>
      </c>
      <c r="E132" s="26">
        <v>1750</v>
      </c>
      <c r="F132" s="26">
        <v>120</v>
      </c>
      <c r="G132" s="26">
        <v>2800</v>
      </c>
      <c r="H132" s="26">
        <v>20</v>
      </c>
      <c r="I132" s="26">
        <v>6500</v>
      </c>
      <c r="J132" s="26">
        <v>16</v>
      </c>
      <c r="K132" s="26">
        <v>42</v>
      </c>
      <c r="L132" s="31">
        <v>38</v>
      </c>
      <c r="M132" s="26">
        <v>38</v>
      </c>
      <c r="N132" s="56">
        <v>2000</v>
      </c>
      <c r="O132" s="56">
        <v>3500</v>
      </c>
      <c r="P132" s="57">
        <f t="shared" ref="P132:P195" si="18">5+5/(N132/I132)^2</f>
        <v>57.812499999999993</v>
      </c>
      <c r="Q132" s="56">
        <f t="shared" ref="Q132:Q195" si="19">I132/L132</f>
        <v>171.05263157894737</v>
      </c>
      <c r="R132" s="57">
        <f t="shared" ref="R132:R195" si="20">P132/O132</f>
        <v>1.651785714285714E-2</v>
      </c>
      <c r="S132" s="57">
        <f t="shared" ref="S132:S195" si="21">IF(Q132&lt;1590*SQRT(R132),1,IF(Q132&lt;=1990*SQRT(R132),"II","III"))</f>
        <v>1</v>
      </c>
      <c r="T132" s="57">
        <f t="shared" ref="T132:T195" si="22">IF(Q132&lt;1590*SQRT(R132),1,IF(Q132&lt;=1990*SQRT(R132),1590*SQRT(R132)/Q132,3170000*R132/(Q132)^2))</f>
        <v>1</v>
      </c>
      <c r="U132" s="56">
        <f t="shared" si="17"/>
        <v>1</v>
      </c>
      <c r="V132" s="56">
        <f t="shared" ref="V132:V195" si="23">O132/3*(T132+0.87*(1-T132)/SQRT(1+(N132/I133)^2))</f>
        <v>1166.6666666666667</v>
      </c>
      <c r="W132" s="56">
        <f t="shared" ref="W132:W195" si="24">O132/3*(U132+0.87*(1-U132)/SQRT(1+(N132/I133)^2))</f>
        <v>1166.6666666666667</v>
      </c>
      <c r="X132" s="56">
        <f t="shared" ref="X132:X195" si="25">(W132-V132)/V132*100</f>
        <v>0</v>
      </c>
      <c r="Y132" s="56"/>
      <c r="Z132" s="56"/>
      <c r="AA132" s="56"/>
      <c r="AB132" s="56"/>
      <c r="AC132" s="56"/>
      <c r="AD132" s="56"/>
    </row>
    <row r="133" spans="1:30">
      <c r="A133" s="36">
        <v>131</v>
      </c>
      <c r="B133" s="36" t="s">
        <v>459</v>
      </c>
      <c r="C133" s="31">
        <v>1900</v>
      </c>
      <c r="D133" s="31">
        <v>2800</v>
      </c>
      <c r="E133" s="31">
        <v>1750</v>
      </c>
      <c r="F133" s="31">
        <v>120</v>
      </c>
      <c r="G133" s="31">
        <v>2800</v>
      </c>
      <c r="H133" s="31">
        <v>20</v>
      </c>
      <c r="I133" s="31">
        <v>6500</v>
      </c>
      <c r="J133" s="31">
        <v>16</v>
      </c>
      <c r="K133" s="31">
        <v>42</v>
      </c>
      <c r="L133" s="31">
        <v>38</v>
      </c>
      <c r="M133" s="31">
        <v>38</v>
      </c>
      <c r="N133" s="56">
        <v>2000</v>
      </c>
      <c r="O133" s="56">
        <v>3500</v>
      </c>
      <c r="P133" s="57">
        <f t="shared" si="18"/>
        <v>57.812499999999993</v>
      </c>
      <c r="Q133" s="56">
        <f t="shared" si="19"/>
        <v>171.05263157894737</v>
      </c>
      <c r="R133" s="57">
        <f t="shared" si="20"/>
        <v>1.651785714285714E-2</v>
      </c>
      <c r="S133" s="57">
        <f t="shared" si="21"/>
        <v>1</v>
      </c>
      <c r="T133" s="57">
        <f t="shared" si="22"/>
        <v>1</v>
      </c>
      <c r="U133" s="56">
        <f t="shared" ref="U133:U196" si="26">MIN(15500000*(1+(I133/N133)^2)/O133/(I133/L133)^2,1)</f>
        <v>1</v>
      </c>
      <c r="V133" s="56">
        <f t="shared" si="23"/>
        <v>1166.6666666666667</v>
      </c>
      <c r="W133" s="56">
        <f t="shared" si="24"/>
        <v>1166.6666666666667</v>
      </c>
      <c r="X133" s="56">
        <f t="shared" si="25"/>
        <v>0</v>
      </c>
      <c r="Y133" s="56"/>
      <c r="Z133" s="56"/>
      <c r="AA133" s="56"/>
      <c r="AB133" s="56"/>
      <c r="AC133" s="56"/>
      <c r="AD133" s="56"/>
    </row>
    <row r="134" spans="1:30">
      <c r="A134" s="38">
        <v>132</v>
      </c>
      <c r="B134" s="38" t="s">
        <v>460</v>
      </c>
      <c r="C134" s="26">
        <v>1900</v>
      </c>
      <c r="D134" s="26">
        <v>2800</v>
      </c>
      <c r="E134" s="26">
        <v>1750</v>
      </c>
      <c r="F134" s="26">
        <v>120</v>
      </c>
      <c r="G134" s="26">
        <v>2800</v>
      </c>
      <c r="H134" s="26">
        <v>20</v>
      </c>
      <c r="I134" s="26">
        <v>6500</v>
      </c>
      <c r="J134" s="26">
        <v>16</v>
      </c>
      <c r="K134" s="26">
        <v>42</v>
      </c>
      <c r="L134" s="31">
        <v>38</v>
      </c>
      <c r="M134" s="26">
        <v>38</v>
      </c>
      <c r="N134" s="56">
        <v>2000</v>
      </c>
      <c r="O134" s="56">
        <v>3500</v>
      </c>
      <c r="P134" s="57">
        <f t="shared" si="18"/>
        <v>57.812499999999993</v>
      </c>
      <c r="Q134" s="56">
        <f t="shared" si="19"/>
        <v>171.05263157894737</v>
      </c>
      <c r="R134" s="57">
        <f t="shared" si="20"/>
        <v>1.651785714285714E-2</v>
      </c>
      <c r="S134" s="57">
        <f t="shared" si="21"/>
        <v>1</v>
      </c>
      <c r="T134" s="57">
        <f t="shared" si="22"/>
        <v>1</v>
      </c>
      <c r="U134" s="56">
        <f t="shared" si="26"/>
        <v>1</v>
      </c>
      <c r="V134" s="56">
        <f t="shared" si="23"/>
        <v>1166.6666666666667</v>
      </c>
      <c r="W134" s="56">
        <f t="shared" si="24"/>
        <v>1166.6666666666667</v>
      </c>
      <c r="X134" s="56">
        <f t="shared" si="25"/>
        <v>0</v>
      </c>
      <c r="Y134" s="56"/>
      <c r="Z134" s="56"/>
      <c r="AA134" s="56"/>
      <c r="AB134" s="56"/>
      <c r="AC134" s="56"/>
      <c r="AD134" s="56"/>
    </row>
    <row r="135" spans="1:30">
      <c r="A135" s="38">
        <v>133</v>
      </c>
      <c r="B135" s="38" t="s">
        <v>461</v>
      </c>
      <c r="C135" s="26">
        <v>1900</v>
      </c>
      <c r="D135" s="26">
        <v>2800</v>
      </c>
      <c r="E135" s="26">
        <v>1750</v>
      </c>
      <c r="F135" s="26">
        <v>120</v>
      </c>
      <c r="G135" s="26">
        <v>2800</v>
      </c>
      <c r="H135" s="26">
        <v>20</v>
      </c>
      <c r="I135" s="26">
        <v>6358</v>
      </c>
      <c r="J135" s="26">
        <v>16</v>
      </c>
      <c r="K135" s="26">
        <v>42</v>
      </c>
      <c r="L135" s="31">
        <v>38</v>
      </c>
      <c r="M135" s="26">
        <v>38</v>
      </c>
      <c r="N135" s="56">
        <v>2000</v>
      </c>
      <c r="O135" s="56">
        <v>3500</v>
      </c>
      <c r="P135" s="57">
        <f t="shared" si="18"/>
        <v>55.530205000000002</v>
      </c>
      <c r="Q135" s="56">
        <f t="shared" si="19"/>
        <v>167.31578947368422</v>
      </c>
      <c r="R135" s="57">
        <f t="shared" si="20"/>
        <v>1.5865772857142857E-2</v>
      </c>
      <c r="S135" s="57">
        <f t="shared" si="21"/>
        <v>1</v>
      </c>
      <c r="T135" s="57">
        <f t="shared" si="22"/>
        <v>1</v>
      </c>
      <c r="U135" s="56">
        <f t="shared" si="26"/>
        <v>1</v>
      </c>
      <c r="V135" s="56">
        <f t="shared" si="23"/>
        <v>1166.6666666666667</v>
      </c>
      <c r="W135" s="56">
        <f t="shared" si="24"/>
        <v>1166.6666666666667</v>
      </c>
      <c r="X135" s="56">
        <f t="shared" si="25"/>
        <v>0</v>
      </c>
      <c r="Y135" s="56"/>
      <c r="Z135" s="56"/>
      <c r="AA135" s="56"/>
      <c r="AB135" s="56"/>
      <c r="AC135" s="56"/>
      <c r="AD135" s="56"/>
    </row>
    <row r="136" spans="1:30">
      <c r="A136" s="37">
        <v>134</v>
      </c>
      <c r="B136" s="37" t="s">
        <v>462</v>
      </c>
      <c r="C136" s="34">
        <v>1900</v>
      </c>
      <c r="D136" s="34">
        <v>2800</v>
      </c>
      <c r="E136" s="34">
        <v>1750</v>
      </c>
      <c r="F136" s="34">
        <v>120</v>
      </c>
      <c r="G136" s="34">
        <v>2800</v>
      </c>
      <c r="H136" s="34">
        <v>20</v>
      </c>
      <c r="I136" s="34">
        <v>6214</v>
      </c>
      <c r="J136" s="34">
        <v>16</v>
      </c>
      <c r="K136" s="34">
        <v>42</v>
      </c>
      <c r="L136" s="31">
        <v>38</v>
      </c>
      <c r="M136" s="34">
        <v>38</v>
      </c>
      <c r="N136" s="56">
        <v>2000</v>
      </c>
      <c r="O136" s="56">
        <v>3500</v>
      </c>
      <c r="P136" s="57">
        <f t="shared" si="18"/>
        <v>53.267244999999988</v>
      </c>
      <c r="Q136" s="56">
        <f t="shared" si="19"/>
        <v>163.52631578947367</v>
      </c>
      <c r="R136" s="57">
        <f t="shared" si="20"/>
        <v>1.5219212857142854E-2</v>
      </c>
      <c r="S136" s="57">
        <f t="shared" si="21"/>
        <v>1</v>
      </c>
      <c r="T136" s="57">
        <f t="shared" si="22"/>
        <v>1</v>
      </c>
      <c r="U136" s="56">
        <f t="shared" si="26"/>
        <v>1</v>
      </c>
      <c r="V136" s="56">
        <f t="shared" si="23"/>
        <v>1166.6666666666667</v>
      </c>
      <c r="W136" s="56">
        <f t="shared" si="24"/>
        <v>1166.6666666666667</v>
      </c>
      <c r="X136" s="56">
        <f t="shared" si="25"/>
        <v>0</v>
      </c>
      <c r="Y136" s="56"/>
      <c r="Z136" s="56"/>
      <c r="AA136" s="56"/>
      <c r="AB136" s="56"/>
      <c r="AC136" s="56"/>
      <c r="AD136" s="56"/>
    </row>
    <row r="137" spans="1:30">
      <c r="A137" s="38">
        <v>135</v>
      </c>
      <c r="B137" s="38" t="s">
        <v>463</v>
      </c>
      <c r="C137" s="26">
        <v>1900</v>
      </c>
      <c r="D137" s="26">
        <v>2800</v>
      </c>
      <c r="E137" s="26">
        <v>1750</v>
      </c>
      <c r="F137" s="26">
        <v>120</v>
      </c>
      <c r="G137" s="26">
        <v>2800</v>
      </c>
      <c r="H137" s="26">
        <v>20</v>
      </c>
      <c r="I137" s="26">
        <v>6085</v>
      </c>
      <c r="J137" s="26">
        <v>16</v>
      </c>
      <c r="K137" s="26">
        <v>42</v>
      </c>
      <c r="L137" s="31">
        <v>35</v>
      </c>
      <c r="M137" s="26">
        <v>35</v>
      </c>
      <c r="N137" s="56">
        <v>2000</v>
      </c>
      <c r="O137" s="56">
        <v>3500</v>
      </c>
      <c r="P137" s="57">
        <f t="shared" si="18"/>
        <v>51.284031249999998</v>
      </c>
      <c r="Q137" s="56">
        <f t="shared" si="19"/>
        <v>173.85714285714286</v>
      </c>
      <c r="R137" s="57">
        <f t="shared" si="20"/>
        <v>1.4652580357142857E-2</v>
      </c>
      <c r="S137" s="57">
        <f t="shared" si="21"/>
        <v>1</v>
      </c>
      <c r="T137" s="57">
        <f t="shared" si="22"/>
        <v>1</v>
      </c>
      <c r="U137" s="56">
        <f t="shared" si="26"/>
        <v>1</v>
      </c>
      <c r="V137" s="56">
        <f t="shared" si="23"/>
        <v>1166.6666666666667</v>
      </c>
      <c r="W137" s="56">
        <f t="shared" si="24"/>
        <v>1166.6666666666667</v>
      </c>
      <c r="X137" s="56">
        <f t="shared" si="25"/>
        <v>0</v>
      </c>
      <c r="Y137" s="56"/>
      <c r="Z137" s="56"/>
      <c r="AA137" s="56"/>
      <c r="AB137" s="56"/>
      <c r="AC137" s="56"/>
      <c r="AD137" s="56"/>
    </row>
    <row r="138" spans="1:30">
      <c r="A138" s="38">
        <v>136</v>
      </c>
      <c r="B138" s="38" t="s">
        <v>464</v>
      </c>
      <c r="C138" s="26">
        <v>1900</v>
      </c>
      <c r="D138" s="26">
        <v>2800</v>
      </c>
      <c r="E138" s="26">
        <v>1750</v>
      </c>
      <c r="F138" s="26">
        <v>120</v>
      </c>
      <c r="G138" s="26">
        <v>2800</v>
      </c>
      <c r="H138" s="26">
        <v>20</v>
      </c>
      <c r="I138" s="26">
        <v>5960</v>
      </c>
      <c r="J138" s="26">
        <v>16</v>
      </c>
      <c r="K138" s="26">
        <v>42</v>
      </c>
      <c r="L138" s="31">
        <v>35</v>
      </c>
      <c r="M138" s="26">
        <v>35</v>
      </c>
      <c r="N138" s="56">
        <v>2000</v>
      </c>
      <c r="O138" s="56">
        <v>3500</v>
      </c>
      <c r="P138" s="57">
        <f t="shared" si="18"/>
        <v>49.401999999999994</v>
      </c>
      <c r="Q138" s="56">
        <f t="shared" si="19"/>
        <v>170.28571428571428</v>
      </c>
      <c r="R138" s="57">
        <f t="shared" si="20"/>
        <v>1.4114857142857141E-2</v>
      </c>
      <c r="S138" s="57">
        <f t="shared" si="21"/>
        <v>1</v>
      </c>
      <c r="T138" s="57">
        <f t="shared" si="22"/>
        <v>1</v>
      </c>
      <c r="U138" s="56">
        <f t="shared" si="26"/>
        <v>1</v>
      </c>
      <c r="V138" s="56">
        <f t="shared" si="23"/>
        <v>1166.6666666666667</v>
      </c>
      <c r="W138" s="56">
        <f t="shared" si="24"/>
        <v>1166.6666666666667</v>
      </c>
      <c r="X138" s="56">
        <f t="shared" si="25"/>
        <v>0</v>
      </c>
      <c r="Y138" s="56"/>
      <c r="Z138" s="56"/>
      <c r="AA138" s="56"/>
      <c r="AB138" s="56"/>
      <c r="AC138" s="56"/>
      <c r="AD138" s="56"/>
    </row>
    <row r="139" spans="1:30">
      <c r="A139" s="38">
        <v>137</v>
      </c>
      <c r="B139" s="38" t="s">
        <v>465</v>
      </c>
      <c r="C139" s="26">
        <v>1900</v>
      </c>
      <c r="D139" s="26">
        <v>2800</v>
      </c>
      <c r="E139" s="26">
        <v>1750</v>
      </c>
      <c r="F139" s="26">
        <v>120</v>
      </c>
      <c r="G139" s="26">
        <v>2800</v>
      </c>
      <c r="H139" s="26">
        <v>20</v>
      </c>
      <c r="I139" s="26">
        <v>5839</v>
      </c>
      <c r="J139" s="26">
        <v>16</v>
      </c>
      <c r="K139" s="26">
        <v>42</v>
      </c>
      <c r="L139" s="31">
        <v>35</v>
      </c>
      <c r="M139" s="26">
        <v>35</v>
      </c>
      <c r="N139" s="56">
        <v>2000</v>
      </c>
      <c r="O139" s="56">
        <v>3500</v>
      </c>
      <c r="P139" s="57">
        <f t="shared" si="18"/>
        <v>47.61740125</v>
      </c>
      <c r="Q139" s="56">
        <f t="shared" si="19"/>
        <v>166.82857142857142</v>
      </c>
      <c r="R139" s="57">
        <f t="shared" si="20"/>
        <v>1.3604971785714286E-2</v>
      </c>
      <c r="S139" s="57">
        <f t="shared" si="21"/>
        <v>1</v>
      </c>
      <c r="T139" s="57">
        <f t="shared" si="22"/>
        <v>1</v>
      </c>
      <c r="U139" s="56">
        <f t="shared" si="26"/>
        <v>1</v>
      </c>
      <c r="V139" s="56">
        <f t="shared" si="23"/>
        <v>1166.6666666666667</v>
      </c>
      <c r="W139" s="56">
        <f t="shared" si="24"/>
        <v>1166.6666666666667</v>
      </c>
      <c r="X139" s="56">
        <f t="shared" si="25"/>
        <v>0</v>
      </c>
      <c r="Y139" s="56"/>
      <c r="Z139" s="56"/>
      <c r="AA139" s="56"/>
      <c r="AB139" s="56"/>
      <c r="AC139" s="56"/>
      <c r="AD139" s="56"/>
    </row>
    <row r="140" spans="1:30">
      <c r="A140" s="37">
        <v>138</v>
      </c>
      <c r="B140" s="37" t="s">
        <v>466</v>
      </c>
      <c r="C140" s="34">
        <v>1900</v>
      </c>
      <c r="D140" s="34">
        <v>2800</v>
      </c>
      <c r="E140" s="34">
        <v>1750</v>
      </c>
      <c r="F140" s="34">
        <v>120</v>
      </c>
      <c r="G140" s="34">
        <v>2800</v>
      </c>
      <c r="H140" s="34">
        <v>20</v>
      </c>
      <c r="I140" s="34">
        <v>5722</v>
      </c>
      <c r="J140" s="34">
        <v>16</v>
      </c>
      <c r="K140" s="34">
        <v>42</v>
      </c>
      <c r="L140" s="31">
        <v>35</v>
      </c>
      <c r="M140" s="34">
        <v>35</v>
      </c>
      <c r="N140" s="56">
        <v>2000</v>
      </c>
      <c r="O140" s="56">
        <v>3500</v>
      </c>
      <c r="P140" s="57">
        <f t="shared" si="18"/>
        <v>45.926604999999995</v>
      </c>
      <c r="Q140" s="56">
        <f t="shared" si="19"/>
        <v>163.48571428571429</v>
      </c>
      <c r="R140" s="57">
        <f t="shared" si="20"/>
        <v>1.3121887142857142E-2</v>
      </c>
      <c r="S140" s="57">
        <f t="shared" si="21"/>
        <v>1</v>
      </c>
      <c r="T140" s="57">
        <f t="shared" si="22"/>
        <v>1</v>
      </c>
      <c r="U140" s="56">
        <f t="shared" si="26"/>
        <v>1</v>
      </c>
      <c r="V140" s="56">
        <f t="shared" si="23"/>
        <v>1166.6666666666667</v>
      </c>
      <c r="W140" s="56">
        <f t="shared" si="24"/>
        <v>1166.6666666666667</v>
      </c>
      <c r="X140" s="56">
        <f t="shared" si="25"/>
        <v>0</v>
      </c>
      <c r="Y140" s="56"/>
      <c r="Z140" s="56"/>
      <c r="AA140" s="56"/>
      <c r="AB140" s="56"/>
      <c r="AC140" s="56"/>
      <c r="AD140" s="56"/>
    </row>
    <row r="141" spans="1:30">
      <c r="A141" s="38">
        <v>139</v>
      </c>
      <c r="B141" s="38" t="s">
        <v>467</v>
      </c>
      <c r="C141" s="26">
        <v>1900</v>
      </c>
      <c r="D141" s="26">
        <v>2800</v>
      </c>
      <c r="E141" s="26">
        <v>1750</v>
      </c>
      <c r="F141" s="26">
        <v>120</v>
      </c>
      <c r="G141" s="26">
        <v>2800</v>
      </c>
      <c r="H141" s="26">
        <v>20</v>
      </c>
      <c r="I141" s="26">
        <v>5608</v>
      </c>
      <c r="J141" s="26">
        <v>16</v>
      </c>
      <c r="K141" s="26">
        <v>38</v>
      </c>
      <c r="L141" s="31">
        <v>25</v>
      </c>
      <c r="M141" s="26">
        <v>25</v>
      </c>
      <c r="N141" s="56">
        <v>2000</v>
      </c>
      <c r="O141" s="56">
        <v>3500</v>
      </c>
      <c r="P141" s="57">
        <f t="shared" si="18"/>
        <v>44.312080000000002</v>
      </c>
      <c r="Q141" s="56">
        <f t="shared" si="19"/>
        <v>224.32</v>
      </c>
      <c r="R141" s="57">
        <f t="shared" si="20"/>
        <v>1.2660594285714286E-2</v>
      </c>
      <c r="S141" s="57" t="str">
        <f t="shared" si="21"/>
        <v>III</v>
      </c>
      <c r="T141" s="57">
        <f t="shared" si="22"/>
        <v>0.79758570484477775</v>
      </c>
      <c r="U141" s="56">
        <f t="shared" si="26"/>
        <v>0.77997340221413591</v>
      </c>
      <c r="V141" s="56">
        <f t="shared" si="23"/>
        <v>1123.5935924933551</v>
      </c>
      <c r="W141" s="56">
        <f t="shared" si="24"/>
        <v>1119.8457543429383</v>
      </c>
      <c r="X141" s="56">
        <f t="shared" si="25"/>
        <v>-0.33355816333021204</v>
      </c>
      <c r="Y141" s="56"/>
      <c r="Z141" s="56"/>
      <c r="AA141" s="56"/>
      <c r="AB141" s="56"/>
      <c r="AC141" s="56"/>
      <c r="AD141" s="56"/>
    </row>
    <row r="142" spans="1:30">
      <c r="A142" s="38">
        <v>140</v>
      </c>
      <c r="B142" s="38" t="s">
        <v>468</v>
      </c>
      <c r="C142" s="26">
        <v>1900</v>
      </c>
      <c r="D142" s="26">
        <v>2800</v>
      </c>
      <c r="E142" s="26">
        <v>1750</v>
      </c>
      <c r="F142" s="26">
        <v>120</v>
      </c>
      <c r="G142" s="26">
        <v>2800</v>
      </c>
      <c r="H142" s="26">
        <v>20</v>
      </c>
      <c r="I142" s="26">
        <v>5499</v>
      </c>
      <c r="J142" s="26">
        <v>16</v>
      </c>
      <c r="K142" s="26">
        <v>38</v>
      </c>
      <c r="L142" s="31">
        <v>25</v>
      </c>
      <c r="M142" s="26">
        <v>25</v>
      </c>
      <c r="N142" s="56">
        <v>2000</v>
      </c>
      <c r="O142" s="56">
        <v>3500</v>
      </c>
      <c r="P142" s="57">
        <f t="shared" si="18"/>
        <v>42.798751249999995</v>
      </c>
      <c r="Q142" s="56">
        <f t="shared" si="19"/>
        <v>219.96</v>
      </c>
      <c r="R142" s="57">
        <f t="shared" si="20"/>
        <v>1.2228214642857142E-2</v>
      </c>
      <c r="S142" s="57" t="str">
        <f t="shared" si="21"/>
        <v>II</v>
      </c>
      <c r="T142" s="57">
        <f t="shared" si="22"/>
        <v>0.79934624649084041</v>
      </c>
      <c r="U142" s="56">
        <f t="shared" si="26"/>
        <v>0.78349697698464671</v>
      </c>
      <c r="V142" s="56">
        <f t="shared" si="23"/>
        <v>1123.5259564744674</v>
      </c>
      <c r="W142" s="56">
        <f t="shared" si="24"/>
        <v>1120.1183514306199</v>
      </c>
      <c r="X142" s="56">
        <f t="shared" si="25"/>
        <v>-0.30329562251862086</v>
      </c>
      <c r="Y142" s="56"/>
      <c r="Z142" s="56"/>
      <c r="AA142" s="56"/>
      <c r="AB142" s="56"/>
      <c r="AC142" s="56"/>
      <c r="AD142" s="56"/>
    </row>
    <row r="143" spans="1:30">
      <c r="A143" s="38">
        <v>141</v>
      </c>
      <c r="B143" s="38" t="s">
        <v>469</v>
      </c>
      <c r="C143" s="26">
        <v>1900</v>
      </c>
      <c r="D143" s="26">
        <v>2800</v>
      </c>
      <c r="E143" s="26">
        <v>1750</v>
      </c>
      <c r="F143" s="26">
        <v>120</v>
      </c>
      <c r="G143" s="26">
        <v>2800</v>
      </c>
      <c r="H143" s="26">
        <v>20</v>
      </c>
      <c r="I143" s="26">
        <v>5393</v>
      </c>
      <c r="J143" s="26">
        <v>16</v>
      </c>
      <c r="K143" s="26">
        <v>38</v>
      </c>
      <c r="L143" s="31">
        <v>25</v>
      </c>
      <c r="M143" s="26">
        <v>25</v>
      </c>
      <c r="N143" s="56">
        <v>2000</v>
      </c>
      <c r="O143" s="56">
        <v>3500</v>
      </c>
      <c r="P143" s="57">
        <f t="shared" si="18"/>
        <v>41.355561250000001</v>
      </c>
      <c r="Q143" s="56">
        <f t="shared" si="19"/>
        <v>215.72</v>
      </c>
      <c r="R143" s="57">
        <f t="shared" si="20"/>
        <v>1.1815874642857143E-2</v>
      </c>
      <c r="S143" s="57" t="str">
        <f t="shared" si="21"/>
        <v>II</v>
      </c>
      <c r="T143" s="57">
        <f t="shared" si="22"/>
        <v>0.80119761922197519</v>
      </c>
      <c r="U143" s="56">
        <f t="shared" si="26"/>
        <v>0.7871305081466633</v>
      </c>
      <c r="V143" s="56">
        <f t="shared" si="23"/>
        <v>1123.484811341254</v>
      </c>
      <c r="W143" s="56">
        <f t="shared" si="24"/>
        <v>1120.4292948382656</v>
      </c>
      <c r="X143" s="56">
        <f t="shared" si="25"/>
        <v>-0.27196776246050541</v>
      </c>
      <c r="Y143" s="56"/>
      <c r="Z143" s="56"/>
      <c r="AA143" s="56"/>
      <c r="AB143" s="56"/>
      <c r="AC143" s="56"/>
      <c r="AD143" s="56"/>
    </row>
    <row r="144" spans="1:30">
      <c r="A144" s="37">
        <v>142</v>
      </c>
      <c r="B144" s="37" t="s">
        <v>470</v>
      </c>
      <c r="C144" s="34">
        <v>1900</v>
      </c>
      <c r="D144" s="34">
        <v>2800</v>
      </c>
      <c r="E144" s="34">
        <v>1750</v>
      </c>
      <c r="F144" s="34">
        <v>120</v>
      </c>
      <c r="G144" s="34">
        <v>2800</v>
      </c>
      <c r="H144" s="34">
        <v>20</v>
      </c>
      <c r="I144" s="34">
        <v>5292</v>
      </c>
      <c r="J144" s="34">
        <v>16</v>
      </c>
      <c r="K144" s="34">
        <v>38</v>
      </c>
      <c r="L144" s="31">
        <v>25</v>
      </c>
      <c r="M144" s="34">
        <v>25</v>
      </c>
      <c r="N144" s="56">
        <v>2000</v>
      </c>
      <c r="O144" s="56">
        <v>3500</v>
      </c>
      <c r="P144" s="57">
        <f t="shared" si="18"/>
        <v>40.00658</v>
      </c>
      <c r="Q144" s="56">
        <f t="shared" si="19"/>
        <v>211.68</v>
      </c>
      <c r="R144" s="57">
        <f t="shared" si="20"/>
        <v>1.1430451428571428E-2</v>
      </c>
      <c r="S144" s="57" t="str">
        <f t="shared" si="21"/>
        <v>II</v>
      </c>
      <c r="T144" s="57">
        <f t="shared" si="22"/>
        <v>0.80306183854978497</v>
      </c>
      <c r="U144" s="56">
        <f t="shared" si="26"/>
        <v>0.79079774584010842</v>
      </c>
      <c r="V144" s="56">
        <f t="shared" si="23"/>
        <v>1123.4462334677871</v>
      </c>
      <c r="W144" s="56">
        <f t="shared" si="24"/>
        <v>1120.754731750699</v>
      </c>
      <c r="X144" s="56">
        <f t="shared" si="25"/>
        <v>-0.23957548095383174</v>
      </c>
      <c r="Y144" s="56"/>
      <c r="Z144" s="56"/>
      <c r="AA144" s="56"/>
      <c r="AB144" s="56"/>
      <c r="AC144" s="56"/>
      <c r="AD144" s="56"/>
    </row>
    <row r="145" spans="1:30">
      <c r="A145" s="38">
        <v>143</v>
      </c>
      <c r="B145" s="38" t="s">
        <v>471</v>
      </c>
      <c r="C145" s="26">
        <v>1900</v>
      </c>
      <c r="D145" s="26">
        <v>2800</v>
      </c>
      <c r="E145" s="26">
        <v>1750</v>
      </c>
      <c r="F145" s="26">
        <v>120</v>
      </c>
      <c r="G145" s="26">
        <v>2800</v>
      </c>
      <c r="H145" s="26">
        <v>20</v>
      </c>
      <c r="I145" s="26">
        <v>5194</v>
      </c>
      <c r="J145" s="26">
        <v>16</v>
      </c>
      <c r="K145" s="26">
        <v>38</v>
      </c>
      <c r="L145" s="31">
        <v>25</v>
      </c>
      <c r="M145" s="26">
        <v>25</v>
      </c>
      <c r="N145" s="56">
        <v>2000</v>
      </c>
      <c r="O145" s="56">
        <v>3500</v>
      </c>
      <c r="P145" s="57">
        <f t="shared" si="18"/>
        <v>38.722045000000001</v>
      </c>
      <c r="Q145" s="56">
        <f t="shared" si="19"/>
        <v>207.76</v>
      </c>
      <c r="R145" s="57">
        <f t="shared" si="20"/>
        <v>1.1063441428571429E-2</v>
      </c>
      <c r="S145" s="57" t="str">
        <f t="shared" si="21"/>
        <v>II</v>
      </c>
      <c r="T145" s="57">
        <f t="shared" si="22"/>
        <v>0.80497113622236638</v>
      </c>
      <c r="U145" s="56">
        <f t="shared" si="26"/>
        <v>0.79456249494422515</v>
      </c>
      <c r="V145" s="56">
        <f t="shared" si="23"/>
        <v>1123.4231370444143</v>
      </c>
      <c r="W145" s="56">
        <f t="shared" si="24"/>
        <v>1121.115240773471</v>
      </c>
      <c r="X145" s="56">
        <f t="shared" si="25"/>
        <v>-0.20543428338275646</v>
      </c>
      <c r="Y145" s="56"/>
      <c r="Z145" s="56"/>
      <c r="AA145" s="56"/>
      <c r="AB145" s="56"/>
      <c r="AC145" s="56"/>
      <c r="AD145" s="56"/>
    </row>
    <row r="146" spans="1:30">
      <c r="A146" s="38">
        <v>144</v>
      </c>
      <c r="B146" s="38" t="s">
        <v>472</v>
      </c>
      <c r="C146" s="26">
        <v>1900</v>
      </c>
      <c r="D146" s="26">
        <v>2800</v>
      </c>
      <c r="E146" s="26">
        <v>1750</v>
      </c>
      <c r="F146" s="26">
        <v>120</v>
      </c>
      <c r="G146" s="26">
        <v>2800</v>
      </c>
      <c r="H146" s="26">
        <v>20</v>
      </c>
      <c r="I146" s="26">
        <v>5100</v>
      </c>
      <c r="J146" s="26">
        <v>16</v>
      </c>
      <c r="K146" s="26">
        <v>38</v>
      </c>
      <c r="L146" s="31">
        <v>25</v>
      </c>
      <c r="M146" s="26">
        <v>25</v>
      </c>
      <c r="N146" s="56">
        <v>2000</v>
      </c>
      <c r="O146" s="56">
        <v>3500</v>
      </c>
      <c r="P146" s="57">
        <f t="shared" si="18"/>
        <v>37.512500000000003</v>
      </c>
      <c r="Q146" s="56">
        <f t="shared" si="19"/>
        <v>204</v>
      </c>
      <c r="R146" s="57">
        <f t="shared" si="20"/>
        <v>1.0717857142857144E-2</v>
      </c>
      <c r="S146" s="57" t="str">
        <f t="shared" si="21"/>
        <v>II</v>
      </c>
      <c r="T146" s="57">
        <f t="shared" si="22"/>
        <v>0.80690227315526519</v>
      </c>
      <c r="U146" s="56">
        <f t="shared" si="26"/>
        <v>0.79837940077991965</v>
      </c>
      <c r="V146" s="56">
        <f t="shared" si="23"/>
        <v>1123.412095607036</v>
      </c>
      <c r="W146" s="56">
        <f t="shared" si="24"/>
        <v>1121.5029421705071</v>
      </c>
      <c r="X146" s="56">
        <f t="shared" si="25"/>
        <v>-0.16994239638280345</v>
      </c>
      <c r="Y146" s="56"/>
      <c r="Z146" s="56"/>
      <c r="AA146" s="56"/>
      <c r="AB146" s="56"/>
      <c r="AC146" s="56"/>
      <c r="AD146" s="56"/>
    </row>
    <row r="147" spans="1:30">
      <c r="A147" s="38">
        <v>145</v>
      </c>
      <c r="B147" s="38" t="s">
        <v>473</v>
      </c>
      <c r="C147" s="26">
        <v>1900</v>
      </c>
      <c r="D147" s="26">
        <v>2800</v>
      </c>
      <c r="E147" s="26">
        <v>1750</v>
      </c>
      <c r="F147" s="26">
        <v>120</v>
      </c>
      <c r="G147" s="26">
        <v>2800</v>
      </c>
      <c r="H147" s="26">
        <v>20</v>
      </c>
      <c r="I147" s="26">
        <v>5010</v>
      </c>
      <c r="J147" s="26">
        <v>16</v>
      </c>
      <c r="K147" s="26">
        <v>38</v>
      </c>
      <c r="L147" s="31">
        <v>25</v>
      </c>
      <c r="M147" s="26">
        <v>25</v>
      </c>
      <c r="N147" s="56">
        <v>2000</v>
      </c>
      <c r="O147" s="56">
        <v>3500</v>
      </c>
      <c r="P147" s="57">
        <f t="shared" si="18"/>
        <v>36.375124999999997</v>
      </c>
      <c r="Q147" s="56">
        <f t="shared" si="19"/>
        <v>200.4</v>
      </c>
      <c r="R147" s="57">
        <f t="shared" si="20"/>
        <v>1.0392892857142856E-2</v>
      </c>
      <c r="S147" s="57" t="str">
        <f t="shared" si="21"/>
        <v>II</v>
      </c>
      <c r="T147" s="57">
        <f t="shared" si="22"/>
        <v>0.80884933385340163</v>
      </c>
      <c r="U147" s="56">
        <f t="shared" si="26"/>
        <v>0.8022370393231214</v>
      </c>
      <c r="V147" s="56">
        <f t="shared" si="23"/>
        <v>1123.4082822174946</v>
      </c>
      <c r="W147" s="56">
        <f t="shared" si="24"/>
        <v>1121.9118857641197</v>
      </c>
      <c r="X147" s="56">
        <f t="shared" si="25"/>
        <v>-0.13320147955658579</v>
      </c>
      <c r="Y147" s="56"/>
      <c r="Z147" s="56"/>
      <c r="AA147" s="56"/>
      <c r="AB147" s="56"/>
      <c r="AC147" s="56"/>
      <c r="AD147" s="56"/>
    </row>
    <row r="148" spans="1:30">
      <c r="A148" s="37">
        <v>146</v>
      </c>
      <c r="B148" s="37" t="s">
        <v>474</v>
      </c>
      <c r="C148" s="34">
        <v>1900</v>
      </c>
      <c r="D148" s="34">
        <v>2800</v>
      </c>
      <c r="E148" s="34">
        <v>1750</v>
      </c>
      <c r="F148" s="34">
        <v>120</v>
      </c>
      <c r="G148" s="34">
        <v>2800</v>
      </c>
      <c r="H148" s="34">
        <v>20</v>
      </c>
      <c r="I148" s="34">
        <v>4923</v>
      </c>
      <c r="J148" s="34">
        <v>16</v>
      </c>
      <c r="K148" s="34">
        <v>38</v>
      </c>
      <c r="L148" s="31">
        <v>25</v>
      </c>
      <c r="M148" s="34">
        <v>25</v>
      </c>
      <c r="N148" s="56">
        <v>2000</v>
      </c>
      <c r="O148" s="56">
        <v>3500</v>
      </c>
      <c r="P148" s="57">
        <f t="shared" si="18"/>
        <v>35.294911249999998</v>
      </c>
      <c r="Q148" s="56">
        <f t="shared" si="19"/>
        <v>196.92</v>
      </c>
      <c r="R148" s="57">
        <f t="shared" si="20"/>
        <v>1.0084260357142856E-2</v>
      </c>
      <c r="S148" s="57" t="str">
        <f t="shared" si="21"/>
        <v>II</v>
      </c>
      <c r="T148" s="57">
        <f t="shared" si="22"/>
        <v>0.81082909133809677</v>
      </c>
      <c r="U148" s="56">
        <f t="shared" si="26"/>
        <v>0.80616899158123001</v>
      </c>
      <c r="V148" s="56">
        <f t="shared" si="23"/>
        <v>1123.4273922501993</v>
      </c>
      <c r="W148" s="56">
        <f t="shared" si="24"/>
        <v>1122.3622214286361</v>
      </c>
      <c r="X148" s="56">
        <f t="shared" si="25"/>
        <v>-9.4814389333139709E-2</v>
      </c>
      <c r="Y148" s="56"/>
      <c r="Z148" s="56"/>
      <c r="AA148" s="56"/>
      <c r="AB148" s="56"/>
      <c r="AC148" s="56"/>
      <c r="AD148" s="56"/>
    </row>
    <row r="149" spans="1:30">
      <c r="A149" s="38">
        <v>147</v>
      </c>
      <c r="B149" s="38" t="s">
        <v>475</v>
      </c>
      <c r="C149" s="26">
        <v>1900</v>
      </c>
      <c r="D149" s="26">
        <v>2800</v>
      </c>
      <c r="E149" s="26">
        <v>1750</v>
      </c>
      <c r="F149" s="26">
        <v>120</v>
      </c>
      <c r="G149" s="26">
        <v>2800</v>
      </c>
      <c r="H149" s="26">
        <v>20</v>
      </c>
      <c r="I149" s="26">
        <v>4841</v>
      </c>
      <c r="J149" s="26">
        <v>16</v>
      </c>
      <c r="K149" s="26">
        <v>32</v>
      </c>
      <c r="L149" s="31">
        <v>19</v>
      </c>
      <c r="M149" s="26">
        <v>19</v>
      </c>
      <c r="N149" s="56">
        <v>2000</v>
      </c>
      <c r="O149" s="56">
        <v>3500</v>
      </c>
      <c r="P149" s="57">
        <f t="shared" si="18"/>
        <v>34.294101249999997</v>
      </c>
      <c r="Q149" s="56">
        <f t="shared" si="19"/>
        <v>254.78947368421052</v>
      </c>
      <c r="R149" s="57">
        <f t="shared" si="20"/>
        <v>9.7983146428571415E-3</v>
      </c>
      <c r="S149" s="57" t="str">
        <f t="shared" si="21"/>
        <v>III</v>
      </c>
      <c r="T149" s="57">
        <f t="shared" si="22"/>
        <v>0.47846225218491845</v>
      </c>
      <c r="U149" s="56">
        <f t="shared" si="26"/>
        <v>0.46789683967610335</v>
      </c>
      <c r="V149" s="56">
        <f t="shared" si="23"/>
        <v>1046.2686224783549</v>
      </c>
      <c r="W149" s="56">
        <f t="shared" si="24"/>
        <v>1043.8295756261698</v>
      </c>
      <c r="X149" s="56">
        <f t="shared" si="25"/>
        <v>-0.23311860833670253</v>
      </c>
      <c r="Y149" s="56"/>
      <c r="Z149" s="56"/>
      <c r="AA149" s="56"/>
      <c r="AB149" s="56"/>
      <c r="AC149" s="56"/>
      <c r="AD149" s="56"/>
    </row>
    <row r="150" spans="1:30">
      <c r="A150" s="38">
        <v>148</v>
      </c>
      <c r="B150" s="38" t="s">
        <v>476</v>
      </c>
      <c r="C150" s="26">
        <v>1900</v>
      </c>
      <c r="D150" s="26">
        <v>2800</v>
      </c>
      <c r="E150" s="26">
        <v>1750</v>
      </c>
      <c r="F150" s="26">
        <v>120</v>
      </c>
      <c r="G150" s="26">
        <v>2800</v>
      </c>
      <c r="H150" s="26">
        <v>20</v>
      </c>
      <c r="I150" s="26">
        <v>4762</v>
      </c>
      <c r="J150" s="26">
        <v>16</v>
      </c>
      <c r="K150" s="26">
        <v>32</v>
      </c>
      <c r="L150" s="31">
        <v>19</v>
      </c>
      <c r="M150" s="26">
        <v>19</v>
      </c>
      <c r="N150" s="56">
        <v>2000</v>
      </c>
      <c r="O150" s="56">
        <v>3500</v>
      </c>
      <c r="P150" s="57">
        <f t="shared" si="18"/>
        <v>33.345804999999999</v>
      </c>
      <c r="Q150" s="56">
        <f t="shared" si="19"/>
        <v>250.63157894736841</v>
      </c>
      <c r="R150" s="57">
        <f t="shared" si="20"/>
        <v>9.5273728571428559E-3</v>
      </c>
      <c r="S150" s="57" t="str">
        <f t="shared" si="21"/>
        <v>III</v>
      </c>
      <c r="T150" s="57">
        <f t="shared" si="22"/>
        <v>0.48079599770268344</v>
      </c>
      <c r="U150" s="56">
        <f t="shared" si="26"/>
        <v>0.47017905138117305</v>
      </c>
      <c r="V150" s="56">
        <f t="shared" si="23"/>
        <v>1045.6364939084572</v>
      </c>
      <c r="W150" s="56">
        <f t="shared" si="24"/>
        <v>1043.1616076560952</v>
      </c>
      <c r="X150" s="56">
        <f t="shared" si="25"/>
        <v>-0.23668705776624144</v>
      </c>
      <c r="Y150" s="56"/>
      <c r="Z150" s="56"/>
      <c r="AA150" s="56"/>
      <c r="AB150" s="56"/>
      <c r="AC150" s="56"/>
      <c r="AD150" s="56"/>
    </row>
    <row r="151" spans="1:30">
      <c r="A151" s="38">
        <v>149</v>
      </c>
      <c r="B151" s="38" t="s">
        <v>477</v>
      </c>
      <c r="C151" s="26">
        <v>1900</v>
      </c>
      <c r="D151" s="26">
        <v>2800</v>
      </c>
      <c r="E151" s="26">
        <v>1750</v>
      </c>
      <c r="F151" s="26">
        <v>120</v>
      </c>
      <c r="G151" s="26">
        <v>2800</v>
      </c>
      <c r="H151" s="26">
        <v>20</v>
      </c>
      <c r="I151" s="26">
        <v>4687</v>
      </c>
      <c r="J151" s="26">
        <v>16</v>
      </c>
      <c r="K151" s="26">
        <v>32</v>
      </c>
      <c r="L151" s="31">
        <v>19</v>
      </c>
      <c r="M151" s="26">
        <v>19</v>
      </c>
      <c r="N151" s="56">
        <v>2000</v>
      </c>
      <c r="O151" s="56">
        <v>3500</v>
      </c>
      <c r="P151" s="57">
        <f t="shared" si="18"/>
        <v>32.459961249999999</v>
      </c>
      <c r="Q151" s="56">
        <f t="shared" si="19"/>
        <v>246.68421052631578</v>
      </c>
      <c r="R151" s="57">
        <f t="shared" si="20"/>
        <v>9.2742746428571433E-3</v>
      </c>
      <c r="S151" s="57" t="str">
        <f t="shared" si="21"/>
        <v>III</v>
      </c>
      <c r="T151" s="57">
        <f t="shared" si="22"/>
        <v>0.48312166104415161</v>
      </c>
      <c r="U151" s="56">
        <f t="shared" si="26"/>
        <v>0.47245335938071614</v>
      </c>
      <c r="V151" s="56">
        <f t="shared" si="23"/>
        <v>1045.0306800254245</v>
      </c>
      <c r="W151" s="56">
        <f t="shared" si="24"/>
        <v>1042.5201290875775</v>
      </c>
      <c r="X151" s="56">
        <f t="shared" si="25"/>
        <v>-0.24023705579495039</v>
      </c>
      <c r="Y151" s="56"/>
      <c r="Z151" s="56"/>
      <c r="AA151" s="56"/>
      <c r="AB151" s="56"/>
      <c r="AC151" s="56"/>
      <c r="AD151" s="56"/>
    </row>
    <row r="152" spans="1:30">
      <c r="A152" s="37">
        <v>150</v>
      </c>
      <c r="B152" s="37" t="s">
        <v>478</v>
      </c>
      <c r="C152" s="34">
        <v>1900</v>
      </c>
      <c r="D152" s="34">
        <v>2800</v>
      </c>
      <c r="E152" s="34">
        <v>1750</v>
      </c>
      <c r="F152" s="34">
        <v>120</v>
      </c>
      <c r="G152" s="34">
        <v>2800</v>
      </c>
      <c r="H152" s="34">
        <v>20</v>
      </c>
      <c r="I152" s="34">
        <v>4616</v>
      </c>
      <c r="J152" s="34">
        <v>16</v>
      </c>
      <c r="K152" s="34">
        <v>32</v>
      </c>
      <c r="L152" s="31">
        <v>19</v>
      </c>
      <c r="M152" s="34">
        <v>19</v>
      </c>
      <c r="N152" s="56">
        <v>2000</v>
      </c>
      <c r="O152" s="56">
        <v>3500</v>
      </c>
      <c r="P152" s="57">
        <f t="shared" si="18"/>
        <v>31.634319999999999</v>
      </c>
      <c r="Q152" s="56">
        <f t="shared" si="19"/>
        <v>242.94736842105263</v>
      </c>
      <c r="R152" s="57">
        <f t="shared" si="20"/>
        <v>9.038377142857143E-3</v>
      </c>
      <c r="S152" s="57" t="str">
        <f t="shared" si="21"/>
        <v>III</v>
      </c>
      <c r="T152" s="57">
        <f t="shared" si="22"/>
        <v>0.48542855848072292</v>
      </c>
      <c r="U152" s="56">
        <f t="shared" si="26"/>
        <v>0.47470931586442927</v>
      </c>
      <c r="V152" s="56">
        <f t="shared" si="23"/>
        <v>1044.4706617456557</v>
      </c>
      <c r="W152" s="56">
        <f t="shared" si="24"/>
        <v>1041.9251481049789</v>
      </c>
      <c r="X152" s="56">
        <f t="shared" si="25"/>
        <v>-0.24371327351812355</v>
      </c>
      <c r="Y152" s="56"/>
      <c r="Z152" s="56"/>
      <c r="AA152" s="56"/>
      <c r="AB152" s="56"/>
      <c r="AC152" s="56"/>
      <c r="AD152" s="56"/>
    </row>
    <row r="153" spans="1:30">
      <c r="A153" s="38">
        <v>151</v>
      </c>
      <c r="B153" s="38" t="s">
        <v>479</v>
      </c>
      <c r="C153" s="26">
        <v>1900</v>
      </c>
      <c r="D153" s="26">
        <v>2800</v>
      </c>
      <c r="E153" s="26">
        <v>1750</v>
      </c>
      <c r="F153" s="26">
        <v>120</v>
      </c>
      <c r="G153" s="26">
        <v>2800</v>
      </c>
      <c r="H153" s="26">
        <v>20</v>
      </c>
      <c r="I153" s="26">
        <v>4550</v>
      </c>
      <c r="J153" s="26">
        <v>16</v>
      </c>
      <c r="K153" s="26">
        <v>32</v>
      </c>
      <c r="L153" s="31">
        <v>19</v>
      </c>
      <c r="M153" s="26">
        <v>19</v>
      </c>
      <c r="N153" s="56">
        <v>2000</v>
      </c>
      <c r="O153" s="56">
        <v>3500</v>
      </c>
      <c r="P153" s="57">
        <f t="shared" si="18"/>
        <v>30.878125000000001</v>
      </c>
      <c r="Q153" s="56">
        <f t="shared" si="19"/>
        <v>239.47368421052633</v>
      </c>
      <c r="R153" s="57">
        <f t="shared" si="20"/>
        <v>8.8223214285714294E-3</v>
      </c>
      <c r="S153" s="57" t="str">
        <f t="shared" si="21"/>
        <v>III</v>
      </c>
      <c r="T153" s="57">
        <f t="shared" si="22"/>
        <v>0.48767056989321511</v>
      </c>
      <c r="U153" s="56">
        <f t="shared" si="26"/>
        <v>0.47690181913847524</v>
      </c>
      <c r="V153" s="56">
        <f t="shared" si="23"/>
        <v>1043.8993256608844</v>
      </c>
      <c r="W153" s="56">
        <f t="shared" si="24"/>
        <v>1041.3188553259322</v>
      </c>
      <c r="X153" s="56">
        <f t="shared" si="25"/>
        <v>-0.24719532540348646</v>
      </c>
      <c r="Y153" s="56"/>
      <c r="Z153" s="56"/>
      <c r="AA153" s="56"/>
      <c r="AB153" s="56"/>
      <c r="AC153" s="56"/>
      <c r="AD153" s="56"/>
    </row>
    <row r="154" spans="1:30">
      <c r="A154" s="38">
        <v>152</v>
      </c>
      <c r="B154" s="38" t="s">
        <v>480</v>
      </c>
      <c r="C154" s="26">
        <v>1900</v>
      </c>
      <c r="D154" s="26">
        <v>2800</v>
      </c>
      <c r="E154" s="26">
        <v>1750</v>
      </c>
      <c r="F154" s="26">
        <v>120</v>
      </c>
      <c r="G154" s="26">
        <v>2800</v>
      </c>
      <c r="H154" s="26">
        <v>20</v>
      </c>
      <c r="I154" s="26">
        <v>4486</v>
      </c>
      <c r="J154" s="26">
        <v>16</v>
      </c>
      <c r="K154" s="26">
        <v>32</v>
      </c>
      <c r="L154" s="31">
        <v>19</v>
      </c>
      <c r="M154" s="26">
        <v>19</v>
      </c>
      <c r="N154" s="56">
        <v>2000</v>
      </c>
      <c r="O154" s="56">
        <v>3500</v>
      </c>
      <c r="P154" s="57">
        <f t="shared" si="18"/>
        <v>30.155245000000001</v>
      </c>
      <c r="Q154" s="56">
        <f t="shared" si="19"/>
        <v>236.10526315789474</v>
      </c>
      <c r="R154" s="57">
        <f t="shared" si="20"/>
        <v>8.6157842857142852E-3</v>
      </c>
      <c r="S154" s="57" t="str">
        <f t="shared" si="21"/>
        <v>III</v>
      </c>
      <c r="T154" s="57">
        <f t="shared" si="22"/>
        <v>0.48993982482792636</v>
      </c>
      <c r="U154" s="56">
        <f t="shared" si="26"/>
        <v>0.47912096434276708</v>
      </c>
      <c r="V154" s="56">
        <f t="shared" si="23"/>
        <v>1043.3947432243856</v>
      </c>
      <c r="W154" s="56">
        <f t="shared" si="24"/>
        <v>1040.7800287134767</v>
      </c>
      <c r="X154" s="56">
        <f t="shared" si="25"/>
        <v>-0.25059686450295082</v>
      </c>
      <c r="Y154" s="56"/>
      <c r="Z154" s="56"/>
      <c r="AA154" s="56"/>
      <c r="AB154" s="56"/>
      <c r="AC154" s="56"/>
      <c r="AD154" s="56"/>
    </row>
    <row r="155" spans="1:30">
      <c r="A155" s="38">
        <v>153</v>
      </c>
      <c r="B155" s="38" t="s">
        <v>481</v>
      </c>
      <c r="C155" s="26">
        <v>1900</v>
      </c>
      <c r="D155" s="26">
        <v>2800</v>
      </c>
      <c r="E155" s="26">
        <v>1750</v>
      </c>
      <c r="F155" s="26">
        <v>120</v>
      </c>
      <c r="G155" s="26">
        <v>2800</v>
      </c>
      <c r="H155" s="26">
        <v>20</v>
      </c>
      <c r="I155" s="26">
        <v>4427</v>
      </c>
      <c r="J155" s="26">
        <v>16</v>
      </c>
      <c r="K155" s="26">
        <v>32</v>
      </c>
      <c r="L155" s="31">
        <v>19</v>
      </c>
      <c r="M155" s="26">
        <v>19</v>
      </c>
      <c r="N155" s="56">
        <v>2000</v>
      </c>
      <c r="O155" s="56">
        <v>3500</v>
      </c>
      <c r="P155" s="57">
        <f t="shared" si="18"/>
        <v>29.497911249999998</v>
      </c>
      <c r="Q155" s="56">
        <f t="shared" si="19"/>
        <v>233</v>
      </c>
      <c r="R155" s="57">
        <f t="shared" si="20"/>
        <v>8.4279746428571421E-3</v>
      </c>
      <c r="S155" s="57" t="str">
        <f t="shared" si="21"/>
        <v>III</v>
      </c>
      <c r="T155" s="57">
        <f t="shared" si="22"/>
        <v>0.4921195751967643</v>
      </c>
      <c r="U155" s="56">
        <f t="shared" si="26"/>
        <v>0.48125258142270333</v>
      </c>
      <c r="V155" s="56">
        <f t="shared" si="23"/>
        <v>1042.9167336030612</v>
      </c>
      <c r="W155" s="56">
        <f t="shared" si="24"/>
        <v>1040.268886420009</v>
      </c>
      <c r="X155" s="56">
        <f t="shared" si="25"/>
        <v>-0.25388864688213147</v>
      </c>
      <c r="Y155" s="56"/>
      <c r="Z155" s="56"/>
      <c r="AA155" s="56"/>
      <c r="AB155" s="56"/>
      <c r="AC155" s="56"/>
      <c r="AD155" s="56"/>
    </row>
    <row r="156" spans="1:30">
      <c r="A156" s="37">
        <v>154</v>
      </c>
      <c r="B156" s="37" t="s">
        <v>482</v>
      </c>
      <c r="C156" s="34">
        <v>1900</v>
      </c>
      <c r="D156" s="34">
        <v>2800</v>
      </c>
      <c r="E156" s="34">
        <v>1750</v>
      </c>
      <c r="F156" s="34">
        <v>120</v>
      </c>
      <c r="G156" s="34">
        <v>2800</v>
      </c>
      <c r="H156" s="34">
        <v>20</v>
      </c>
      <c r="I156" s="34">
        <v>4372</v>
      </c>
      <c r="J156" s="34">
        <v>16</v>
      </c>
      <c r="K156" s="34">
        <v>32</v>
      </c>
      <c r="L156" s="31">
        <v>19</v>
      </c>
      <c r="M156" s="34">
        <v>19</v>
      </c>
      <c r="N156" s="56">
        <v>2000</v>
      </c>
      <c r="O156" s="56">
        <v>3500</v>
      </c>
      <c r="P156" s="57">
        <f t="shared" si="18"/>
        <v>28.892980000000005</v>
      </c>
      <c r="Q156" s="56">
        <f t="shared" si="19"/>
        <v>230.10526315789474</v>
      </c>
      <c r="R156" s="57">
        <f t="shared" si="20"/>
        <v>8.2551371428571437E-3</v>
      </c>
      <c r="S156" s="57" t="str">
        <f t="shared" si="21"/>
        <v>III</v>
      </c>
      <c r="T156" s="57">
        <f t="shared" si="22"/>
        <v>0.49423153224144856</v>
      </c>
      <c r="U156" s="56">
        <f t="shared" si="26"/>
        <v>0.4833179021919527</v>
      </c>
      <c r="V156" s="56">
        <f t="shared" si="23"/>
        <v>1042.4561236446177</v>
      </c>
      <c r="W156" s="56">
        <f t="shared" si="24"/>
        <v>1039.7758697316024</v>
      </c>
      <c r="X156" s="56">
        <f t="shared" si="25"/>
        <v>-0.25710951782264851</v>
      </c>
      <c r="Y156" s="56"/>
      <c r="Z156" s="56"/>
      <c r="AA156" s="56"/>
      <c r="AB156" s="56"/>
      <c r="AC156" s="56"/>
      <c r="AD156" s="56"/>
    </row>
    <row r="157" spans="1:30">
      <c r="A157" s="38">
        <v>155</v>
      </c>
      <c r="B157" s="38" t="s">
        <v>483</v>
      </c>
      <c r="C157" s="26">
        <v>1900</v>
      </c>
      <c r="D157" s="26">
        <v>2800</v>
      </c>
      <c r="E157" s="26">
        <v>1750</v>
      </c>
      <c r="F157" s="26">
        <v>120</v>
      </c>
      <c r="G157" s="26">
        <v>2800</v>
      </c>
      <c r="H157" s="26">
        <v>20</v>
      </c>
      <c r="I157" s="26">
        <v>4320</v>
      </c>
      <c r="J157" s="26">
        <v>16</v>
      </c>
      <c r="K157" s="26">
        <v>28</v>
      </c>
      <c r="L157" s="31">
        <v>19</v>
      </c>
      <c r="M157" s="26">
        <v>19</v>
      </c>
      <c r="N157" s="56">
        <v>2000</v>
      </c>
      <c r="O157" s="56">
        <v>3500</v>
      </c>
      <c r="P157" s="57">
        <f t="shared" si="18"/>
        <v>28.327999999999999</v>
      </c>
      <c r="Q157" s="56">
        <f t="shared" si="19"/>
        <v>227.36842105263159</v>
      </c>
      <c r="R157" s="57">
        <f t="shared" si="20"/>
        <v>8.0937142857142857E-3</v>
      </c>
      <c r="S157" s="57" t="str">
        <f t="shared" si="21"/>
        <v>III</v>
      </c>
      <c r="T157" s="57">
        <f t="shared" si="22"/>
        <v>0.49630293087399568</v>
      </c>
      <c r="U157" s="56">
        <f t="shared" si="26"/>
        <v>0.48534356016068975</v>
      </c>
      <c r="V157" s="56">
        <f t="shared" si="23"/>
        <v>1042.0423334054926</v>
      </c>
      <c r="W157" s="56">
        <f t="shared" si="24"/>
        <v>1039.3307745106242</v>
      </c>
      <c r="X157" s="56">
        <f t="shared" si="25"/>
        <v>-0.26021580965974511</v>
      </c>
      <c r="Y157" s="56"/>
      <c r="Z157" s="56"/>
      <c r="AA157" s="56"/>
      <c r="AB157" s="56"/>
      <c r="AC157" s="56"/>
      <c r="AD157" s="56"/>
    </row>
    <row r="158" spans="1:30">
      <c r="A158" s="38">
        <v>156</v>
      </c>
      <c r="B158" s="38" t="s">
        <v>484</v>
      </c>
      <c r="C158" s="26">
        <v>1900</v>
      </c>
      <c r="D158" s="26">
        <v>2800</v>
      </c>
      <c r="E158" s="26">
        <v>1750</v>
      </c>
      <c r="F158" s="26">
        <v>120</v>
      </c>
      <c r="G158" s="26">
        <v>2800</v>
      </c>
      <c r="H158" s="26">
        <v>20</v>
      </c>
      <c r="I158" s="26">
        <v>4272</v>
      </c>
      <c r="J158" s="26">
        <v>16</v>
      </c>
      <c r="K158" s="26">
        <v>28</v>
      </c>
      <c r="L158" s="31">
        <v>19</v>
      </c>
      <c r="M158" s="26">
        <v>19</v>
      </c>
      <c r="N158" s="56">
        <v>2000</v>
      </c>
      <c r="O158" s="56">
        <v>3500</v>
      </c>
      <c r="P158" s="57">
        <f t="shared" si="18"/>
        <v>27.812480000000001</v>
      </c>
      <c r="Q158" s="56">
        <f t="shared" si="19"/>
        <v>224.84210526315789</v>
      </c>
      <c r="R158" s="57">
        <f t="shared" si="20"/>
        <v>7.9464228571428566E-3</v>
      </c>
      <c r="S158" s="57" t="str">
        <f t="shared" si="21"/>
        <v>III</v>
      </c>
      <c r="T158" s="57">
        <f t="shared" si="22"/>
        <v>0.49828251493418135</v>
      </c>
      <c r="U158" s="56">
        <f t="shared" si="26"/>
        <v>0.4872794310081901</v>
      </c>
      <c r="V158" s="56">
        <f t="shared" si="23"/>
        <v>1041.6672111749151</v>
      </c>
      <c r="W158" s="56">
        <f t="shared" si="24"/>
        <v>1038.9258686058029</v>
      </c>
      <c r="X158" s="56">
        <f t="shared" si="25"/>
        <v>-0.26316874906912341</v>
      </c>
      <c r="Y158" s="56"/>
      <c r="Z158" s="56"/>
      <c r="AA158" s="56"/>
      <c r="AB158" s="56"/>
      <c r="AC158" s="56"/>
      <c r="AD158" s="56"/>
    </row>
    <row r="159" spans="1:30">
      <c r="A159" s="38">
        <v>157</v>
      </c>
      <c r="B159" s="38" t="s">
        <v>485</v>
      </c>
      <c r="C159" s="26">
        <v>1900</v>
      </c>
      <c r="D159" s="26">
        <v>2800</v>
      </c>
      <c r="E159" s="26">
        <v>1750</v>
      </c>
      <c r="F159" s="26">
        <v>120</v>
      </c>
      <c r="G159" s="26">
        <v>2800</v>
      </c>
      <c r="H159" s="26">
        <v>20</v>
      </c>
      <c r="I159" s="26">
        <v>4228</v>
      </c>
      <c r="J159" s="26">
        <v>16</v>
      </c>
      <c r="K159" s="26">
        <v>28</v>
      </c>
      <c r="L159" s="31">
        <v>19</v>
      </c>
      <c r="M159" s="26">
        <v>19</v>
      </c>
      <c r="N159" s="56">
        <v>2000</v>
      </c>
      <c r="O159" s="56">
        <v>3500</v>
      </c>
      <c r="P159" s="57">
        <f t="shared" si="18"/>
        <v>27.34498</v>
      </c>
      <c r="Q159" s="56">
        <f t="shared" si="19"/>
        <v>222.52631578947367</v>
      </c>
      <c r="R159" s="57">
        <f t="shared" si="20"/>
        <v>7.8128514285714292E-3</v>
      </c>
      <c r="S159" s="57" t="str">
        <f t="shared" si="21"/>
        <v>III</v>
      </c>
      <c r="T159" s="57">
        <f t="shared" si="22"/>
        <v>0.50015667888907756</v>
      </c>
      <c r="U159" s="56">
        <f t="shared" si="26"/>
        <v>0.48911220963916097</v>
      </c>
      <c r="V159" s="56">
        <f t="shared" si="23"/>
        <v>1041.3314991809718</v>
      </c>
      <c r="W159" s="56">
        <f t="shared" si="24"/>
        <v>1038.5621105650505</v>
      </c>
      <c r="X159" s="56">
        <f t="shared" si="25"/>
        <v>-0.26594687840514991</v>
      </c>
      <c r="Y159" s="56"/>
      <c r="Z159" s="56"/>
      <c r="AA159" s="56"/>
      <c r="AB159" s="56"/>
      <c r="AC159" s="56"/>
      <c r="AD159" s="56"/>
    </row>
    <row r="160" spans="1:30">
      <c r="A160" s="37">
        <v>158</v>
      </c>
      <c r="B160" s="37" t="s">
        <v>486</v>
      </c>
      <c r="C160" s="34">
        <v>1900</v>
      </c>
      <c r="D160" s="34">
        <v>2800</v>
      </c>
      <c r="E160" s="34">
        <v>1750</v>
      </c>
      <c r="F160" s="34">
        <v>120</v>
      </c>
      <c r="G160" s="34">
        <v>2800</v>
      </c>
      <c r="H160" s="34">
        <v>20</v>
      </c>
      <c r="I160" s="34">
        <v>4188</v>
      </c>
      <c r="J160" s="34">
        <v>16</v>
      </c>
      <c r="K160" s="34">
        <v>28</v>
      </c>
      <c r="L160" s="31">
        <v>19</v>
      </c>
      <c r="M160" s="34">
        <v>19</v>
      </c>
      <c r="N160" s="56">
        <v>2000</v>
      </c>
      <c r="O160" s="56">
        <v>3500</v>
      </c>
      <c r="P160" s="57">
        <f t="shared" si="18"/>
        <v>26.924179999999996</v>
      </c>
      <c r="Q160" s="56">
        <f t="shared" si="19"/>
        <v>220.42105263157896</v>
      </c>
      <c r="R160" s="57">
        <f t="shared" si="20"/>
        <v>7.6926228571428563E-3</v>
      </c>
      <c r="S160" s="57" t="str">
        <f t="shared" si="21"/>
        <v>III</v>
      </c>
      <c r="T160" s="57">
        <f t="shared" si="22"/>
        <v>0.50191197681216415</v>
      </c>
      <c r="U160" s="56">
        <f t="shared" si="26"/>
        <v>0.49082874704028662</v>
      </c>
      <c r="V160" s="56">
        <f t="shared" si="23"/>
        <v>1041.0356649526414</v>
      </c>
      <c r="W160" s="56">
        <f t="shared" si="24"/>
        <v>1038.2401806333112</v>
      </c>
      <c r="X160" s="56">
        <f t="shared" si="25"/>
        <v>-0.26852915932110194</v>
      </c>
      <c r="Y160" s="56"/>
      <c r="Z160" s="56"/>
      <c r="AA160" s="56"/>
      <c r="AB160" s="56"/>
      <c r="AC160" s="56"/>
      <c r="AD160" s="56"/>
    </row>
    <row r="161" spans="1:30">
      <c r="A161" s="38">
        <v>159</v>
      </c>
      <c r="B161" s="38" t="s">
        <v>487</v>
      </c>
      <c r="C161" s="26">
        <v>1900</v>
      </c>
      <c r="D161" s="26">
        <v>2800</v>
      </c>
      <c r="E161" s="26">
        <v>1750</v>
      </c>
      <c r="F161" s="26">
        <v>120</v>
      </c>
      <c r="G161" s="26">
        <v>2800</v>
      </c>
      <c r="H161" s="26">
        <v>20</v>
      </c>
      <c r="I161" s="26">
        <v>4152</v>
      </c>
      <c r="J161" s="26">
        <v>16</v>
      </c>
      <c r="K161" s="26">
        <v>28</v>
      </c>
      <c r="L161" s="31">
        <v>19</v>
      </c>
      <c r="M161" s="26">
        <v>19</v>
      </c>
      <c r="N161" s="56">
        <v>2000</v>
      </c>
      <c r="O161" s="56">
        <v>3500</v>
      </c>
      <c r="P161" s="57">
        <f t="shared" si="18"/>
        <v>26.54888</v>
      </c>
      <c r="Q161" s="56">
        <f t="shared" si="19"/>
        <v>218.52631578947367</v>
      </c>
      <c r="R161" s="57">
        <f t="shared" si="20"/>
        <v>7.5853942857142861E-3</v>
      </c>
      <c r="S161" s="57" t="str">
        <f t="shared" si="21"/>
        <v>III</v>
      </c>
      <c r="T161" s="57">
        <f t="shared" si="22"/>
        <v>0.50353531475550339</v>
      </c>
      <c r="U161" s="56">
        <f t="shared" si="26"/>
        <v>0.49241623840443549</v>
      </c>
      <c r="V161" s="56">
        <f t="shared" si="23"/>
        <v>1040.7799199940068</v>
      </c>
      <c r="W161" s="56">
        <f t="shared" si="24"/>
        <v>1037.9604961972234</v>
      </c>
      <c r="X161" s="56">
        <f t="shared" si="25"/>
        <v>-0.27089529136954094</v>
      </c>
      <c r="Y161" s="56"/>
      <c r="Z161" s="56"/>
      <c r="AA161" s="56"/>
      <c r="AB161" s="56"/>
      <c r="AC161" s="56"/>
      <c r="AD161" s="56"/>
    </row>
    <row r="162" spans="1:30">
      <c r="A162" s="38">
        <v>160</v>
      </c>
      <c r="B162" s="38" t="s">
        <v>488</v>
      </c>
      <c r="C162" s="26">
        <v>1900</v>
      </c>
      <c r="D162" s="26">
        <v>2800</v>
      </c>
      <c r="E162" s="26">
        <v>1750</v>
      </c>
      <c r="F162" s="26">
        <v>120</v>
      </c>
      <c r="G162" s="26">
        <v>2800</v>
      </c>
      <c r="H162" s="26">
        <v>20</v>
      </c>
      <c r="I162" s="26">
        <v>4120</v>
      </c>
      <c r="J162" s="26">
        <v>16</v>
      </c>
      <c r="K162" s="26">
        <v>28</v>
      </c>
      <c r="L162" s="31">
        <v>19</v>
      </c>
      <c r="M162" s="26">
        <v>19</v>
      </c>
      <c r="N162" s="56">
        <v>2000</v>
      </c>
      <c r="O162" s="56">
        <v>3500</v>
      </c>
      <c r="P162" s="57">
        <f t="shared" si="18"/>
        <v>26.218</v>
      </c>
      <c r="Q162" s="56">
        <f t="shared" si="19"/>
        <v>216.84210526315789</v>
      </c>
      <c r="R162" s="57">
        <f t="shared" si="20"/>
        <v>7.4908571428571429E-3</v>
      </c>
      <c r="S162" s="57" t="str">
        <f t="shared" si="21"/>
        <v>III</v>
      </c>
      <c r="T162" s="57">
        <f t="shared" si="22"/>
        <v>0.50501415004780315</v>
      </c>
      <c r="U162" s="56">
        <f t="shared" si="26"/>
        <v>0.4938624180278201</v>
      </c>
      <c r="V162" s="56">
        <f t="shared" si="23"/>
        <v>1040.5429695504288</v>
      </c>
      <c r="W162" s="56">
        <f t="shared" si="24"/>
        <v>1037.7014788861086</v>
      </c>
      <c r="X162" s="56">
        <f t="shared" si="25"/>
        <v>-0.2730776861188029</v>
      </c>
      <c r="Y162" s="56"/>
      <c r="Z162" s="56"/>
      <c r="AA162" s="56"/>
      <c r="AB162" s="56"/>
      <c r="AC162" s="56"/>
      <c r="AD162" s="56"/>
    </row>
    <row r="163" spans="1:30">
      <c r="A163" s="38">
        <v>161</v>
      </c>
      <c r="B163" s="38" t="s">
        <v>489</v>
      </c>
      <c r="C163" s="26">
        <v>1900</v>
      </c>
      <c r="D163" s="26">
        <v>2800</v>
      </c>
      <c r="E163" s="26">
        <v>1750</v>
      </c>
      <c r="F163" s="26">
        <v>120</v>
      </c>
      <c r="G163" s="26">
        <v>2800</v>
      </c>
      <c r="H163" s="26">
        <v>20</v>
      </c>
      <c r="I163" s="26">
        <v>4091</v>
      </c>
      <c r="J163" s="26">
        <v>16</v>
      </c>
      <c r="K163" s="26">
        <v>28</v>
      </c>
      <c r="L163" s="31">
        <v>19</v>
      </c>
      <c r="M163" s="26">
        <v>19</v>
      </c>
      <c r="N163" s="56">
        <v>2000</v>
      </c>
      <c r="O163" s="56">
        <v>3500</v>
      </c>
      <c r="P163" s="57">
        <f t="shared" si="18"/>
        <v>25.92035125</v>
      </c>
      <c r="Q163" s="56">
        <f t="shared" si="19"/>
        <v>215.31578947368422</v>
      </c>
      <c r="R163" s="57">
        <f t="shared" si="20"/>
        <v>7.4058146428571427E-3</v>
      </c>
      <c r="S163" s="57" t="str">
        <f t="shared" si="21"/>
        <v>III</v>
      </c>
      <c r="T163" s="57">
        <f t="shared" si="22"/>
        <v>0.50638442930340544</v>
      </c>
      <c r="U163" s="56">
        <f t="shared" si="26"/>
        <v>0.49520243875096437</v>
      </c>
      <c r="V163" s="56">
        <f t="shared" si="23"/>
        <v>1040.3791151914841</v>
      </c>
      <c r="W163" s="56">
        <f t="shared" si="24"/>
        <v>1037.5182933468782</v>
      </c>
      <c r="X163" s="56">
        <f t="shared" si="25"/>
        <v>-0.27497878444814217</v>
      </c>
      <c r="Y163" s="56"/>
      <c r="Z163" s="56"/>
      <c r="AA163" s="56"/>
      <c r="AB163" s="56"/>
      <c r="AC163" s="56"/>
      <c r="AD163" s="56"/>
    </row>
    <row r="164" spans="1:30">
      <c r="A164" s="37">
        <v>162</v>
      </c>
      <c r="B164" s="37" t="s">
        <v>490</v>
      </c>
      <c r="C164" s="34">
        <v>1900</v>
      </c>
      <c r="D164" s="34">
        <v>2800</v>
      </c>
      <c r="E164" s="34">
        <v>1750</v>
      </c>
      <c r="F164" s="34">
        <v>120</v>
      </c>
      <c r="G164" s="34">
        <v>2800</v>
      </c>
      <c r="H164" s="34">
        <v>20</v>
      </c>
      <c r="I164" s="34">
        <v>4067</v>
      </c>
      <c r="J164" s="34">
        <v>16</v>
      </c>
      <c r="K164" s="34">
        <v>32</v>
      </c>
      <c r="L164" s="31">
        <v>19</v>
      </c>
      <c r="M164" s="34">
        <v>19</v>
      </c>
      <c r="N164" s="56">
        <v>2000</v>
      </c>
      <c r="O164" s="56">
        <v>3500</v>
      </c>
      <c r="P164" s="57">
        <f t="shared" si="18"/>
        <v>25.675611249999999</v>
      </c>
      <c r="Q164" s="56">
        <f t="shared" si="19"/>
        <v>214.05263157894737</v>
      </c>
      <c r="R164" s="57">
        <f t="shared" si="20"/>
        <v>7.3358889285714286E-3</v>
      </c>
      <c r="S164" s="57" t="str">
        <f t="shared" si="21"/>
        <v>III</v>
      </c>
      <c r="T164" s="57">
        <f t="shared" si="22"/>
        <v>0.50754069079755049</v>
      </c>
      <c r="U164" s="56">
        <f t="shared" si="26"/>
        <v>0.4963331676569106</v>
      </c>
      <c r="V164" s="56">
        <f t="shared" si="23"/>
        <v>1040.2210837453822</v>
      </c>
      <c r="W164" s="56">
        <f t="shared" si="24"/>
        <v>1037.3434007162662</v>
      </c>
      <c r="X164" s="56">
        <f t="shared" si="25"/>
        <v>-0.27664148266969957</v>
      </c>
      <c r="Y164" s="56"/>
      <c r="Z164" s="56"/>
      <c r="AA164" s="56"/>
      <c r="AB164" s="56"/>
      <c r="AC164" s="56"/>
      <c r="AD164" s="56"/>
    </row>
    <row r="165" spans="1:30">
      <c r="A165" s="38">
        <v>163</v>
      </c>
      <c r="B165" s="38" t="s">
        <v>491</v>
      </c>
      <c r="C165" s="26">
        <v>1900</v>
      </c>
      <c r="D165" s="26">
        <v>2800</v>
      </c>
      <c r="E165" s="26">
        <v>1750</v>
      </c>
      <c r="F165" s="26">
        <v>120</v>
      </c>
      <c r="G165" s="26">
        <v>2800</v>
      </c>
      <c r="H165" s="26">
        <v>20</v>
      </c>
      <c r="I165" s="26">
        <v>4046</v>
      </c>
      <c r="J165" s="26">
        <v>16</v>
      </c>
      <c r="K165" s="26">
        <v>32</v>
      </c>
      <c r="L165" s="31">
        <v>19</v>
      </c>
      <c r="M165" s="26">
        <v>19</v>
      </c>
      <c r="N165" s="56">
        <v>2000</v>
      </c>
      <c r="O165" s="56">
        <v>3500</v>
      </c>
      <c r="P165" s="57">
        <f t="shared" si="18"/>
        <v>25.462645000000002</v>
      </c>
      <c r="Q165" s="56">
        <f t="shared" si="19"/>
        <v>212.94736842105263</v>
      </c>
      <c r="R165" s="57">
        <f t="shared" si="20"/>
        <v>7.2750414285714295E-3</v>
      </c>
      <c r="S165" s="57" t="str">
        <f t="shared" si="21"/>
        <v>III</v>
      </c>
      <c r="T165" s="57">
        <f t="shared" si="22"/>
        <v>0.50856934426208622</v>
      </c>
      <c r="U165" s="56">
        <f t="shared" si="26"/>
        <v>0.49733910637617268</v>
      </c>
      <c r="V165" s="56">
        <f t="shared" si="23"/>
        <v>1040.1143953557125</v>
      </c>
      <c r="W165" s="56">
        <f t="shared" si="24"/>
        <v>1037.2224062312437</v>
      </c>
      <c r="X165" s="56">
        <f t="shared" si="25"/>
        <v>-0.27804529361213409</v>
      </c>
      <c r="Y165" s="56"/>
      <c r="Z165" s="56"/>
      <c r="AA165" s="56"/>
      <c r="AB165" s="56"/>
      <c r="AC165" s="56"/>
      <c r="AD165" s="56"/>
    </row>
    <row r="166" spans="1:30">
      <c r="A166" s="38">
        <v>164</v>
      </c>
      <c r="B166" s="38" t="s">
        <v>492</v>
      </c>
      <c r="C166" s="26">
        <v>1900</v>
      </c>
      <c r="D166" s="26">
        <v>2800</v>
      </c>
      <c r="E166" s="26">
        <v>1750</v>
      </c>
      <c r="F166" s="26">
        <v>120</v>
      </c>
      <c r="G166" s="26">
        <v>2800</v>
      </c>
      <c r="H166" s="26">
        <v>20</v>
      </c>
      <c r="I166" s="26">
        <v>4029</v>
      </c>
      <c r="J166" s="26">
        <v>16</v>
      </c>
      <c r="K166" s="26">
        <v>32</v>
      </c>
      <c r="L166" s="31">
        <v>19</v>
      </c>
      <c r="M166" s="26">
        <v>19</v>
      </c>
      <c r="N166" s="56">
        <v>2000</v>
      </c>
      <c r="O166" s="56">
        <v>3500</v>
      </c>
      <c r="P166" s="57">
        <f t="shared" si="18"/>
        <v>25.291051249999999</v>
      </c>
      <c r="Q166" s="56">
        <f t="shared" si="19"/>
        <v>212.05263157894737</v>
      </c>
      <c r="R166" s="57">
        <f t="shared" si="20"/>
        <v>7.2260146428571427E-3</v>
      </c>
      <c r="S166" s="57" t="str">
        <f t="shared" si="21"/>
        <v>III</v>
      </c>
      <c r="T166" s="57">
        <f t="shared" si="22"/>
        <v>0.50941387135168936</v>
      </c>
      <c r="U166" s="56">
        <f t="shared" si="26"/>
        <v>0.49816498460259845</v>
      </c>
      <c r="V166" s="56">
        <f t="shared" si="23"/>
        <v>1040.0462567856869</v>
      </c>
      <c r="W166" s="56">
        <f t="shared" si="24"/>
        <v>1037.1429161331514</v>
      </c>
      <c r="X166" s="56">
        <f t="shared" si="25"/>
        <v>-0.27915495427178177</v>
      </c>
      <c r="Y166" s="56"/>
      <c r="Z166" s="56"/>
      <c r="AA166" s="56"/>
      <c r="AB166" s="56"/>
      <c r="AC166" s="56"/>
      <c r="AD166" s="56"/>
    </row>
    <row r="167" spans="1:30">
      <c r="A167" s="38">
        <v>165</v>
      </c>
      <c r="B167" s="38" t="s">
        <v>493</v>
      </c>
      <c r="C167" s="26">
        <v>1900</v>
      </c>
      <c r="D167" s="26">
        <v>2800</v>
      </c>
      <c r="E167" s="26">
        <v>1750</v>
      </c>
      <c r="F167" s="26">
        <v>120</v>
      </c>
      <c r="G167" s="26">
        <v>2800</v>
      </c>
      <c r="H167" s="26">
        <v>20</v>
      </c>
      <c r="I167" s="26">
        <v>4016</v>
      </c>
      <c r="J167" s="26">
        <v>16</v>
      </c>
      <c r="K167" s="26">
        <v>32</v>
      </c>
      <c r="L167" s="31">
        <v>19</v>
      </c>
      <c r="M167" s="26">
        <v>19</v>
      </c>
      <c r="N167" s="56">
        <v>2000</v>
      </c>
      <c r="O167" s="56">
        <v>3500</v>
      </c>
      <c r="P167" s="57">
        <f t="shared" si="18"/>
        <v>25.160320000000002</v>
      </c>
      <c r="Q167" s="56">
        <f t="shared" si="19"/>
        <v>211.36842105263159</v>
      </c>
      <c r="R167" s="57">
        <f t="shared" si="20"/>
        <v>7.1886628571428577E-3</v>
      </c>
      <c r="S167" s="57" t="str">
        <f t="shared" si="21"/>
        <v>III</v>
      </c>
      <c r="T167" s="57">
        <f t="shared" si="22"/>
        <v>0.51006693555884597</v>
      </c>
      <c r="U167" s="56">
        <f t="shared" si="26"/>
        <v>0.49880362783357174</v>
      </c>
      <c r="V167" s="56">
        <f t="shared" si="23"/>
        <v>1040.0160354752693</v>
      </c>
      <c r="W167" s="56">
        <f t="shared" si="24"/>
        <v>1037.1044029763766</v>
      </c>
      <c r="X167" s="56">
        <f t="shared" si="25"/>
        <v>-0.27996034672312725</v>
      </c>
      <c r="Y167" s="56"/>
      <c r="Z167" s="56"/>
      <c r="AA167" s="56"/>
      <c r="AB167" s="56"/>
      <c r="AC167" s="56"/>
      <c r="AD167" s="56"/>
    </row>
    <row r="168" spans="1:30">
      <c r="A168" s="37">
        <v>166</v>
      </c>
      <c r="B168" s="37" t="s">
        <v>494</v>
      </c>
      <c r="C168" s="34">
        <v>1900</v>
      </c>
      <c r="D168" s="34">
        <v>2800</v>
      </c>
      <c r="E168" s="34">
        <v>1750</v>
      </c>
      <c r="F168" s="34">
        <v>120</v>
      </c>
      <c r="G168" s="34">
        <v>2800</v>
      </c>
      <c r="H168" s="34">
        <v>20</v>
      </c>
      <c r="I168" s="34">
        <v>4007</v>
      </c>
      <c r="J168" s="34">
        <v>16</v>
      </c>
      <c r="K168" s="34">
        <v>32</v>
      </c>
      <c r="L168" s="31">
        <v>19</v>
      </c>
      <c r="M168" s="34">
        <v>19</v>
      </c>
      <c r="N168" s="56">
        <v>2000</v>
      </c>
      <c r="O168" s="56">
        <v>3500</v>
      </c>
      <c r="P168" s="57">
        <f t="shared" si="18"/>
        <v>25.070061249999998</v>
      </c>
      <c r="Q168" s="56">
        <f t="shared" si="19"/>
        <v>210.89473684210526</v>
      </c>
      <c r="R168" s="57">
        <f t="shared" si="20"/>
        <v>7.1628746428571421E-3</v>
      </c>
      <c r="S168" s="57" t="str">
        <f t="shared" si="21"/>
        <v>III</v>
      </c>
      <c r="T168" s="57">
        <f t="shared" si="22"/>
        <v>0.5105227852161156</v>
      </c>
      <c r="U168" s="56">
        <f t="shared" si="26"/>
        <v>0.49924941141008145</v>
      </c>
      <c r="V168" s="56">
        <f t="shared" si="23"/>
        <v>1040.0230825440678</v>
      </c>
      <c r="W168" s="56">
        <f t="shared" si="24"/>
        <v>1037.1062961833782</v>
      </c>
      <c r="X168" s="56">
        <f t="shared" si="25"/>
        <v>-0.28045400238182638</v>
      </c>
      <c r="Y168" s="56"/>
      <c r="Z168" s="56"/>
      <c r="AA168" s="56"/>
      <c r="AB168" s="56"/>
      <c r="AC168" s="56"/>
      <c r="AD168" s="56"/>
    </row>
    <row r="169" spans="1:30">
      <c r="A169" s="38">
        <v>167</v>
      </c>
      <c r="B169" s="38" t="s">
        <v>495</v>
      </c>
      <c r="C169" s="26">
        <v>1900</v>
      </c>
      <c r="D169" s="26">
        <v>2800</v>
      </c>
      <c r="E169" s="26">
        <v>1750</v>
      </c>
      <c r="F169" s="26">
        <v>120</v>
      </c>
      <c r="G169" s="26">
        <v>2800</v>
      </c>
      <c r="H169" s="26">
        <v>20</v>
      </c>
      <c r="I169" s="26">
        <v>4002</v>
      </c>
      <c r="J169" s="26">
        <v>16</v>
      </c>
      <c r="K169" s="26">
        <v>32</v>
      </c>
      <c r="L169" s="31">
        <v>19</v>
      </c>
      <c r="M169" s="26">
        <v>19</v>
      </c>
      <c r="N169" s="56">
        <v>2000</v>
      </c>
      <c r="O169" s="56">
        <v>3500</v>
      </c>
      <c r="P169" s="57">
        <f t="shared" si="18"/>
        <v>25.020004999999998</v>
      </c>
      <c r="Q169" s="56">
        <f t="shared" si="19"/>
        <v>210.63157894736841</v>
      </c>
      <c r="R169" s="57">
        <f t="shared" si="20"/>
        <v>7.1485728571428564E-3</v>
      </c>
      <c r="S169" s="57" t="str">
        <f t="shared" si="21"/>
        <v>III</v>
      </c>
      <c r="T169" s="57">
        <f t="shared" si="22"/>
        <v>0.51077736497372073</v>
      </c>
      <c r="U169" s="56">
        <f t="shared" si="26"/>
        <v>0.49949836953266069</v>
      </c>
      <c r="V169" s="56">
        <f t="shared" si="23"/>
        <v>1040.0445634311081</v>
      </c>
      <c r="W169" s="56">
        <f t="shared" si="24"/>
        <v>1037.1252992293312</v>
      </c>
      <c r="X169" s="56">
        <f t="shared" si="25"/>
        <v>-0.28068645367909167</v>
      </c>
      <c r="Y169" s="56"/>
      <c r="Z169" s="56"/>
      <c r="AA169" s="56"/>
      <c r="AB169" s="56"/>
      <c r="AC169" s="56"/>
      <c r="AD169" s="56"/>
    </row>
    <row r="170" spans="1:30">
      <c r="A170" s="38">
        <v>168</v>
      </c>
      <c r="B170" s="38" t="s">
        <v>496</v>
      </c>
      <c r="C170" s="26">
        <v>1900</v>
      </c>
      <c r="D170" s="26">
        <v>2800</v>
      </c>
      <c r="E170" s="26">
        <v>1750</v>
      </c>
      <c r="F170" s="26">
        <v>120</v>
      </c>
      <c r="G170" s="26">
        <v>2800</v>
      </c>
      <c r="H170" s="26">
        <v>20</v>
      </c>
      <c r="I170" s="26">
        <v>4000</v>
      </c>
      <c r="J170" s="26">
        <v>16</v>
      </c>
      <c r="K170" s="26">
        <v>32</v>
      </c>
      <c r="L170" s="31">
        <v>19</v>
      </c>
      <c r="M170" s="26">
        <v>19</v>
      </c>
      <c r="N170" s="56">
        <v>2000</v>
      </c>
      <c r="O170" s="56">
        <v>3500</v>
      </c>
      <c r="P170" s="57">
        <f t="shared" si="18"/>
        <v>25</v>
      </c>
      <c r="Q170" s="56">
        <f t="shared" si="19"/>
        <v>210.52631578947367</v>
      </c>
      <c r="R170" s="57">
        <f t="shared" si="20"/>
        <v>7.1428571428571426E-3</v>
      </c>
      <c r="S170" s="57" t="str">
        <f t="shared" si="21"/>
        <v>III</v>
      </c>
      <c r="T170" s="57">
        <f t="shared" si="22"/>
        <v>0.51087946428571429</v>
      </c>
      <c r="U170" s="56">
        <f t="shared" si="26"/>
        <v>0.49959821428571433</v>
      </c>
      <c r="V170" s="56">
        <f t="shared" si="23"/>
        <v>1040.0709890882588</v>
      </c>
      <c r="W170" s="56">
        <f t="shared" si="24"/>
        <v>1037.1511413546204</v>
      </c>
      <c r="X170" s="56">
        <f t="shared" si="25"/>
        <v>-0.28073542712674981</v>
      </c>
      <c r="Y170" s="56"/>
      <c r="Z170" s="56"/>
      <c r="AA170" s="56"/>
      <c r="AB170" s="56"/>
      <c r="AC170" s="56"/>
      <c r="AD170" s="56"/>
    </row>
    <row r="171" spans="1:30">
      <c r="A171" s="38">
        <v>169</v>
      </c>
      <c r="B171" s="38" t="s">
        <v>497</v>
      </c>
      <c r="C171" s="26">
        <v>1900</v>
      </c>
      <c r="D171" s="26">
        <v>2800</v>
      </c>
      <c r="E171" s="26">
        <v>1750</v>
      </c>
      <c r="F171" s="26">
        <v>120</v>
      </c>
      <c r="G171" s="26">
        <v>2800</v>
      </c>
      <c r="H171" s="26">
        <v>20</v>
      </c>
      <c r="I171" s="26">
        <v>4000</v>
      </c>
      <c r="J171" s="26">
        <v>16</v>
      </c>
      <c r="K171" s="26">
        <v>32</v>
      </c>
      <c r="L171" s="31">
        <v>19</v>
      </c>
      <c r="M171" s="26">
        <v>19</v>
      </c>
      <c r="N171" s="56">
        <v>2000</v>
      </c>
      <c r="O171" s="56">
        <v>3500</v>
      </c>
      <c r="P171" s="57">
        <f t="shared" si="18"/>
        <v>25</v>
      </c>
      <c r="Q171" s="56">
        <f t="shared" si="19"/>
        <v>210.52631578947367</v>
      </c>
      <c r="R171" s="57">
        <f t="shared" si="20"/>
        <v>7.1428571428571426E-3</v>
      </c>
      <c r="S171" s="57" t="str">
        <f t="shared" si="21"/>
        <v>III</v>
      </c>
      <c r="T171" s="57">
        <f t="shared" si="22"/>
        <v>0.51087946428571429</v>
      </c>
      <c r="U171" s="56">
        <f t="shared" si="26"/>
        <v>0.49959821428571433</v>
      </c>
      <c r="V171" s="56">
        <f t="shared" si="23"/>
        <v>1040.0709890882588</v>
      </c>
      <c r="W171" s="56">
        <f t="shared" si="24"/>
        <v>1037.1511413546204</v>
      </c>
      <c r="X171" s="56">
        <f t="shared" si="25"/>
        <v>-0.28073542712674981</v>
      </c>
      <c r="Y171" s="56"/>
      <c r="Z171" s="56"/>
      <c r="AA171" s="56"/>
      <c r="AB171" s="56"/>
      <c r="AC171" s="56"/>
      <c r="AD171" s="56"/>
    </row>
    <row r="172" spans="1:30">
      <c r="A172" s="37">
        <v>170</v>
      </c>
      <c r="B172" s="37" t="s">
        <v>498</v>
      </c>
      <c r="C172" s="34">
        <v>1900</v>
      </c>
      <c r="D172" s="34">
        <v>2800</v>
      </c>
      <c r="E172" s="34">
        <v>1750</v>
      </c>
      <c r="F172" s="34">
        <v>120</v>
      </c>
      <c r="G172" s="34">
        <v>2800</v>
      </c>
      <c r="H172" s="34">
        <v>20</v>
      </c>
      <c r="I172" s="34">
        <v>4000</v>
      </c>
      <c r="J172" s="34">
        <v>16</v>
      </c>
      <c r="K172" s="34">
        <v>40</v>
      </c>
      <c r="L172" s="31">
        <v>19</v>
      </c>
      <c r="M172" s="34">
        <v>19</v>
      </c>
      <c r="N172" s="56">
        <v>2000</v>
      </c>
      <c r="O172" s="56">
        <v>3500</v>
      </c>
      <c r="P172" s="57">
        <f t="shared" si="18"/>
        <v>25</v>
      </c>
      <c r="Q172" s="56">
        <f t="shared" si="19"/>
        <v>210.52631578947367</v>
      </c>
      <c r="R172" s="57">
        <f t="shared" si="20"/>
        <v>7.1428571428571426E-3</v>
      </c>
      <c r="S172" s="57" t="str">
        <f t="shared" si="21"/>
        <v>III</v>
      </c>
      <c r="T172" s="57">
        <f t="shared" si="22"/>
        <v>0.51087946428571429</v>
      </c>
      <c r="U172" s="56">
        <f t="shared" si="26"/>
        <v>0.49959821428571433</v>
      </c>
      <c r="V172" s="56">
        <f t="shared" si="23"/>
        <v>1040.0709890882588</v>
      </c>
      <c r="W172" s="56">
        <f t="shared" si="24"/>
        <v>1037.1511413546204</v>
      </c>
      <c r="X172" s="56">
        <f t="shared" si="25"/>
        <v>-0.28073542712674981</v>
      </c>
      <c r="Y172" s="56"/>
      <c r="Z172" s="56"/>
      <c r="AA172" s="56"/>
      <c r="AB172" s="56"/>
      <c r="AC172" s="56"/>
      <c r="AD172" s="56"/>
    </row>
    <row r="173" spans="1:30">
      <c r="A173" s="38">
        <v>171</v>
      </c>
      <c r="B173" s="38" t="s">
        <v>499</v>
      </c>
      <c r="C173" s="26">
        <v>1900</v>
      </c>
      <c r="D173" s="26">
        <v>2800</v>
      </c>
      <c r="E173" s="26">
        <v>1750</v>
      </c>
      <c r="F173" s="26">
        <v>120</v>
      </c>
      <c r="G173" s="26">
        <v>2800</v>
      </c>
      <c r="H173" s="26">
        <v>20</v>
      </c>
      <c r="I173" s="26">
        <v>4000</v>
      </c>
      <c r="J173" s="26">
        <v>16</v>
      </c>
      <c r="K173" s="26">
        <v>40</v>
      </c>
      <c r="L173" s="31">
        <v>19</v>
      </c>
      <c r="M173" s="26">
        <v>19</v>
      </c>
      <c r="N173" s="56">
        <v>2000</v>
      </c>
      <c r="O173" s="56">
        <v>3500</v>
      </c>
      <c r="P173" s="57">
        <f t="shared" si="18"/>
        <v>25</v>
      </c>
      <c r="Q173" s="56">
        <f t="shared" si="19"/>
        <v>210.52631578947367</v>
      </c>
      <c r="R173" s="57">
        <f t="shared" si="20"/>
        <v>7.1428571428571426E-3</v>
      </c>
      <c r="S173" s="57" t="str">
        <f t="shared" si="21"/>
        <v>III</v>
      </c>
      <c r="T173" s="57">
        <f t="shared" si="22"/>
        <v>0.51087946428571429</v>
      </c>
      <c r="U173" s="56">
        <f t="shared" si="26"/>
        <v>0.49959821428571433</v>
      </c>
      <c r="V173" s="56">
        <f t="shared" si="23"/>
        <v>1040.0709890882588</v>
      </c>
      <c r="W173" s="56">
        <f t="shared" si="24"/>
        <v>1037.1511413546204</v>
      </c>
      <c r="X173" s="56">
        <f t="shared" si="25"/>
        <v>-0.28073542712674981</v>
      </c>
      <c r="Y173" s="56"/>
      <c r="Z173" s="56"/>
      <c r="AA173" s="56"/>
      <c r="AB173" s="56"/>
      <c r="AC173" s="56"/>
      <c r="AD173" s="56"/>
    </row>
    <row r="174" spans="1:30">
      <c r="A174" s="38">
        <v>172</v>
      </c>
      <c r="B174" s="38" t="s">
        <v>500</v>
      </c>
      <c r="C174" s="26">
        <v>1900</v>
      </c>
      <c r="D174" s="26">
        <v>2800</v>
      </c>
      <c r="E174" s="26">
        <v>1750</v>
      </c>
      <c r="F174" s="26">
        <v>120</v>
      </c>
      <c r="G174" s="26">
        <v>2800</v>
      </c>
      <c r="H174" s="26">
        <v>20</v>
      </c>
      <c r="I174" s="26">
        <v>4000</v>
      </c>
      <c r="J174" s="26">
        <v>16</v>
      </c>
      <c r="K174" s="26">
        <v>40</v>
      </c>
      <c r="L174" s="31">
        <v>19</v>
      </c>
      <c r="M174" s="26">
        <v>19</v>
      </c>
      <c r="N174" s="56">
        <v>2000</v>
      </c>
      <c r="O174" s="56">
        <v>3500</v>
      </c>
      <c r="P174" s="57">
        <f t="shared" si="18"/>
        <v>25</v>
      </c>
      <c r="Q174" s="56">
        <f t="shared" si="19"/>
        <v>210.52631578947367</v>
      </c>
      <c r="R174" s="57">
        <f t="shared" si="20"/>
        <v>7.1428571428571426E-3</v>
      </c>
      <c r="S174" s="57" t="str">
        <f t="shared" si="21"/>
        <v>III</v>
      </c>
      <c r="T174" s="57">
        <f t="shared" si="22"/>
        <v>0.51087946428571429</v>
      </c>
      <c r="U174" s="56">
        <f t="shared" si="26"/>
        <v>0.49959821428571433</v>
      </c>
      <c r="V174" s="56">
        <f t="shared" si="23"/>
        <v>1040.0709890882588</v>
      </c>
      <c r="W174" s="56">
        <f t="shared" si="24"/>
        <v>1037.1511413546204</v>
      </c>
      <c r="X174" s="56">
        <f t="shared" si="25"/>
        <v>-0.28073542712674981</v>
      </c>
      <c r="Y174" s="56"/>
      <c r="Z174" s="56"/>
      <c r="AA174" s="56"/>
      <c r="AB174" s="56"/>
      <c r="AC174" s="56"/>
      <c r="AD174" s="56"/>
    </row>
    <row r="175" spans="1:30">
      <c r="A175" s="38">
        <v>173</v>
      </c>
      <c r="B175" s="38" t="s">
        <v>501</v>
      </c>
      <c r="C175" s="26">
        <v>1900</v>
      </c>
      <c r="D175" s="26">
        <v>2800</v>
      </c>
      <c r="E175" s="26">
        <v>1750</v>
      </c>
      <c r="F175" s="26">
        <v>120</v>
      </c>
      <c r="G175" s="26">
        <v>2800</v>
      </c>
      <c r="H175" s="26">
        <v>20</v>
      </c>
      <c r="I175" s="26">
        <v>4000</v>
      </c>
      <c r="J175" s="26">
        <v>16</v>
      </c>
      <c r="K175" s="26">
        <v>40</v>
      </c>
      <c r="L175" s="31">
        <v>19</v>
      </c>
      <c r="M175" s="26">
        <v>19</v>
      </c>
      <c r="N175" s="56">
        <v>2000</v>
      </c>
      <c r="O175" s="56">
        <v>3500</v>
      </c>
      <c r="P175" s="57">
        <f t="shared" si="18"/>
        <v>25</v>
      </c>
      <c r="Q175" s="56">
        <f t="shared" si="19"/>
        <v>210.52631578947367</v>
      </c>
      <c r="R175" s="57">
        <f t="shared" si="20"/>
        <v>7.1428571428571426E-3</v>
      </c>
      <c r="S175" s="57" t="str">
        <f t="shared" si="21"/>
        <v>III</v>
      </c>
      <c r="T175" s="57">
        <f t="shared" si="22"/>
        <v>0.51087946428571429</v>
      </c>
      <c r="U175" s="56">
        <f t="shared" si="26"/>
        <v>0.49959821428571433</v>
      </c>
      <c r="V175" s="56">
        <f t="shared" si="23"/>
        <v>1040.0709890882588</v>
      </c>
      <c r="W175" s="56">
        <f t="shared" si="24"/>
        <v>1037.1511413546204</v>
      </c>
      <c r="X175" s="56">
        <f t="shared" si="25"/>
        <v>-0.28073542712674981</v>
      </c>
      <c r="Y175" s="56"/>
      <c r="Z175" s="56"/>
      <c r="AA175" s="56"/>
      <c r="AB175" s="56"/>
      <c r="AC175" s="56"/>
      <c r="AD175" s="56"/>
    </row>
    <row r="176" spans="1:30">
      <c r="A176" s="37">
        <v>174</v>
      </c>
      <c r="B176" s="37" t="s">
        <v>502</v>
      </c>
      <c r="C176" s="34">
        <v>1900</v>
      </c>
      <c r="D176" s="34">
        <v>2800</v>
      </c>
      <c r="E176" s="34">
        <v>1750</v>
      </c>
      <c r="F176" s="34">
        <v>120</v>
      </c>
      <c r="G176" s="34">
        <v>2800</v>
      </c>
      <c r="H176" s="34">
        <v>20</v>
      </c>
      <c r="I176" s="34">
        <v>4000</v>
      </c>
      <c r="J176" s="34">
        <v>16</v>
      </c>
      <c r="K176" s="34">
        <v>40</v>
      </c>
      <c r="L176" s="31">
        <v>19</v>
      </c>
      <c r="M176" s="34">
        <v>19</v>
      </c>
      <c r="N176" s="56">
        <v>2000</v>
      </c>
      <c r="O176" s="56">
        <v>3500</v>
      </c>
      <c r="P176" s="57">
        <f t="shared" si="18"/>
        <v>25</v>
      </c>
      <c r="Q176" s="56">
        <f t="shared" si="19"/>
        <v>210.52631578947367</v>
      </c>
      <c r="R176" s="57">
        <f t="shared" si="20"/>
        <v>7.1428571428571426E-3</v>
      </c>
      <c r="S176" s="57" t="str">
        <f t="shared" si="21"/>
        <v>III</v>
      </c>
      <c r="T176" s="57">
        <f t="shared" si="22"/>
        <v>0.51087946428571429</v>
      </c>
      <c r="U176" s="56">
        <f t="shared" si="26"/>
        <v>0.49959821428571433</v>
      </c>
      <c r="V176" s="56">
        <f t="shared" si="23"/>
        <v>1040.0709890882588</v>
      </c>
      <c r="W176" s="56">
        <f t="shared" si="24"/>
        <v>1037.1511413546204</v>
      </c>
      <c r="X176" s="56">
        <f t="shared" si="25"/>
        <v>-0.28073542712674981</v>
      </c>
      <c r="Y176" s="56"/>
      <c r="Z176" s="56"/>
      <c r="AA176" s="56"/>
      <c r="AB176" s="56"/>
      <c r="AC176" s="56"/>
      <c r="AD176" s="56"/>
    </row>
    <row r="177" spans="1:30">
      <c r="A177" s="38">
        <v>175</v>
      </c>
      <c r="B177" s="38" t="s">
        <v>503</v>
      </c>
      <c r="C177" s="26">
        <v>1900</v>
      </c>
      <c r="D177" s="26">
        <v>2800</v>
      </c>
      <c r="E177" s="26">
        <v>1750</v>
      </c>
      <c r="F177" s="26">
        <v>120</v>
      </c>
      <c r="G177" s="26">
        <v>2800</v>
      </c>
      <c r="H177" s="26">
        <v>20</v>
      </c>
      <c r="I177" s="26">
        <v>4000</v>
      </c>
      <c r="J177" s="26">
        <v>16</v>
      </c>
      <c r="K177" s="26">
        <v>40</v>
      </c>
      <c r="L177" s="31">
        <v>19</v>
      </c>
      <c r="M177" s="26">
        <v>19</v>
      </c>
      <c r="N177" s="56">
        <v>2000</v>
      </c>
      <c r="O177" s="56">
        <v>3500</v>
      </c>
      <c r="P177" s="57">
        <f t="shared" si="18"/>
        <v>25</v>
      </c>
      <c r="Q177" s="56">
        <f t="shared" si="19"/>
        <v>210.52631578947367</v>
      </c>
      <c r="R177" s="57">
        <f t="shared" si="20"/>
        <v>7.1428571428571426E-3</v>
      </c>
      <c r="S177" s="57" t="str">
        <f t="shared" si="21"/>
        <v>III</v>
      </c>
      <c r="T177" s="57">
        <f t="shared" si="22"/>
        <v>0.51087946428571429</v>
      </c>
      <c r="U177" s="56">
        <f t="shared" si="26"/>
        <v>0.49959821428571433</v>
      </c>
      <c r="V177" s="56">
        <f t="shared" si="23"/>
        <v>1040.0709890882588</v>
      </c>
      <c r="W177" s="56">
        <f t="shared" si="24"/>
        <v>1037.1511413546204</v>
      </c>
      <c r="X177" s="56">
        <f t="shared" si="25"/>
        <v>-0.28073542712674981</v>
      </c>
      <c r="Y177" s="56"/>
      <c r="Z177" s="56"/>
      <c r="AA177" s="56"/>
      <c r="AB177" s="56"/>
      <c r="AC177" s="56"/>
      <c r="AD177" s="56"/>
    </row>
    <row r="178" spans="1:30">
      <c r="A178" s="38">
        <v>176</v>
      </c>
      <c r="B178" s="38" t="s">
        <v>504</v>
      </c>
      <c r="C178" s="26">
        <v>1900</v>
      </c>
      <c r="D178" s="26">
        <v>2800</v>
      </c>
      <c r="E178" s="26">
        <v>1750</v>
      </c>
      <c r="F178" s="26">
        <v>120</v>
      </c>
      <c r="G178" s="26">
        <v>2800</v>
      </c>
      <c r="H178" s="26">
        <v>20</v>
      </c>
      <c r="I178" s="26">
        <v>4000</v>
      </c>
      <c r="J178" s="26">
        <v>16</v>
      </c>
      <c r="K178" s="26">
        <v>40</v>
      </c>
      <c r="L178" s="31">
        <v>19</v>
      </c>
      <c r="M178" s="26">
        <v>19</v>
      </c>
      <c r="N178" s="56">
        <v>2000</v>
      </c>
      <c r="O178" s="56">
        <v>3500</v>
      </c>
      <c r="P178" s="57">
        <f t="shared" si="18"/>
        <v>25</v>
      </c>
      <c r="Q178" s="56">
        <f t="shared" si="19"/>
        <v>210.52631578947367</v>
      </c>
      <c r="R178" s="57">
        <f t="shared" si="20"/>
        <v>7.1428571428571426E-3</v>
      </c>
      <c r="S178" s="57" t="str">
        <f t="shared" si="21"/>
        <v>III</v>
      </c>
      <c r="T178" s="57">
        <f t="shared" si="22"/>
        <v>0.51087946428571429</v>
      </c>
      <c r="U178" s="56">
        <f t="shared" si="26"/>
        <v>0.49959821428571433</v>
      </c>
      <c r="V178" s="56">
        <f t="shared" si="23"/>
        <v>1040.0709890882588</v>
      </c>
      <c r="W178" s="56">
        <f t="shared" si="24"/>
        <v>1037.1511413546204</v>
      </c>
      <c r="X178" s="56">
        <f t="shared" si="25"/>
        <v>-0.28073542712674981</v>
      </c>
      <c r="Y178" s="56"/>
      <c r="Z178" s="56"/>
      <c r="AA178" s="56"/>
      <c r="AB178" s="56"/>
      <c r="AC178" s="56"/>
      <c r="AD178" s="56"/>
    </row>
    <row r="179" spans="1:30">
      <c r="A179" s="37">
        <v>177</v>
      </c>
      <c r="B179" s="37" t="s">
        <v>505</v>
      </c>
      <c r="C179" s="34">
        <v>1900</v>
      </c>
      <c r="D179" s="34">
        <v>2800</v>
      </c>
      <c r="E179" s="34">
        <v>1750</v>
      </c>
      <c r="F179" s="34">
        <v>120</v>
      </c>
      <c r="G179" s="34">
        <v>2800</v>
      </c>
      <c r="H179" s="34">
        <v>20</v>
      </c>
      <c r="I179" s="34">
        <v>4000</v>
      </c>
      <c r="J179" s="34">
        <v>16</v>
      </c>
      <c r="K179" s="34">
        <v>40</v>
      </c>
      <c r="L179" s="31">
        <v>19</v>
      </c>
      <c r="M179" s="34">
        <v>19</v>
      </c>
      <c r="N179" s="56">
        <v>2000</v>
      </c>
      <c r="O179" s="56">
        <v>3500</v>
      </c>
      <c r="P179" s="57">
        <f t="shared" si="18"/>
        <v>25</v>
      </c>
      <c r="Q179" s="56">
        <f t="shared" si="19"/>
        <v>210.52631578947367</v>
      </c>
      <c r="R179" s="57">
        <f t="shared" si="20"/>
        <v>7.1428571428571426E-3</v>
      </c>
      <c r="S179" s="57" t="str">
        <f t="shared" si="21"/>
        <v>III</v>
      </c>
      <c r="T179" s="57">
        <f t="shared" si="22"/>
        <v>0.51087946428571429</v>
      </c>
      <c r="U179" s="56">
        <f t="shared" si="26"/>
        <v>0.49959821428571433</v>
      </c>
      <c r="V179" s="56">
        <f t="shared" si="23"/>
        <v>1040.0709890882588</v>
      </c>
      <c r="W179" s="56">
        <f t="shared" si="24"/>
        <v>1037.1511413546204</v>
      </c>
      <c r="X179" s="56">
        <f t="shared" si="25"/>
        <v>-0.28073542712674981</v>
      </c>
      <c r="Y179" s="56"/>
      <c r="Z179" s="56"/>
      <c r="AA179" s="56"/>
      <c r="AB179" s="56"/>
      <c r="AC179" s="56"/>
      <c r="AD179" s="56"/>
    </row>
    <row r="180" spans="1:30">
      <c r="A180" s="38">
        <v>178</v>
      </c>
      <c r="B180" s="38" t="s">
        <v>506</v>
      </c>
      <c r="C180" s="26">
        <v>1900</v>
      </c>
      <c r="D180" s="26">
        <v>2800</v>
      </c>
      <c r="E180" s="26">
        <v>1750</v>
      </c>
      <c r="F180" s="26">
        <v>120</v>
      </c>
      <c r="G180" s="26">
        <v>2800</v>
      </c>
      <c r="H180" s="26">
        <v>20</v>
      </c>
      <c r="I180" s="26">
        <v>4000</v>
      </c>
      <c r="J180" s="26">
        <v>16</v>
      </c>
      <c r="K180" s="26">
        <v>40</v>
      </c>
      <c r="L180" s="31">
        <v>19</v>
      </c>
      <c r="M180" s="26">
        <v>19</v>
      </c>
      <c r="N180" s="56">
        <v>2000</v>
      </c>
      <c r="O180" s="56">
        <v>3500</v>
      </c>
      <c r="P180" s="57">
        <f t="shared" si="18"/>
        <v>25</v>
      </c>
      <c r="Q180" s="56">
        <f t="shared" si="19"/>
        <v>210.52631578947367</v>
      </c>
      <c r="R180" s="57">
        <f t="shared" si="20"/>
        <v>7.1428571428571426E-3</v>
      </c>
      <c r="S180" s="57" t="str">
        <f t="shared" si="21"/>
        <v>III</v>
      </c>
      <c r="T180" s="57">
        <f t="shared" si="22"/>
        <v>0.51087946428571429</v>
      </c>
      <c r="U180" s="56">
        <f t="shared" si="26"/>
        <v>0.49959821428571433</v>
      </c>
      <c r="V180" s="56">
        <f t="shared" si="23"/>
        <v>1040.0709890882588</v>
      </c>
      <c r="W180" s="56">
        <f t="shared" si="24"/>
        <v>1037.1511413546204</v>
      </c>
      <c r="X180" s="56">
        <f t="shared" si="25"/>
        <v>-0.28073542712674981</v>
      </c>
      <c r="Y180" s="56"/>
      <c r="Z180" s="56"/>
      <c r="AA180" s="56"/>
      <c r="AB180" s="56"/>
      <c r="AC180" s="56"/>
      <c r="AD180" s="56"/>
    </row>
    <row r="181" spans="1:30">
      <c r="A181" s="38">
        <v>179</v>
      </c>
      <c r="B181" s="38" t="s">
        <v>507</v>
      </c>
      <c r="C181" s="26">
        <v>1900</v>
      </c>
      <c r="D181" s="26">
        <v>2800</v>
      </c>
      <c r="E181" s="26">
        <v>1750</v>
      </c>
      <c r="F181" s="26">
        <v>120</v>
      </c>
      <c r="G181" s="26">
        <v>2800</v>
      </c>
      <c r="H181" s="26">
        <v>20</v>
      </c>
      <c r="I181" s="26">
        <v>4000</v>
      </c>
      <c r="J181" s="26">
        <v>16</v>
      </c>
      <c r="K181" s="26">
        <v>40</v>
      </c>
      <c r="L181" s="31">
        <v>19</v>
      </c>
      <c r="M181" s="26">
        <v>19</v>
      </c>
      <c r="N181" s="56">
        <v>2000</v>
      </c>
      <c r="O181" s="56">
        <v>3500</v>
      </c>
      <c r="P181" s="57">
        <f t="shared" si="18"/>
        <v>25</v>
      </c>
      <c r="Q181" s="56">
        <f t="shared" si="19"/>
        <v>210.52631578947367</v>
      </c>
      <c r="R181" s="57">
        <f t="shared" si="20"/>
        <v>7.1428571428571426E-3</v>
      </c>
      <c r="S181" s="57" t="str">
        <f t="shared" si="21"/>
        <v>III</v>
      </c>
      <c r="T181" s="57">
        <f t="shared" si="22"/>
        <v>0.51087946428571429</v>
      </c>
      <c r="U181" s="56">
        <f t="shared" si="26"/>
        <v>0.49959821428571433</v>
      </c>
      <c r="V181" s="56">
        <f t="shared" si="23"/>
        <v>1040.0709890882588</v>
      </c>
      <c r="W181" s="56">
        <f t="shared" si="24"/>
        <v>1037.1511413546204</v>
      </c>
      <c r="X181" s="56">
        <f t="shared" si="25"/>
        <v>-0.28073542712674981</v>
      </c>
      <c r="Y181" s="56"/>
      <c r="Z181" s="56"/>
      <c r="AA181" s="56"/>
      <c r="AB181" s="56"/>
      <c r="AC181" s="56"/>
      <c r="AD181" s="56"/>
    </row>
    <row r="182" spans="1:30">
      <c r="A182" s="36">
        <v>180</v>
      </c>
      <c r="B182" s="36" t="s">
        <v>508</v>
      </c>
      <c r="C182" s="31">
        <v>1900</v>
      </c>
      <c r="D182" s="31">
        <v>2800</v>
      </c>
      <c r="E182" s="31">
        <v>1750</v>
      </c>
      <c r="F182" s="31">
        <v>120</v>
      </c>
      <c r="G182" s="31">
        <v>2800</v>
      </c>
      <c r="H182" s="31">
        <v>20</v>
      </c>
      <c r="I182" s="31">
        <v>4000</v>
      </c>
      <c r="J182" s="31">
        <v>16</v>
      </c>
      <c r="K182" s="31">
        <v>40</v>
      </c>
      <c r="L182" s="31">
        <v>19</v>
      </c>
      <c r="M182" s="31">
        <v>19</v>
      </c>
      <c r="N182" s="56">
        <v>2000</v>
      </c>
      <c r="O182" s="56">
        <v>3500</v>
      </c>
      <c r="P182" s="57">
        <f t="shared" si="18"/>
        <v>25</v>
      </c>
      <c r="Q182" s="56">
        <f t="shared" si="19"/>
        <v>210.52631578947367</v>
      </c>
      <c r="R182" s="57">
        <f t="shared" si="20"/>
        <v>7.1428571428571426E-3</v>
      </c>
      <c r="S182" s="57" t="str">
        <f t="shared" si="21"/>
        <v>III</v>
      </c>
      <c r="T182" s="57">
        <f t="shared" si="22"/>
        <v>0.51087946428571429</v>
      </c>
      <c r="U182" s="56">
        <f t="shared" si="26"/>
        <v>0.49959821428571433</v>
      </c>
      <c r="V182" s="56">
        <f t="shared" si="23"/>
        <v>1040.0709890882588</v>
      </c>
      <c r="W182" s="56">
        <f t="shared" si="24"/>
        <v>1037.1511413546204</v>
      </c>
      <c r="X182" s="56">
        <f t="shared" si="25"/>
        <v>-0.28073542712674981</v>
      </c>
      <c r="Y182" s="56"/>
      <c r="Z182" s="56"/>
      <c r="AA182" s="56"/>
      <c r="AB182" s="56"/>
      <c r="AC182" s="56"/>
      <c r="AD182" s="56"/>
    </row>
    <row r="183" spans="1:30">
      <c r="A183" s="38">
        <v>181</v>
      </c>
      <c r="B183" s="38" t="s">
        <v>509</v>
      </c>
      <c r="C183" s="26">
        <v>1900</v>
      </c>
      <c r="D183" s="26">
        <v>2800</v>
      </c>
      <c r="E183" s="26">
        <v>1750</v>
      </c>
      <c r="F183" s="26">
        <v>120</v>
      </c>
      <c r="G183" s="26">
        <v>2800</v>
      </c>
      <c r="H183" s="26">
        <v>20</v>
      </c>
      <c r="I183" s="26">
        <v>4000</v>
      </c>
      <c r="J183" s="26">
        <v>16</v>
      </c>
      <c r="K183" s="26">
        <v>40</v>
      </c>
      <c r="L183" s="31">
        <v>19</v>
      </c>
      <c r="M183" s="26">
        <v>19</v>
      </c>
      <c r="N183" s="56">
        <v>2000</v>
      </c>
      <c r="O183" s="56">
        <v>3500</v>
      </c>
      <c r="P183" s="57">
        <f t="shared" si="18"/>
        <v>25</v>
      </c>
      <c r="Q183" s="56">
        <f t="shared" si="19"/>
        <v>210.52631578947367</v>
      </c>
      <c r="R183" s="57">
        <f t="shared" si="20"/>
        <v>7.1428571428571426E-3</v>
      </c>
      <c r="S183" s="57" t="str">
        <f t="shared" si="21"/>
        <v>III</v>
      </c>
      <c r="T183" s="57">
        <f t="shared" si="22"/>
        <v>0.51087946428571429</v>
      </c>
      <c r="U183" s="56">
        <f t="shared" si="26"/>
        <v>0.49959821428571433</v>
      </c>
      <c r="V183" s="56">
        <f t="shared" si="23"/>
        <v>1040.0709890882588</v>
      </c>
      <c r="W183" s="56">
        <f t="shared" si="24"/>
        <v>1037.1511413546204</v>
      </c>
      <c r="X183" s="56">
        <f t="shared" si="25"/>
        <v>-0.28073542712674981</v>
      </c>
      <c r="Y183" s="56"/>
      <c r="Z183" s="56"/>
      <c r="AA183" s="56"/>
      <c r="AB183" s="56"/>
      <c r="AC183" s="56"/>
      <c r="AD183" s="56"/>
    </row>
    <row r="184" spans="1:30">
      <c r="A184" s="38">
        <v>182</v>
      </c>
      <c r="B184" s="38" t="s">
        <v>510</v>
      </c>
      <c r="C184" s="26">
        <v>1900</v>
      </c>
      <c r="D184" s="26">
        <v>2800</v>
      </c>
      <c r="E184" s="26">
        <v>1750</v>
      </c>
      <c r="F184" s="26">
        <v>120</v>
      </c>
      <c r="G184" s="26">
        <v>2800</v>
      </c>
      <c r="H184" s="26">
        <v>20</v>
      </c>
      <c r="I184" s="26">
        <v>4000</v>
      </c>
      <c r="J184" s="26">
        <v>16</v>
      </c>
      <c r="K184" s="26">
        <v>40</v>
      </c>
      <c r="L184" s="31">
        <v>19</v>
      </c>
      <c r="M184" s="26">
        <v>19</v>
      </c>
      <c r="N184" s="56">
        <v>2000</v>
      </c>
      <c r="O184" s="56">
        <v>3500</v>
      </c>
      <c r="P184" s="57">
        <f t="shared" si="18"/>
        <v>25</v>
      </c>
      <c r="Q184" s="56">
        <f t="shared" si="19"/>
        <v>210.52631578947367</v>
      </c>
      <c r="R184" s="57">
        <f t="shared" si="20"/>
        <v>7.1428571428571426E-3</v>
      </c>
      <c r="S184" s="57" t="str">
        <f t="shared" si="21"/>
        <v>III</v>
      </c>
      <c r="T184" s="57">
        <f t="shared" si="22"/>
        <v>0.51087946428571429</v>
      </c>
      <c r="U184" s="56">
        <f t="shared" si="26"/>
        <v>0.49959821428571433</v>
      </c>
      <c r="V184" s="56">
        <f t="shared" si="23"/>
        <v>1040.0709890882588</v>
      </c>
      <c r="W184" s="56">
        <f t="shared" si="24"/>
        <v>1037.1511413546204</v>
      </c>
      <c r="X184" s="56">
        <f t="shared" si="25"/>
        <v>-0.28073542712674981</v>
      </c>
      <c r="Y184" s="56"/>
      <c r="Z184" s="56"/>
      <c r="AA184" s="56"/>
      <c r="AB184" s="56"/>
      <c r="AC184" s="56"/>
      <c r="AD184" s="56"/>
    </row>
    <row r="185" spans="1:30">
      <c r="A185" s="38">
        <v>183</v>
      </c>
      <c r="B185" s="38" t="s">
        <v>511</v>
      </c>
      <c r="C185" s="26">
        <v>1900</v>
      </c>
      <c r="D185" s="26">
        <v>2800</v>
      </c>
      <c r="E185" s="26">
        <v>1750</v>
      </c>
      <c r="F185" s="26">
        <v>120</v>
      </c>
      <c r="G185" s="26">
        <v>2800</v>
      </c>
      <c r="H185" s="26">
        <v>20</v>
      </c>
      <c r="I185" s="26">
        <v>4000</v>
      </c>
      <c r="J185" s="26">
        <v>16</v>
      </c>
      <c r="K185" s="26">
        <v>40</v>
      </c>
      <c r="L185" s="31">
        <v>19</v>
      </c>
      <c r="M185" s="26">
        <v>19</v>
      </c>
      <c r="N185" s="56">
        <v>2000</v>
      </c>
      <c r="O185" s="56">
        <v>3500</v>
      </c>
      <c r="P185" s="57">
        <f t="shared" si="18"/>
        <v>25</v>
      </c>
      <c r="Q185" s="56">
        <f t="shared" si="19"/>
        <v>210.52631578947367</v>
      </c>
      <c r="R185" s="57">
        <f t="shared" si="20"/>
        <v>7.1428571428571426E-3</v>
      </c>
      <c r="S185" s="57" t="str">
        <f t="shared" si="21"/>
        <v>III</v>
      </c>
      <c r="T185" s="57">
        <f t="shared" si="22"/>
        <v>0.51087946428571429</v>
      </c>
      <c r="U185" s="56">
        <f t="shared" si="26"/>
        <v>0.49959821428571433</v>
      </c>
      <c r="V185" s="56">
        <f t="shared" si="23"/>
        <v>1040.0709890882588</v>
      </c>
      <c r="W185" s="56">
        <f t="shared" si="24"/>
        <v>1037.1511413546204</v>
      </c>
      <c r="X185" s="56">
        <f t="shared" si="25"/>
        <v>-0.28073542712674981</v>
      </c>
      <c r="Y185" s="56"/>
      <c r="Z185" s="56"/>
      <c r="AA185" s="56"/>
      <c r="AB185" s="56"/>
      <c r="AC185" s="56"/>
      <c r="AD185" s="56"/>
    </row>
    <row r="186" spans="1:30">
      <c r="A186" s="37">
        <v>184</v>
      </c>
      <c r="B186" s="37" t="s">
        <v>512</v>
      </c>
      <c r="C186" s="34">
        <v>1900</v>
      </c>
      <c r="D186" s="34">
        <v>2800</v>
      </c>
      <c r="E186" s="34">
        <v>1750</v>
      </c>
      <c r="F186" s="34">
        <v>120</v>
      </c>
      <c r="G186" s="34">
        <v>2800</v>
      </c>
      <c r="H186" s="34">
        <v>20</v>
      </c>
      <c r="I186" s="34">
        <v>4000</v>
      </c>
      <c r="J186" s="34">
        <v>16</v>
      </c>
      <c r="K186" s="34">
        <v>40</v>
      </c>
      <c r="L186" s="31">
        <v>19</v>
      </c>
      <c r="M186" s="34">
        <v>19</v>
      </c>
      <c r="N186" s="56">
        <v>2000</v>
      </c>
      <c r="O186" s="56">
        <v>3500</v>
      </c>
      <c r="P186" s="57">
        <f t="shared" si="18"/>
        <v>25</v>
      </c>
      <c r="Q186" s="56">
        <f t="shared" si="19"/>
        <v>210.52631578947367</v>
      </c>
      <c r="R186" s="57">
        <f t="shared" si="20"/>
        <v>7.1428571428571426E-3</v>
      </c>
      <c r="S186" s="57" t="str">
        <f t="shared" si="21"/>
        <v>III</v>
      </c>
      <c r="T186" s="57">
        <f t="shared" si="22"/>
        <v>0.51087946428571429</v>
      </c>
      <c r="U186" s="56">
        <f t="shared" si="26"/>
        <v>0.49959821428571433</v>
      </c>
      <c r="V186" s="56">
        <f t="shared" si="23"/>
        <v>1040.0709890882588</v>
      </c>
      <c r="W186" s="56">
        <f t="shared" si="24"/>
        <v>1037.1511413546204</v>
      </c>
      <c r="X186" s="56">
        <f t="shared" si="25"/>
        <v>-0.28073542712674981</v>
      </c>
      <c r="Y186" s="56"/>
      <c r="Z186" s="56"/>
      <c r="AA186" s="56"/>
      <c r="AB186" s="56"/>
      <c r="AC186" s="56"/>
      <c r="AD186" s="56"/>
    </row>
    <row r="187" spans="1:30">
      <c r="A187" s="38">
        <v>185</v>
      </c>
      <c r="B187" s="38" t="s">
        <v>513</v>
      </c>
      <c r="C187" s="26">
        <v>1900</v>
      </c>
      <c r="D187" s="26">
        <v>2800</v>
      </c>
      <c r="E187" s="26">
        <v>1750</v>
      </c>
      <c r="F187" s="26">
        <v>120</v>
      </c>
      <c r="G187" s="26">
        <v>2800</v>
      </c>
      <c r="H187" s="26">
        <v>20</v>
      </c>
      <c r="I187" s="26">
        <v>4000</v>
      </c>
      <c r="J187" s="26">
        <v>16</v>
      </c>
      <c r="K187" s="26">
        <v>40</v>
      </c>
      <c r="L187" s="31">
        <v>19</v>
      </c>
      <c r="M187" s="26">
        <v>19</v>
      </c>
      <c r="N187" s="56">
        <v>2000</v>
      </c>
      <c r="O187" s="56">
        <v>3500</v>
      </c>
      <c r="P187" s="57">
        <f t="shared" si="18"/>
        <v>25</v>
      </c>
      <c r="Q187" s="56">
        <f t="shared" si="19"/>
        <v>210.52631578947367</v>
      </c>
      <c r="R187" s="57">
        <f t="shared" si="20"/>
        <v>7.1428571428571426E-3</v>
      </c>
      <c r="S187" s="57" t="str">
        <f t="shared" si="21"/>
        <v>III</v>
      </c>
      <c r="T187" s="57">
        <f t="shared" si="22"/>
        <v>0.51087946428571429</v>
      </c>
      <c r="U187" s="56">
        <f t="shared" si="26"/>
        <v>0.49959821428571433</v>
      </c>
      <c r="V187" s="56">
        <f t="shared" si="23"/>
        <v>1040.0709890882588</v>
      </c>
      <c r="W187" s="56">
        <f t="shared" si="24"/>
        <v>1037.1511413546204</v>
      </c>
      <c r="X187" s="56">
        <f t="shared" si="25"/>
        <v>-0.28073542712674981</v>
      </c>
      <c r="Y187" s="56"/>
      <c r="Z187" s="56"/>
      <c r="AA187" s="56"/>
      <c r="AB187" s="56"/>
      <c r="AC187" s="56"/>
      <c r="AD187" s="56"/>
    </row>
    <row r="188" spans="1:30">
      <c r="A188" s="38">
        <v>186</v>
      </c>
      <c r="B188" s="38" t="s">
        <v>514</v>
      </c>
      <c r="C188" s="26">
        <v>1900</v>
      </c>
      <c r="D188" s="26">
        <v>2800</v>
      </c>
      <c r="E188" s="26">
        <v>1750</v>
      </c>
      <c r="F188" s="26">
        <v>120</v>
      </c>
      <c r="G188" s="26">
        <v>2800</v>
      </c>
      <c r="H188" s="26">
        <v>20</v>
      </c>
      <c r="I188" s="26">
        <v>4000</v>
      </c>
      <c r="J188" s="26">
        <v>16</v>
      </c>
      <c r="K188" s="26">
        <v>40</v>
      </c>
      <c r="L188" s="31">
        <v>19</v>
      </c>
      <c r="M188" s="26">
        <v>19</v>
      </c>
      <c r="N188" s="56">
        <v>2000</v>
      </c>
      <c r="O188" s="56">
        <v>3500</v>
      </c>
      <c r="P188" s="57">
        <f t="shared" si="18"/>
        <v>25</v>
      </c>
      <c r="Q188" s="56">
        <f t="shared" si="19"/>
        <v>210.52631578947367</v>
      </c>
      <c r="R188" s="57">
        <f t="shared" si="20"/>
        <v>7.1428571428571426E-3</v>
      </c>
      <c r="S188" s="57" t="str">
        <f t="shared" si="21"/>
        <v>III</v>
      </c>
      <c r="T188" s="57">
        <f t="shared" si="22"/>
        <v>0.51087946428571429</v>
      </c>
      <c r="U188" s="56">
        <f t="shared" si="26"/>
        <v>0.49959821428571433</v>
      </c>
      <c r="V188" s="56">
        <f t="shared" si="23"/>
        <v>1040.0709890882588</v>
      </c>
      <c r="W188" s="56">
        <f t="shared" si="24"/>
        <v>1037.1511413546204</v>
      </c>
      <c r="X188" s="56">
        <f t="shared" si="25"/>
        <v>-0.28073542712674981</v>
      </c>
      <c r="Y188" s="56"/>
      <c r="Z188" s="56"/>
      <c r="AA188" s="56"/>
      <c r="AB188" s="56"/>
      <c r="AC188" s="56"/>
      <c r="AD188" s="56"/>
    </row>
    <row r="189" spans="1:30">
      <c r="A189" s="38">
        <v>187</v>
      </c>
      <c r="B189" s="38" t="s">
        <v>515</v>
      </c>
      <c r="C189" s="26">
        <v>1900</v>
      </c>
      <c r="D189" s="26">
        <v>2800</v>
      </c>
      <c r="E189" s="26">
        <v>1750</v>
      </c>
      <c r="F189" s="26">
        <v>120</v>
      </c>
      <c r="G189" s="26">
        <v>2800</v>
      </c>
      <c r="H189" s="26">
        <v>20</v>
      </c>
      <c r="I189" s="26">
        <v>4000</v>
      </c>
      <c r="J189" s="26">
        <v>16</v>
      </c>
      <c r="K189" s="26">
        <v>40</v>
      </c>
      <c r="L189" s="31">
        <v>19</v>
      </c>
      <c r="M189" s="26">
        <v>19</v>
      </c>
      <c r="N189" s="56">
        <v>2000</v>
      </c>
      <c r="O189" s="56">
        <v>3500</v>
      </c>
      <c r="P189" s="57">
        <f t="shared" si="18"/>
        <v>25</v>
      </c>
      <c r="Q189" s="56">
        <f t="shared" si="19"/>
        <v>210.52631578947367</v>
      </c>
      <c r="R189" s="57">
        <f t="shared" si="20"/>
        <v>7.1428571428571426E-3</v>
      </c>
      <c r="S189" s="57" t="str">
        <f t="shared" si="21"/>
        <v>III</v>
      </c>
      <c r="T189" s="57">
        <f t="shared" si="22"/>
        <v>0.51087946428571429</v>
      </c>
      <c r="U189" s="56">
        <f t="shared" si="26"/>
        <v>0.49959821428571433</v>
      </c>
      <c r="V189" s="56">
        <f t="shared" si="23"/>
        <v>1040.0709890882588</v>
      </c>
      <c r="W189" s="56">
        <f t="shared" si="24"/>
        <v>1037.1511413546204</v>
      </c>
      <c r="X189" s="56">
        <f t="shared" si="25"/>
        <v>-0.28073542712674981</v>
      </c>
      <c r="Y189" s="56"/>
      <c r="Z189" s="56"/>
      <c r="AA189" s="56"/>
      <c r="AB189" s="56"/>
      <c r="AC189" s="56"/>
      <c r="AD189" s="56"/>
    </row>
    <row r="190" spans="1:30">
      <c r="A190" s="37">
        <v>188</v>
      </c>
      <c r="B190" s="37" t="s">
        <v>516</v>
      </c>
      <c r="C190" s="34">
        <v>1900</v>
      </c>
      <c r="D190" s="34">
        <v>2800</v>
      </c>
      <c r="E190" s="34">
        <v>1750</v>
      </c>
      <c r="F190" s="34">
        <v>120</v>
      </c>
      <c r="G190" s="34">
        <v>2800</v>
      </c>
      <c r="H190" s="34">
        <v>20</v>
      </c>
      <c r="I190" s="34">
        <v>4000</v>
      </c>
      <c r="J190" s="34">
        <v>16</v>
      </c>
      <c r="K190" s="34">
        <v>40</v>
      </c>
      <c r="L190" s="31">
        <v>19</v>
      </c>
      <c r="M190" s="34">
        <v>19</v>
      </c>
      <c r="N190" s="56">
        <v>2000</v>
      </c>
      <c r="O190" s="56">
        <v>3500</v>
      </c>
      <c r="P190" s="57">
        <f t="shared" si="18"/>
        <v>25</v>
      </c>
      <c r="Q190" s="56">
        <f t="shared" si="19"/>
        <v>210.52631578947367</v>
      </c>
      <c r="R190" s="57">
        <f t="shared" si="20"/>
        <v>7.1428571428571426E-3</v>
      </c>
      <c r="S190" s="57" t="str">
        <f t="shared" si="21"/>
        <v>III</v>
      </c>
      <c r="T190" s="57">
        <f t="shared" si="22"/>
        <v>0.51087946428571429</v>
      </c>
      <c r="U190" s="56">
        <f t="shared" si="26"/>
        <v>0.49959821428571433</v>
      </c>
      <c r="V190" s="56">
        <f t="shared" si="23"/>
        <v>1040.0709890882588</v>
      </c>
      <c r="W190" s="56">
        <f t="shared" si="24"/>
        <v>1037.1511413546204</v>
      </c>
      <c r="X190" s="56">
        <f t="shared" si="25"/>
        <v>-0.28073542712674981</v>
      </c>
      <c r="Y190" s="56"/>
      <c r="Z190" s="56"/>
      <c r="AA190" s="56"/>
      <c r="AB190" s="56"/>
      <c r="AC190" s="56"/>
      <c r="AD190" s="56"/>
    </row>
    <row r="191" spans="1:30">
      <c r="A191" s="38">
        <v>189</v>
      </c>
      <c r="B191" s="38" t="s">
        <v>517</v>
      </c>
      <c r="C191" s="26">
        <v>1900</v>
      </c>
      <c r="D191" s="26">
        <v>2800</v>
      </c>
      <c r="E191" s="26">
        <v>1750</v>
      </c>
      <c r="F191" s="26">
        <v>120</v>
      </c>
      <c r="G191" s="26">
        <v>2800</v>
      </c>
      <c r="H191" s="26">
        <v>20</v>
      </c>
      <c r="I191" s="26">
        <v>4000</v>
      </c>
      <c r="J191" s="26">
        <v>16</v>
      </c>
      <c r="K191" s="26">
        <v>32</v>
      </c>
      <c r="L191" s="31">
        <v>19</v>
      </c>
      <c r="M191" s="26">
        <v>19</v>
      </c>
      <c r="N191" s="56">
        <v>2000</v>
      </c>
      <c r="O191" s="56">
        <v>3500</v>
      </c>
      <c r="P191" s="57">
        <f t="shared" si="18"/>
        <v>25</v>
      </c>
      <c r="Q191" s="56">
        <f t="shared" si="19"/>
        <v>210.52631578947367</v>
      </c>
      <c r="R191" s="57">
        <f t="shared" si="20"/>
        <v>7.1428571428571426E-3</v>
      </c>
      <c r="S191" s="57" t="str">
        <f t="shared" si="21"/>
        <v>III</v>
      </c>
      <c r="T191" s="57">
        <f t="shared" si="22"/>
        <v>0.51087946428571429</v>
      </c>
      <c r="U191" s="56">
        <f t="shared" si="26"/>
        <v>0.49959821428571433</v>
      </c>
      <c r="V191" s="56">
        <f t="shared" si="23"/>
        <v>1040.0709890882588</v>
      </c>
      <c r="W191" s="56">
        <f t="shared" si="24"/>
        <v>1037.1511413546204</v>
      </c>
      <c r="X191" s="56">
        <f t="shared" si="25"/>
        <v>-0.28073542712674981</v>
      </c>
      <c r="Y191" s="56"/>
      <c r="Z191" s="56"/>
      <c r="AA191" s="56"/>
      <c r="AB191" s="56"/>
      <c r="AC191" s="56"/>
      <c r="AD191" s="56"/>
    </row>
    <row r="192" spans="1:30">
      <c r="A192" s="38">
        <v>190</v>
      </c>
      <c r="B192" s="38" t="s">
        <v>518</v>
      </c>
      <c r="C192" s="26">
        <v>1900</v>
      </c>
      <c r="D192" s="26">
        <v>2800</v>
      </c>
      <c r="E192" s="26">
        <v>1750</v>
      </c>
      <c r="F192" s="26">
        <v>120</v>
      </c>
      <c r="G192" s="26">
        <v>2800</v>
      </c>
      <c r="H192" s="26">
        <v>20</v>
      </c>
      <c r="I192" s="26">
        <v>4000</v>
      </c>
      <c r="J192" s="26">
        <v>16</v>
      </c>
      <c r="K192" s="26">
        <v>32</v>
      </c>
      <c r="L192" s="31">
        <v>19</v>
      </c>
      <c r="M192" s="26">
        <v>19</v>
      </c>
      <c r="N192" s="56">
        <v>2000</v>
      </c>
      <c r="O192" s="56">
        <v>3500</v>
      </c>
      <c r="P192" s="57">
        <f t="shared" si="18"/>
        <v>25</v>
      </c>
      <c r="Q192" s="56">
        <f t="shared" si="19"/>
        <v>210.52631578947367</v>
      </c>
      <c r="R192" s="57">
        <f t="shared" si="20"/>
        <v>7.1428571428571426E-3</v>
      </c>
      <c r="S192" s="57" t="str">
        <f t="shared" si="21"/>
        <v>III</v>
      </c>
      <c r="T192" s="57">
        <f t="shared" si="22"/>
        <v>0.51087946428571429</v>
      </c>
      <c r="U192" s="56">
        <f t="shared" si="26"/>
        <v>0.49959821428571433</v>
      </c>
      <c r="V192" s="56">
        <f t="shared" si="23"/>
        <v>1040.0709890882588</v>
      </c>
      <c r="W192" s="56">
        <f t="shared" si="24"/>
        <v>1037.1511413546204</v>
      </c>
      <c r="X192" s="56">
        <f t="shared" si="25"/>
        <v>-0.28073542712674981</v>
      </c>
      <c r="Y192" s="56"/>
      <c r="Z192" s="56"/>
      <c r="AA192" s="56"/>
      <c r="AB192" s="56"/>
      <c r="AC192" s="56"/>
      <c r="AD192" s="56"/>
    </row>
    <row r="193" spans="1:30">
      <c r="A193" s="38">
        <v>191</v>
      </c>
      <c r="B193" s="38" t="s">
        <v>519</v>
      </c>
      <c r="C193" s="26">
        <v>1900</v>
      </c>
      <c r="D193" s="26">
        <v>2800</v>
      </c>
      <c r="E193" s="26">
        <v>1750</v>
      </c>
      <c r="F193" s="26">
        <v>120</v>
      </c>
      <c r="G193" s="26">
        <v>2800</v>
      </c>
      <c r="H193" s="26">
        <v>20</v>
      </c>
      <c r="I193" s="26">
        <v>4000</v>
      </c>
      <c r="J193" s="26">
        <v>16</v>
      </c>
      <c r="K193" s="26">
        <v>32</v>
      </c>
      <c r="L193" s="31">
        <v>19</v>
      </c>
      <c r="M193" s="26">
        <v>19</v>
      </c>
      <c r="N193" s="56">
        <v>2000</v>
      </c>
      <c r="O193" s="56">
        <v>3500</v>
      </c>
      <c r="P193" s="57">
        <f t="shared" si="18"/>
        <v>25</v>
      </c>
      <c r="Q193" s="56">
        <f t="shared" si="19"/>
        <v>210.52631578947367</v>
      </c>
      <c r="R193" s="57">
        <f t="shared" si="20"/>
        <v>7.1428571428571426E-3</v>
      </c>
      <c r="S193" s="57" t="str">
        <f t="shared" si="21"/>
        <v>III</v>
      </c>
      <c r="T193" s="57">
        <f t="shared" si="22"/>
        <v>0.51087946428571429</v>
      </c>
      <c r="U193" s="56">
        <f t="shared" si="26"/>
        <v>0.49959821428571433</v>
      </c>
      <c r="V193" s="56">
        <f t="shared" si="23"/>
        <v>1040.0709890882588</v>
      </c>
      <c r="W193" s="56">
        <f t="shared" si="24"/>
        <v>1037.1511413546204</v>
      </c>
      <c r="X193" s="56">
        <f t="shared" si="25"/>
        <v>-0.28073542712674981</v>
      </c>
      <c r="Y193" s="56"/>
      <c r="Z193" s="56"/>
      <c r="AA193" s="56"/>
      <c r="AB193" s="56"/>
      <c r="AC193" s="56"/>
      <c r="AD193" s="56"/>
    </row>
    <row r="194" spans="1:30">
      <c r="A194" s="37">
        <v>192</v>
      </c>
      <c r="B194" s="37" t="s">
        <v>520</v>
      </c>
      <c r="C194" s="34">
        <v>1900</v>
      </c>
      <c r="D194" s="34">
        <v>2800</v>
      </c>
      <c r="E194" s="34">
        <v>1750</v>
      </c>
      <c r="F194" s="34">
        <v>120</v>
      </c>
      <c r="G194" s="34">
        <v>2800</v>
      </c>
      <c r="H194" s="34">
        <v>20</v>
      </c>
      <c r="I194" s="34">
        <v>4000</v>
      </c>
      <c r="J194" s="34">
        <v>16</v>
      </c>
      <c r="K194" s="34">
        <v>32</v>
      </c>
      <c r="L194" s="31">
        <v>19</v>
      </c>
      <c r="M194" s="34">
        <v>19</v>
      </c>
      <c r="N194" s="56">
        <v>2000</v>
      </c>
      <c r="O194" s="56">
        <v>3500</v>
      </c>
      <c r="P194" s="57">
        <f t="shared" si="18"/>
        <v>25</v>
      </c>
      <c r="Q194" s="56">
        <f t="shared" si="19"/>
        <v>210.52631578947367</v>
      </c>
      <c r="R194" s="57">
        <f t="shared" si="20"/>
        <v>7.1428571428571426E-3</v>
      </c>
      <c r="S194" s="57" t="str">
        <f t="shared" si="21"/>
        <v>III</v>
      </c>
      <c r="T194" s="57">
        <f t="shared" si="22"/>
        <v>0.51087946428571429</v>
      </c>
      <c r="U194" s="56">
        <f t="shared" si="26"/>
        <v>0.49959821428571433</v>
      </c>
      <c r="V194" s="56">
        <f t="shared" si="23"/>
        <v>1040.0709890882588</v>
      </c>
      <c r="W194" s="56">
        <f t="shared" si="24"/>
        <v>1037.1511413546204</v>
      </c>
      <c r="X194" s="56">
        <f t="shared" si="25"/>
        <v>-0.28073542712674981</v>
      </c>
      <c r="Y194" s="56"/>
      <c r="Z194" s="56"/>
      <c r="AA194" s="56"/>
      <c r="AB194" s="56"/>
      <c r="AC194" s="56"/>
      <c r="AD194" s="56"/>
    </row>
    <row r="195" spans="1:30">
      <c r="A195" s="38">
        <v>193</v>
      </c>
      <c r="B195" s="38" t="s">
        <v>521</v>
      </c>
      <c r="C195" s="26">
        <v>1900</v>
      </c>
      <c r="D195" s="26">
        <v>2800</v>
      </c>
      <c r="E195" s="26">
        <v>1750</v>
      </c>
      <c r="F195" s="26">
        <v>120</v>
      </c>
      <c r="G195" s="26">
        <v>2800</v>
      </c>
      <c r="H195" s="26">
        <v>20</v>
      </c>
      <c r="I195" s="26">
        <v>4000</v>
      </c>
      <c r="J195" s="26">
        <v>16</v>
      </c>
      <c r="K195" s="26">
        <v>32</v>
      </c>
      <c r="L195" s="31">
        <v>19</v>
      </c>
      <c r="M195" s="26">
        <v>19</v>
      </c>
      <c r="N195" s="56">
        <v>2000</v>
      </c>
      <c r="O195" s="56">
        <v>3500</v>
      </c>
      <c r="P195" s="57">
        <f t="shared" si="18"/>
        <v>25</v>
      </c>
      <c r="Q195" s="56">
        <f t="shared" si="19"/>
        <v>210.52631578947367</v>
      </c>
      <c r="R195" s="57">
        <f t="shared" si="20"/>
        <v>7.1428571428571426E-3</v>
      </c>
      <c r="S195" s="57" t="str">
        <f t="shared" si="21"/>
        <v>III</v>
      </c>
      <c r="T195" s="57">
        <f t="shared" si="22"/>
        <v>0.51087946428571429</v>
      </c>
      <c r="U195" s="56">
        <f t="shared" si="26"/>
        <v>0.49959821428571433</v>
      </c>
      <c r="V195" s="56">
        <f t="shared" si="23"/>
        <v>1040.0709890882588</v>
      </c>
      <c r="W195" s="56">
        <f t="shared" si="24"/>
        <v>1037.1511413546204</v>
      </c>
      <c r="X195" s="56">
        <f t="shared" si="25"/>
        <v>-0.28073542712674981</v>
      </c>
      <c r="Y195" s="56"/>
      <c r="Z195" s="56"/>
      <c r="AA195" s="56"/>
      <c r="AB195" s="56"/>
      <c r="AC195" s="56"/>
      <c r="AD195" s="56"/>
    </row>
    <row r="196" spans="1:30">
      <c r="A196" s="38">
        <v>194</v>
      </c>
      <c r="B196" s="38" t="s">
        <v>522</v>
      </c>
      <c r="C196" s="26">
        <v>1900</v>
      </c>
      <c r="D196" s="26">
        <v>2800</v>
      </c>
      <c r="E196" s="26">
        <v>1750</v>
      </c>
      <c r="F196" s="26">
        <v>120</v>
      </c>
      <c r="G196" s="26">
        <v>2800</v>
      </c>
      <c r="H196" s="26">
        <v>20</v>
      </c>
      <c r="I196" s="26">
        <v>4000</v>
      </c>
      <c r="J196" s="26">
        <v>16</v>
      </c>
      <c r="K196" s="26">
        <v>32</v>
      </c>
      <c r="L196" s="31">
        <v>19</v>
      </c>
      <c r="M196" s="26">
        <v>19</v>
      </c>
      <c r="N196" s="56">
        <v>2000</v>
      </c>
      <c r="O196" s="56">
        <v>3500</v>
      </c>
      <c r="P196" s="57">
        <f t="shared" ref="P196:P211" si="27">5+5/(N196/I196)^2</f>
        <v>25</v>
      </c>
      <c r="Q196" s="56">
        <f t="shared" ref="Q196:Q211" si="28">I196/L196</f>
        <v>210.52631578947367</v>
      </c>
      <c r="R196" s="57">
        <f t="shared" ref="R196:R211" si="29">P196/O196</f>
        <v>7.1428571428571426E-3</v>
      </c>
      <c r="S196" s="57" t="str">
        <f t="shared" ref="S196:S211" si="30">IF(Q196&lt;1590*SQRT(R196),1,IF(Q196&lt;=1990*SQRT(R196),"II","III"))</f>
        <v>III</v>
      </c>
      <c r="T196" s="57">
        <f t="shared" ref="T196:T211" si="31">IF(Q196&lt;1590*SQRT(R196),1,IF(Q196&lt;=1990*SQRT(R196),1590*SQRT(R196)/Q196,3170000*R196/(Q196)^2))</f>
        <v>0.51087946428571429</v>
      </c>
      <c r="U196" s="56">
        <f t="shared" si="26"/>
        <v>0.49959821428571433</v>
      </c>
      <c r="V196" s="56">
        <f t="shared" ref="V196:V211" si="32">O196/3*(T196+0.87*(1-T196)/SQRT(1+(N196/I197)^2))</f>
        <v>1040.0709890882588</v>
      </c>
      <c r="W196" s="56">
        <f t="shared" ref="W196:W211" si="33">O196/3*(U196+0.87*(1-U196)/SQRT(1+(N196/I197)^2))</f>
        <v>1037.1511413546204</v>
      </c>
      <c r="X196" s="56">
        <f t="shared" ref="X196:X211" si="34">(W196-V196)/V196*100</f>
        <v>-0.28073542712674981</v>
      </c>
      <c r="Y196" s="56"/>
      <c r="Z196" s="56"/>
      <c r="AA196" s="56"/>
      <c r="AB196" s="56"/>
      <c r="AC196" s="56"/>
      <c r="AD196" s="56"/>
    </row>
    <row r="197" spans="1:30">
      <c r="A197" s="38">
        <v>195</v>
      </c>
      <c r="B197" s="38" t="s">
        <v>523</v>
      </c>
      <c r="C197" s="26">
        <v>1900</v>
      </c>
      <c r="D197" s="26">
        <v>2800</v>
      </c>
      <c r="E197" s="26">
        <v>1750</v>
      </c>
      <c r="F197" s="26">
        <v>120</v>
      </c>
      <c r="G197" s="26">
        <v>2800</v>
      </c>
      <c r="H197" s="26">
        <v>20</v>
      </c>
      <c r="I197" s="26">
        <v>4000</v>
      </c>
      <c r="J197" s="26">
        <v>16</v>
      </c>
      <c r="K197" s="26">
        <v>32</v>
      </c>
      <c r="L197" s="31">
        <v>19</v>
      </c>
      <c r="M197" s="26">
        <v>19</v>
      </c>
      <c r="N197" s="56">
        <v>2000</v>
      </c>
      <c r="O197" s="56">
        <v>3500</v>
      </c>
      <c r="P197" s="57">
        <f t="shared" si="27"/>
        <v>25</v>
      </c>
      <c r="Q197" s="56">
        <f t="shared" si="28"/>
        <v>210.52631578947367</v>
      </c>
      <c r="R197" s="57">
        <f t="shared" si="29"/>
        <v>7.1428571428571426E-3</v>
      </c>
      <c r="S197" s="57" t="str">
        <f t="shared" si="30"/>
        <v>III</v>
      </c>
      <c r="T197" s="57">
        <f t="shared" si="31"/>
        <v>0.51087946428571429</v>
      </c>
      <c r="U197" s="56">
        <f t="shared" ref="U197:U211" si="35">MIN(15500000*(1+(I197/N197)^2)/O197/(I197/L197)^2,1)</f>
        <v>0.49959821428571433</v>
      </c>
      <c r="V197" s="56">
        <f t="shared" si="32"/>
        <v>1040.0709890882588</v>
      </c>
      <c r="W197" s="56">
        <f t="shared" si="33"/>
        <v>1037.1511413546204</v>
      </c>
      <c r="X197" s="56">
        <f t="shared" si="34"/>
        <v>-0.28073542712674981</v>
      </c>
      <c r="Y197" s="56"/>
      <c r="Z197" s="56"/>
      <c r="AA197" s="56"/>
      <c r="AB197" s="56"/>
      <c r="AC197" s="56"/>
      <c r="AD197" s="56"/>
    </row>
    <row r="198" spans="1:30">
      <c r="A198" s="37">
        <v>196</v>
      </c>
      <c r="B198" s="37" t="s">
        <v>524</v>
      </c>
      <c r="C198" s="34">
        <v>1900</v>
      </c>
      <c r="D198" s="34">
        <v>2800</v>
      </c>
      <c r="E198" s="34">
        <v>1750</v>
      </c>
      <c r="F198" s="34">
        <v>120</v>
      </c>
      <c r="G198" s="34">
        <v>2800</v>
      </c>
      <c r="H198" s="34">
        <v>20</v>
      </c>
      <c r="I198" s="34">
        <v>4000</v>
      </c>
      <c r="J198" s="34">
        <v>16</v>
      </c>
      <c r="K198" s="34">
        <v>32</v>
      </c>
      <c r="L198" s="31">
        <v>19</v>
      </c>
      <c r="M198" s="34">
        <v>19</v>
      </c>
      <c r="N198" s="56">
        <v>2000</v>
      </c>
      <c r="O198" s="56">
        <v>3500</v>
      </c>
      <c r="P198" s="57">
        <f t="shared" si="27"/>
        <v>25</v>
      </c>
      <c r="Q198" s="56">
        <f t="shared" si="28"/>
        <v>210.52631578947367</v>
      </c>
      <c r="R198" s="57">
        <f t="shared" si="29"/>
        <v>7.1428571428571426E-3</v>
      </c>
      <c r="S198" s="57" t="str">
        <f t="shared" si="30"/>
        <v>III</v>
      </c>
      <c r="T198" s="57">
        <f t="shared" si="31"/>
        <v>0.51087946428571429</v>
      </c>
      <c r="U198" s="56">
        <f t="shared" si="35"/>
        <v>0.49959821428571433</v>
      </c>
      <c r="V198" s="56">
        <f t="shared" si="32"/>
        <v>1040.0709890882588</v>
      </c>
      <c r="W198" s="56">
        <f t="shared" si="33"/>
        <v>1037.1511413546204</v>
      </c>
      <c r="X198" s="56">
        <f t="shared" si="34"/>
        <v>-0.28073542712674981</v>
      </c>
      <c r="Y198" s="56"/>
      <c r="Z198" s="56"/>
      <c r="AA198" s="56"/>
      <c r="AB198" s="56"/>
      <c r="AC198" s="56"/>
      <c r="AD198" s="56"/>
    </row>
    <row r="199" spans="1:30">
      <c r="A199" s="38">
        <v>197</v>
      </c>
      <c r="B199" s="38" t="s">
        <v>525</v>
      </c>
      <c r="C199" s="26">
        <v>1900</v>
      </c>
      <c r="D199" s="26">
        <v>2800</v>
      </c>
      <c r="E199" s="26">
        <v>1750</v>
      </c>
      <c r="F199" s="26">
        <v>120</v>
      </c>
      <c r="G199" s="26">
        <v>2800</v>
      </c>
      <c r="H199" s="26">
        <v>20</v>
      </c>
      <c r="I199" s="26">
        <v>4000</v>
      </c>
      <c r="J199" s="26">
        <v>16</v>
      </c>
      <c r="K199" s="26">
        <v>28</v>
      </c>
      <c r="L199" s="31">
        <v>19</v>
      </c>
      <c r="M199" s="26">
        <v>19</v>
      </c>
      <c r="N199" s="56">
        <v>2000</v>
      </c>
      <c r="O199" s="56">
        <v>3500</v>
      </c>
      <c r="P199" s="57">
        <f t="shared" si="27"/>
        <v>25</v>
      </c>
      <c r="Q199" s="56">
        <f t="shared" si="28"/>
        <v>210.52631578947367</v>
      </c>
      <c r="R199" s="57">
        <f t="shared" si="29"/>
        <v>7.1428571428571426E-3</v>
      </c>
      <c r="S199" s="57" t="str">
        <f t="shared" si="30"/>
        <v>III</v>
      </c>
      <c r="T199" s="57">
        <f t="shared" si="31"/>
        <v>0.51087946428571429</v>
      </c>
      <c r="U199" s="56">
        <f t="shared" si="35"/>
        <v>0.49959821428571433</v>
      </c>
      <c r="V199" s="56">
        <f t="shared" si="32"/>
        <v>1040.0709890882588</v>
      </c>
      <c r="W199" s="56">
        <f t="shared" si="33"/>
        <v>1037.1511413546204</v>
      </c>
      <c r="X199" s="56">
        <f t="shared" si="34"/>
        <v>-0.28073542712674981</v>
      </c>
      <c r="Y199" s="56"/>
      <c r="Z199" s="56"/>
      <c r="AA199" s="56"/>
      <c r="AB199" s="56"/>
      <c r="AC199" s="56"/>
      <c r="AD199" s="56"/>
    </row>
    <row r="200" spans="1:30">
      <c r="A200" s="38">
        <v>198</v>
      </c>
      <c r="B200" s="38" t="s">
        <v>526</v>
      </c>
      <c r="C200" s="26">
        <v>1900</v>
      </c>
      <c r="D200" s="26">
        <v>2800</v>
      </c>
      <c r="E200" s="26">
        <v>1750</v>
      </c>
      <c r="F200" s="26">
        <v>120</v>
      </c>
      <c r="G200" s="26">
        <v>2800</v>
      </c>
      <c r="H200" s="26">
        <v>20</v>
      </c>
      <c r="I200" s="26">
        <v>4000</v>
      </c>
      <c r="J200" s="26">
        <v>16</v>
      </c>
      <c r="K200" s="26">
        <v>28</v>
      </c>
      <c r="L200" s="31">
        <v>19</v>
      </c>
      <c r="M200" s="26">
        <v>19</v>
      </c>
      <c r="N200" s="56">
        <v>2000</v>
      </c>
      <c r="O200" s="56">
        <v>3500</v>
      </c>
      <c r="P200" s="57">
        <f t="shared" si="27"/>
        <v>25</v>
      </c>
      <c r="Q200" s="56">
        <f t="shared" si="28"/>
        <v>210.52631578947367</v>
      </c>
      <c r="R200" s="57">
        <f t="shared" si="29"/>
        <v>7.1428571428571426E-3</v>
      </c>
      <c r="S200" s="57" t="str">
        <f t="shared" si="30"/>
        <v>III</v>
      </c>
      <c r="T200" s="57">
        <f t="shared" si="31"/>
        <v>0.51087946428571429</v>
      </c>
      <c r="U200" s="56">
        <f t="shared" si="35"/>
        <v>0.49959821428571433</v>
      </c>
      <c r="V200" s="56">
        <f t="shared" si="32"/>
        <v>1040.0709890882588</v>
      </c>
      <c r="W200" s="56">
        <f t="shared" si="33"/>
        <v>1037.1511413546204</v>
      </c>
      <c r="X200" s="56">
        <f t="shared" si="34"/>
        <v>-0.28073542712674981</v>
      </c>
      <c r="Y200" s="56"/>
      <c r="Z200" s="56"/>
      <c r="AA200" s="56"/>
      <c r="AB200" s="56"/>
      <c r="AC200" s="56"/>
      <c r="AD200" s="56"/>
    </row>
    <row r="201" spans="1:30">
      <c r="A201" s="38">
        <v>199</v>
      </c>
      <c r="B201" s="38" t="s">
        <v>527</v>
      </c>
      <c r="C201" s="26">
        <v>1900</v>
      </c>
      <c r="D201" s="26">
        <v>2800</v>
      </c>
      <c r="E201" s="26">
        <v>1750</v>
      </c>
      <c r="F201" s="26">
        <v>120</v>
      </c>
      <c r="G201" s="26">
        <v>2800</v>
      </c>
      <c r="H201" s="26">
        <v>20</v>
      </c>
      <c r="I201" s="26">
        <v>4000</v>
      </c>
      <c r="J201" s="26">
        <v>16</v>
      </c>
      <c r="K201" s="26">
        <v>28</v>
      </c>
      <c r="L201" s="31">
        <v>19</v>
      </c>
      <c r="M201" s="26">
        <v>19</v>
      </c>
      <c r="N201" s="56">
        <v>2000</v>
      </c>
      <c r="O201" s="56">
        <v>3500</v>
      </c>
      <c r="P201" s="57">
        <f t="shared" si="27"/>
        <v>25</v>
      </c>
      <c r="Q201" s="56">
        <f t="shared" si="28"/>
        <v>210.52631578947367</v>
      </c>
      <c r="R201" s="57">
        <f t="shared" si="29"/>
        <v>7.1428571428571426E-3</v>
      </c>
      <c r="S201" s="57" t="str">
        <f t="shared" si="30"/>
        <v>III</v>
      </c>
      <c r="T201" s="57">
        <f t="shared" si="31"/>
        <v>0.51087946428571429</v>
      </c>
      <c r="U201" s="56">
        <f t="shared" si="35"/>
        <v>0.49959821428571433</v>
      </c>
      <c r="V201" s="56">
        <f t="shared" si="32"/>
        <v>1040.0709890882588</v>
      </c>
      <c r="W201" s="56">
        <f t="shared" si="33"/>
        <v>1037.1511413546204</v>
      </c>
      <c r="X201" s="56">
        <f t="shared" si="34"/>
        <v>-0.28073542712674981</v>
      </c>
      <c r="Y201" s="56"/>
      <c r="Z201" s="56"/>
      <c r="AA201" s="56"/>
      <c r="AB201" s="56"/>
      <c r="AC201" s="56"/>
      <c r="AD201" s="56"/>
    </row>
    <row r="202" spans="1:30">
      <c r="A202" s="37">
        <v>200</v>
      </c>
      <c r="B202" s="37" t="s">
        <v>528</v>
      </c>
      <c r="C202" s="34">
        <v>1900</v>
      </c>
      <c r="D202" s="34">
        <v>2800</v>
      </c>
      <c r="E202" s="34">
        <v>1750</v>
      </c>
      <c r="F202" s="34">
        <v>120</v>
      </c>
      <c r="G202" s="34">
        <v>2800</v>
      </c>
      <c r="H202" s="34">
        <v>20</v>
      </c>
      <c r="I202" s="34">
        <v>4000</v>
      </c>
      <c r="J202" s="34">
        <v>16</v>
      </c>
      <c r="K202" s="34">
        <v>28</v>
      </c>
      <c r="L202" s="31">
        <v>19</v>
      </c>
      <c r="M202" s="34">
        <v>19</v>
      </c>
      <c r="N202" s="56">
        <v>2000</v>
      </c>
      <c r="O202" s="56">
        <v>3500</v>
      </c>
      <c r="P202" s="57">
        <f t="shared" si="27"/>
        <v>25</v>
      </c>
      <c r="Q202" s="56">
        <f t="shared" si="28"/>
        <v>210.52631578947367</v>
      </c>
      <c r="R202" s="57">
        <f t="shared" si="29"/>
        <v>7.1428571428571426E-3</v>
      </c>
      <c r="S202" s="57" t="str">
        <f t="shared" si="30"/>
        <v>III</v>
      </c>
      <c r="T202" s="57">
        <f t="shared" si="31"/>
        <v>0.51087946428571429</v>
      </c>
      <c r="U202" s="56">
        <f t="shared" si="35"/>
        <v>0.49959821428571433</v>
      </c>
      <c r="V202" s="56">
        <f t="shared" si="32"/>
        <v>1040.0709890882588</v>
      </c>
      <c r="W202" s="56">
        <f t="shared" si="33"/>
        <v>1037.1511413546204</v>
      </c>
      <c r="X202" s="56">
        <f t="shared" si="34"/>
        <v>-0.28073542712674981</v>
      </c>
      <c r="Y202" s="56"/>
      <c r="Z202" s="56"/>
      <c r="AA202" s="56"/>
      <c r="AB202" s="56"/>
      <c r="AC202" s="56"/>
      <c r="AD202" s="56"/>
    </row>
    <row r="203" spans="1:30">
      <c r="A203" s="38">
        <v>201</v>
      </c>
      <c r="B203" s="38" t="s">
        <v>529</v>
      </c>
      <c r="C203" s="26">
        <v>1900</v>
      </c>
      <c r="D203" s="26">
        <v>2800</v>
      </c>
      <c r="E203" s="26">
        <v>1750</v>
      </c>
      <c r="F203" s="26">
        <v>120</v>
      </c>
      <c r="G203" s="26">
        <v>2800</v>
      </c>
      <c r="H203" s="26">
        <v>20</v>
      </c>
      <c r="I203" s="26">
        <v>4000</v>
      </c>
      <c r="J203" s="26">
        <v>16</v>
      </c>
      <c r="K203" s="26">
        <v>28</v>
      </c>
      <c r="L203" s="31">
        <v>19</v>
      </c>
      <c r="M203" s="26">
        <v>19</v>
      </c>
      <c r="N203" s="56">
        <v>2000</v>
      </c>
      <c r="O203" s="56">
        <v>3500</v>
      </c>
      <c r="P203" s="57">
        <f t="shared" si="27"/>
        <v>25</v>
      </c>
      <c r="Q203" s="56">
        <f t="shared" si="28"/>
        <v>210.52631578947367</v>
      </c>
      <c r="R203" s="57">
        <f t="shared" si="29"/>
        <v>7.1428571428571426E-3</v>
      </c>
      <c r="S203" s="57" t="str">
        <f t="shared" si="30"/>
        <v>III</v>
      </c>
      <c r="T203" s="57">
        <f t="shared" si="31"/>
        <v>0.51087946428571429</v>
      </c>
      <c r="U203" s="56">
        <f t="shared" si="35"/>
        <v>0.49959821428571433</v>
      </c>
      <c r="V203" s="56">
        <f t="shared" si="32"/>
        <v>1040.0709890882588</v>
      </c>
      <c r="W203" s="56">
        <f t="shared" si="33"/>
        <v>1037.1511413546204</v>
      </c>
      <c r="X203" s="56">
        <f t="shared" si="34"/>
        <v>-0.28073542712674981</v>
      </c>
      <c r="Y203" s="56"/>
      <c r="Z203" s="56"/>
      <c r="AA203" s="56"/>
      <c r="AB203" s="56"/>
      <c r="AC203" s="56"/>
      <c r="AD203" s="56"/>
    </row>
    <row r="204" spans="1:30">
      <c r="A204" s="38">
        <v>202</v>
      </c>
      <c r="B204" s="38" t="s">
        <v>530</v>
      </c>
      <c r="C204" s="26">
        <v>1900</v>
      </c>
      <c r="D204" s="26">
        <v>2800</v>
      </c>
      <c r="E204" s="26">
        <v>1750</v>
      </c>
      <c r="F204" s="26">
        <v>120</v>
      </c>
      <c r="G204" s="26">
        <v>2800</v>
      </c>
      <c r="H204" s="26">
        <v>20</v>
      </c>
      <c r="I204" s="26">
        <v>4000</v>
      </c>
      <c r="J204" s="26">
        <v>16</v>
      </c>
      <c r="K204" s="26">
        <v>28</v>
      </c>
      <c r="L204" s="31">
        <v>19</v>
      </c>
      <c r="M204" s="26">
        <v>19</v>
      </c>
      <c r="N204" s="56">
        <v>2000</v>
      </c>
      <c r="O204" s="56">
        <v>3500</v>
      </c>
      <c r="P204" s="57">
        <f t="shared" si="27"/>
        <v>25</v>
      </c>
      <c r="Q204" s="56">
        <f t="shared" si="28"/>
        <v>210.52631578947367</v>
      </c>
      <c r="R204" s="57">
        <f t="shared" si="29"/>
        <v>7.1428571428571426E-3</v>
      </c>
      <c r="S204" s="57" t="str">
        <f t="shared" si="30"/>
        <v>III</v>
      </c>
      <c r="T204" s="57">
        <f t="shared" si="31"/>
        <v>0.51087946428571429</v>
      </c>
      <c r="U204" s="56">
        <f t="shared" si="35"/>
        <v>0.49959821428571433</v>
      </c>
      <c r="V204" s="56">
        <f t="shared" si="32"/>
        <v>1040.0709890882588</v>
      </c>
      <c r="W204" s="56">
        <f t="shared" si="33"/>
        <v>1037.1511413546204</v>
      </c>
      <c r="X204" s="56">
        <f t="shared" si="34"/>
        <v>-0.28073542712674981</v>
      </c>
      <c r="Y204" s="56"/>
      <c r="Z204" s="56"/>
      <c r="AA204" s="56"/>
      <c r="AB204" s="56"/>
      <c r="AC204" s="56"/>
      <c r="AD204" s="56"/>
    </row>
    <row r="205" spans="1:30">
      <c r="A205" s="38">
        <v>203</v>
      </c>
      <c r="B205" s="38" t="s">
        <v>531</v>
      </c>
      <c r="C205" s="26">
        <v>1900</v>
      </c>
      <c r="D205" s="26">
        <v>2800</v>
      </c>
      <c r="E205" s="26">
        <v>1750</v>
      </c>
      <c r="F205" s="26">
        <v>120</v>
      </c>
      <c r="G205" s="26">
        <v>2800</v>
      </c>
      <c r="H205" s="26">
        <v>20</v>
      </c>
      <c r="I205" s="26">
        <v>4000</v>
      </c>
      <c r="J205" s="26">
        <v>16</v>
      </c>
      <c r="K205" s="26">
        <v>28</v>
      </c>
      <c r="L205" s="31">
        <v>19</v>
      </c>
      <c r="M205" s="26">
        <v>19</v>
      </c>
      <c r="N205" s="56">
        <v>2000</v>
      </c>
      <c r="O205" s="56">
        <v>3500</v>
      </c>
      <c r="P205" s="57">
        <f t="shared" si="27"/>
        <v>25</v>
      </c>
      <c r="Q205" s="56">
        <f t="shared" si="28"/>
        <v>210.52631578947367</v>
      </c>
      <c r="R205" s="57">
        <f t="shared" si="29"/>
        <v>7.1428571428571426E-3</v>
      </c>
      <c r="S205" s="57" t="str">
        <f t="shared" si="30"/>
        <v>III</v>
      </c>
      <c r="T205" s="57">
        <f t="shared" si="31"/>
        <v>0.51087946428571429</v>
      </c>
      <c r="U205" s="56">
        <f t="shared" si="35"/>
        <v>0.49959821428571433</v>
      </c>
      <c r="V205" s="56">
        <f t="shared" si="32"/>
        <v>1040.0709890882588</v>
      </c>
      <c r="W205" s="56">
        <f t="shared" si="33"/>
        <v>1037.1511413546204</v>
      </c>
      <c r="X205" s="56">
        <f t="shared" si="34"/>
        <v>-0.28073542712674981</v>
      </c>
      <c r="Y205" s="56"/>
      <c r="Z205" s="56"/>
      <c r="AA205" s="56"/>
      <c r="AB205" s="56"/>
      <c r="AC205" s="56"/>
      <c r="AD205" s="56"/>
    </row>
    <row r="206" spans="1:30">
      <c r="A206" s="37">
        <v>204</v>
      </c>
      <c r="B206" s="37" t="s">
        <v>532</v>
      </c>
      <c r="C206" s="34">
        <v>1900</v>
      </c>
      <c r="D206" s="34">
        <v>2800</v>
      </c>
      <c r="E206" s="34">
        <v>1750</v>
      </c>
      <c r="F206" s="34">
        <v>120</v>
      </c>
      <c r="G206" s="34">
        <v>2800</v>
      </c>
      <c r="H206" s="34">
        <v>20</v>
      </c>
      <c r="I206" s="34">
        <v>4000</v>
      </c>
      <c r="J206" s="34">
        <v>16</v>
      </c>
      <c r="K206" s="34">
        <v>28</v>
      </c>
      <c r="L206" s="31">
        <v>19</v>
      </c>
      <c r="M206" s="34">
        <v>19</v>
      </c>
      <c r="N206" s="56">
        <v>2000</v>
      </c>
      <c r="O206" s="56">
        <v>3500</v>
      </c>
      <c r="P206" s="57">
        <f t="shared" si="27"/>
        <v>25</v>
      </c>
      <c r="Q206" s="56">
        <f t="shared" si="28"/>
        <v>210.52631578947367</v>
      </c>
      <c r="R206" s="57">
        <f t="shared" si="29"/>
        <v>7.1428571428571426E-3</v>
      </c>
      <c r="S206" s="57" t="str">
        <f t="shared" si="30"/>
        <v>III</v>
      </c>
      <c r="T206" s="57">
        <f t="shared" si="31"/>
        <v>0.51087946428571429</v>
      </c>
      <c r="U206" s="56">
        <f t="shared" si="35"/>
        <v>0.49959821428571433</v>
      </c>
      <c r="V206" s="56">
        <f t="shared" si="32"/>
        <v>1032.9757866586529</v>
      </c>
      <c r="W206" s="56">
        <f t="shared" si="33"/>
        <v>1029.892292652645</v>
      </c>
      <c r="X206" s="56">
        <f t="shared" si="34"/>
        <v>-0.29850593264939801</v>
      </c>
      <c r="Y206" s="56"/>
      <c r="Z206" s="56"/>
      <c r="AA206" s="56"/>
      <c r="AB206" s="56"/>
      <c r="AC206" s="56"/>
      <c r="AD206" s="56"/>
    </row>
    <row r="207" spans="1:30">
      <c r="A207" s="38">
        <v>205</v>
      </c>
      <c r="B207" s="38" t="s">
        <v>533</v>
      </c>
      <c r="C207" s="26">
        <v>1900</v>
      </c>
      <c r="D207" s="26">
        <v>2800</v>
      </c>
      <c r="E207" s="26">
        <v>1750</v>
      </c>
      <c r="F207" s="26">
        <v>120</v>
      </c>
      <c r="G207" s="26">
        <v>2800</v>
      </c>
      <c r="H207" s="26">
        <v>20</v>
      </c>
      <c r="I207" s="26">
        <v>3708</v>
      </c>
      <c r="J207" s="26">
        <v>16</v>
      </c>
      <c r="K207" s="26">
        <v>28</v>
      </c>
      <c r="L207" s="31">
        <v>19</v>
      </c>
      <c r="M207" s="26">
        <v>19</v>
      </c>
      <c r="N207" s="56">
        <v>2000</v>
      </c>
      <c r="O207" s="56">
        <v>3500</v>
      </c>
      <c r="P207" s="57">
        <f t="shared" si="27"/>
        <v>22.186579999999999</v>
      </c>
      <c r="Q207" s="56">
        <f t="shared" si="28"/>
        <v>195.15789473684211</v>
      </c>
      <c r="R207" s="57">
        <f t="shared" si="29"/>
        <v>6.3390228571428573E-3</v>
      </c>
      <c r="S207" s="57" t="str">
        <f t="shared" si="30"/>
        <v>III</v>
      </c>
      <c r="T207" s="57">
        <f t="shared" si="31"/>
        <v>0.52760552034120312</v>
      </c>
      <c r="U207" s="56">
        <f t="shared" si="35"/>
        <v>0.51595492525480435</v>
      </c>
      <c r="V207" s="56">
        <f t="shared" si="32"/>
        <v>1028.8203332770152</v>
      </c>
      <c r="W207" s="56">
        <f t="shared" si="33"/>
        <v>1025.4206495727781</v>
      </c>
      <c r="X207" s="56">
        <f t="shared" si="34"/>
        <v>-0.33044484000509106</v>
      </c>
      <c r="Y207" s="56"/>
      <c r="Z207" s="56"/>
      <c r="AA207" s="56"/>
      <c r="AB207" s="56"/>
      <c r="AC207" s="56"/>
      <c r="AD207" s="56"/>
    </row>
    <row r="208" spans="1:30">
      <c r="A208" s="38">
        <v>206</v>
      </c>
      <c r="B208" s="38" t="s">
        <v>534</v>
      </c>
      <c r="C208" s="26">
        <v>1900</v>
      </c>
      <c r="D208" s="26">
        <v>2800</v>
      </c>
      <c r="E208" s="26">
        <v>1750</v>
      </c>
      <c r="F208" s="26">
        <v>120</v>
      </c>
      <c r="G208" s="26">
        <v>2800</v>
      </c>
      <c r="H208" s="26">
        <v>20</v>
      </c>
      <c r="I208" s="26">
        <v>3400</v>
      </c>
      <c r="J208" s="26">
        <v>16</v>
      </c>
      <c r="K208" s="26">
        <v>28</v>
      </c>
      <c r="L208" s="31">
        <v>19</v>
      </c>
      <c r="M208" s="26">
        <v>19</v>
      </c>
      <c r="N208" s="56">
        <v>2000</v>
      </c>
      <c r="O208" s="56">
        <v>3500</v>
      </c>
      <c r="P208" s="57">
        <f t="shared" si="27"/>
        <v>19.45</v>
      </c>
      <c r="Q208" s="56">
        <f t="shared" si="28"/>
        <v>178.94736842105263</v>
      </c>
      <c r="R208" s="57">
        <f t="shared" si="29"/>
        <v>5.5571428571428568E-3</v>
      </c>
      <c r="S208" s="57" t="str">
        <f t="shared" si="30"/>
        <v>III</v>
      </c>
      <c r="T208" s="57">
        <f t="shared" si="31"/>
        <v>0.55012349233811164</v>
      </c>
      <c r="U208" s="56">
        <f t="shared" si="35"/>
        <v>0.53797565496786948</v>
      </c>
      <c r="V208" s="56">
        <f t="shared" si="32"/>
        <v>1025.2190916744903</v>
      </c>
      <c r="W208" s="56">
        <f t="shared" si="33"/>
        <v>1021.3996387620668</v>
      </c>
      <c r="X208" s="56">
        <f t="shared" si="34"/>
        <v>-0.37254992064039166</v>
      </c>
      <c r="Y208" s="56"/>
      <c r="Z208" s="56"/>
      <c r="AA208" s="56"/>
      <c r="AB208" s="56"/>
      <c r="AC208" s="56"/>
      <c r="AD208" s="56"/>
    </row>
    <row r="209" spans="1:30">
      <c r="A209" s="38">
        <v>207</v>
      </c>
      <c r="B209" s="38" t="s">
        <v>535</v>
      </c>
      <c r="C209" s="26">
        <v>1900</v>
      </c>
      <c r="D209" s="26">
        <v>2800</v>
      </c>
      <c r="E209" s="26">
        <v>1750</v>
      </c>
      <c r="F209" s="26">
        <v>120</v>
      </c>
      <c r="G209" s="26">
        <v>2800</v>
      </c>
      <c r="H209" s="26">
        <v>20</v>
      </c>
      <c r="I209" s="26">
        <v>3092</v>
      </c>
      <c r="J209" s="26">
        <v>16</v>
      </c>
      <c r="K209" s="26">
        <v>28</v>
      </c>
      <c r="L209" s="31">
        <v>19</v>
      </c>
      <c r="M209" s="26">
        <v>19</v>
      </c>
      <c r="N209" s="56">
        <v>2000</v>
      </c>
      <c r="O209" s="56">
        <v>3500</v>
      </c>
      <c r="P209" s="57">
        <f t="shared" si="27"/>
        <v>16.950580000000002</v>
      </c>
      <c r="Q209" s="56">
        <f t="shared" si="28"/>
        <v>162.73684210526315</v>
      </c>
      <c r="R209" s="57">
        <f t="shared" si="29"/>
        <v>4.8430228571428582E-3</v>
      </c>
      <c r="S209" s="57" t="str">
        <f t="shared" si="30"/>
        <v>III</v>
      </c>
      <c r="T209" s="57">
        <f t="shared" si="31"/>
        <v>0.57970095039619141</v>
      </c>
      <c r="U209" s="56">
        <f t="shared" si="35"/>
        <v>0.56689998303728484</v>
      </c>
      <c r="V209" s="56">
        <f t="shared" si="32"/>
        <v>1023.4593511099072</v>
      </c>
      <c r="W209" s="56">
        <f t="shared" si="33"/>
        <v>1019.0977134290065</v>
      </c>
      <c r="X209" s="56">
        <f t="shared" si="34"/>
        <v>-0.42616618590378175</v>
      </c>
      <c r="Y209" s="56"/>
      <c r="Z209" s="56"/>
      <c r="AA209" s="56"/>
      <c r="AB209" s="56"/>
      <c r="AC209" s="56"/>
      <c r="AD209" s="56"/>
    </row>
    <row r="210" spans="1:30">
      <c r="A210" s="37">
        <v>208</v>
      </c>
      <c r="B210" s="37" t="s">
        <v>536</v>
      </c>
      <c r="C210" s="34">
        <v>1900</v>
      </c>
      <c r="D210" s="34">
        <v>2800</v>
      </c>
      <c r="E210" s="34">
        <v>1750</v>
      </c>
      <c r="F210" s="34">
        <v>120</v>
      </c>
      <c r="G210" s="34">
        <v>2800</v>
      </c>
      <c r="H210" s="34">
        <v>20</v>
      </c>
      <c r="I210" s="34">
        <v>2800</v>
      </c>
      <c r="J210" s="34">
        <v>16</v>
      </c>
      <c r="K210" s="34">
        <v>28</v>
      </c>
      <c r="L210" s="31">
        <v>19</v>
      </c>
      <c r="M210" s="34">
        <v>19</v>
      </c>
      <c r="N210" s="56">
        <v>2000</v>
      </c>
      <c r="O210" s="56">
        <v>3500</v>
      </c>
      <c r="P210" s="57">
        <f t="shared" si="27"/>
        <v>14.799999999999999</v>
      </c>
      <c r="Q210" s="56">
        <f t="shared" si="28"/>
        <v>147.36842105263159</v>
      </c>
      <c r="R210" s="57">
        <f t="shared" si="29"/>
        <v>4.2285714285714279E-3</v>
      </c>
      <c r="S210" s="57" t="str">
        <f t="shared" si="30"/>
        <v>III</v>
      </c>
      <c r="T210" s="57">
        <f t="shared" si="31"/>
        <v>0.61722580174927089</v>
      </c>
      <c r="U210" s="56">
        <f t="shared" si="35"/>
        <v>0.60359620991253637</v>
      </c>
      <c r="V210" s="56">
        <f t="shared" si="32"/>
        <v>1036.2450883938875</v>
      </c>
      <c r="W210" s="56">
        <f t="shared" si="33"/>
        <v>1031.6011158202809</v>
      </c>
      <c r="X210" s="56">
        <f t="shared" si="34"/>
        <v>-0.44815388035319104</v>
      </c>
      <c r="Y210" s="56"/>
      <c r="Z210" s="56"/>
      <c r="AA210" s="56"/>
      <c r="AB210" s="56"/>
      <c r="AC210" s="56"/>
      <c r="AD210" s="56"/>
    </row>
    <row r="211" spans="1:30">
      <c r="A211" s="36">
        <v>209</v>
      </c>
      <c r="B211" s="36" t="s">
        <v>537</v>
      </c>
      <c r="C211" s="31">
        <v>1900</v>
      </c>
      <c r="D211" s="31">
        <v>2800</v>
      </c>
      <c r="E211" s="31">
        <v>1750</v>
      </c>
      <c r="F211" s="31">
        <v>120</v>
      </c>
      <c r="G211" s="31">
        <v>2800</v>
      </c>
      <c r="H211" s="31">
        <v>20</v>
      </c>
      <c r="I211" s="31">
        <v>2800</v>
      </c>
      <c r="J211" s="31">
        <v>16</v>
      </c>
      <c r="K211" s="31">
        <v>28</v>
      </c>
      <c r="L211" s="31">
        <v>19</v>
      </c>
      <c r="M211" s="31">
        <v>19</v>
      </c>
      <c r="N211" s="56">
        <v>2000</v>
      </c>
      <c r="O211" s="56">
        <v>3500</v>
      </c>
      <c r="P211" s="57">
        <f t="shared" si="27"/>
        <v>14.799999999999999</v>
      </c>
      <c r="Q211" s="56">
        <f t="shared" si="28"/>
        <v>147.36842105263159</v>
      </c>
      <c r="R211" s="57">
        <f t="shared" si="29"/>
        <v>4.2285714285714279E-3</v>
      </c>
      <c r="S211" s="57" t="str">
        <f t="shared" si="30"/>
        <v>III</v>
      </c>
      <c r="T211" s="57">
        <f t="shared" si="31"/>
        <v>0.61722580174927089</v>
      </c>
      <c r="U211" s="56">
        <f t="shared" si="35"/>
        <v>0.60359620991253637</v>
      </c>
      <c r="V211" s="56" t="e">
        <f t="shared" si="32"/>
        <v>#DIV/0!</v>
      </c>
      <c r="W211" s="56" t="e">
        <f t="shared" si="33"/>
        <v>#DIV/0!</v>
      </c>
      <c r="X211" s="56" t="e">
        <f t="shared" si="34"/>
        <v>#DIV/0!</v>
      </c>
      <c r="Y211" s="56"/>
      <c r="Z211" s="56"/>
      <c r="AA211" s="56"/>
      <c r="AB211" s="56"/>
      <c r="AC211" s="56"/>
      <c r="AD211" s="56"/>
    </row>
    <row r="212" spans="1:30">
      <c r="A212" s="37"/>
      <c r="B212" s="50"/>
      <c r="C212" s="31"/>
      <c r="D212" s="31"/>
      <c r="E212" s="31"/>
      <c r="F212" s="31"/>
      <c r="G212" s="31"/>
      <c r="H212" s="31"/>
      <c r="I212" s="31"/>
      <c r="J212" s="31"/>
      <c r="K212" s="31"/>
      <c r="L212" s="31">
        <v>25</v>
      </c>
      <c r="M212" s="31">
        <v>25</v>
      </c>
      <c r="N212" s="56"/>
      <c r="O212" s="56"/>
      <c r="P212" s="57"/>
      <c r="Q212" s="56"/>
      <c r="R212" s="57"/>
      <c r="S212" s="57"/>
      <c r="T212" s="57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</row>
    <row r="213" spans="1:30">
      <c r="A213" s="36"/>
      <c r="B213" s="51"/>
      <c r="C213" s="34"/>
      <c r="D213" s="34"/>
      <c r="E213" s="34"/>
      <c r="F213" s="34"/>
      <c r="G213" s="34"/>
      <c r="H213" s="34"/>
      <c r="I213" s="34"/>
      <c r="J213" s="34"/>
      <c r="K213" s="34"/>
      <c r="L213" s="34">
        <v>25</v>
      </c>
      <c r="M213" s="34">
        <v>25</v>
      </c>
      <c r="N213" s="56"/>
      <c r="O213" s="56"/>
      <c r="P213" s="57"/>
      <c r="Q213" s="56"/>
      <c r="R213" s="57"/>
      <c r="S213" s="57"/>
      <c r="T213" s="57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</row>
    <row r="214" spans="1:30">
      <c r="A214" s="37"/>
      <c r="B214" s="52"/>
      <c r="C214" s="26"/>
      <c r="D214" s="26"/>
      <c r="E214" s="26"/>
      <c r="F214" s="26"/>
      <c r="G214" s="26"/>
      <c r="H214" s="26"/>
      <c r="I214" s="26"/>
      <c r="J214" s="26"/>
      <c r="K214" s="26"/>
      <c r="L214" s="26">
        <v>25</v>
      </c>
      <c r="M214" s="26">
        <v>25</v>
      </c>
      <c r="N214" s="56"/>
      <c r="O214" s="56"/>
      <c r="P214" s="57"/>
      <c r="Q214" s="56"/>
      <c r="R214" s="57"/>
      <c r="S214" s="57"/>
      <c r="T214" s="57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</row>
    <row r="215" spans="1:30">
      <c r="A215" s="36"/>
      <c r="B215" s="52"/>
      <c r="C215" s="26"/>
      <c r="D215" s="26"/>
      <c r="E215" s="26"/>
      <c r="F215" s="26"/>
      <c r="G215" s="26"/>
      <c r="H215" s="26"/>
      <c r="I215" s="26"/>
      <c r="J215" s="26"/>
      <c r="K215" s="26"/>
      <c r="L215" s="26">
        <v>25</v>
      </c>
      <c r="M215" s="26">
        <v>25</v>
      </c>
      <c r="N215" s="56"/>
      <c r="O215" s="56"/>
      <c r="P215" s="57"/>
      <c r="Q215" s="56"/>
      <c r="R215" s="57"/>
      <c r="S215" s="57"/>
      <c r="T215" s="57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</row>
    <row r="216" spans="1:30">
      <c r="A216" s="37"/>
      <c r="B216" s="51"/>
      <c r="C216" s="34"/>
      <c r="D216" s="34"/>
      <c r="E216" s="34"/>
      <c r="F216" s="34"/>
      <c r="G216" s="34"/>
      <c r="H216" s="34"/>
      <c r="I216" s="34"/>
      <c r="J216" s="34"/>
      <c r="K216" s="34"/>
      <c r="L216" s="34">
        <v>25</v>
      </c>
      <c r="M216" s="34">
        <v>25</v>
      </c>
      <c r="N216" s="56"/>
      <c r="O216" s="56"/>
      <c r="P216" s="57"/>
      <c r="Q216" s="56"/>
      <c r="R216" s="57"/>
      <c r="S216" s="57"/>
      <c r="T216" s="57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</row>
    <row r="217" spans="1:30">
      <c r="A217" s="36"/>
      <c r="B217" s="51"/>
      <c r="C217" s="34"/>
      <c r="D217" s="34"/>
      <c r="E217" s="34"/>
      <c r="F217" s="34"/>
      <c r="G217" s="34"/>
      <c r="H217" s="34"/>
      <c r="I217" s="34"/>
      <c r="J217" s="34"/>
      <c r="K217" s="34"/>
      <c r="L217" s="34">
        <v>25</v>
      </c>
      <c r="M217" s="34">
        <v>25</v>
      </c>
      <c r="N217" s="56"/>
      <c r="O217" s="56"/>
      <c r="P217" s="57"/>
      <c r="Q217" s="56"/>
      <c r="R217" s="57"/>
      <c r="S217" s="57"/>
      <c r="T217" s="57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</row>
    <row r="218" spans="1:30">
      <c r="A218" s="37"/>
      <c r="B218" s="52"/>
      <c r="C218" s="26"/>
      <c r="D218" s="26"/>
      <c r="E218" s="26"/>
      <c r="F218" s="26"/>
      <c r="G218" s="26"/>
      <c r="H218" s="26"/>
      <c r="I218" s="26"/>
      <c r="J218" s="26"/>
      <c r="K218" s="26"/>
      <c r="L218" s="26">
        <v>25</v>
      </c>
      <c r="M218" s="26">
        <v>25</v>
      </c>
      <c r="N218" s="56"/>
      <c r="O218" s="56"/>
      <c r="P218" s="57"/>
      <c r="Q218" s="56"/>
      <c r="R218" s="57"/>
      <c r="S218" s="57"/>
      <c r="T218" s="57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</row>
    <row r="219" spans="1:30">
      <c r="A219" s="36"/>
      <c r="B219" s="52"/>
      <c r="C219" s="26"/>
      <c r="D219" s="26"/>
      <c r="E219" s="26"/>
      <c r="F219" s="26"/>
      <c r="G219" s="26"/>
      <c r="H219" s="26"/>
      <c r="I219" s="26"/>
      <c r="J219" s="26"/>
      <c r="K219" s="26"/>
      <c r="L219" s="26">
        <v>25</v>
      </c>
      <c r="M219" s="26">
        <v>25</v>
      </c>
      <c r="N219" s="56"/>
      <c r="O219" s="56"/>
      <c r="P219" s="57"/>
      <c r="Q219" s="56"/>
      <c r="R219" s="57"/>
      <c r="S219" s="57"/>
      <c r="T219" s="57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</row>
    <row r="220" spans="1:30">
      <c r="A220" s="37"/>
      <c r="B220" s="52"/>
      <c r="C220" s="26"/>
      <c r="D220" s="26"/>
      <c r="E220" s="26"/>
      <c r="F220" s="26"/>
      <c r="G220" s="26"/>
      <c r="H220" s="26"/>
      <c r="I220" s="26"/>
      <c r="J220" s="26"/>
      <c r="K220" s="26"/>
      <c r="L220" s="26">
        <v>25</v>
      </c>
      <c r="M220" s="26">
        <v>25</v>
      </c>
      <c r="N220" s="56"/>
      <c r="O220" s="56"/>
      <c r="P220" s="57"/>
      <c r="Q220" s="56"/>
      <c r="R220" s="57"/>
      <c r="S220" s="57"/>
      <c r="T220" s="57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</row>
    <row r="221" spans="1:30">
      <c r="A221" s="36"/>
      <c r="B221" s="51"/>
      <c r="C221" s="34"/>
      <c r="D221" s="34"/>
      <c r="E221" s="34"/>
      <c r="F221" s="34"/>
      <c r="G221" s="34"/>
      <c r="H221" s="34"/>
      <c r="I221" s="34"/>
      <c r="J221" s="34"/>
      <c r="K221" s="34"/>
      <c r="L221" s="34">
        <v>25</v>
      </c>
      <c r="M221" s="34">
        <v>25</v>
      </c>
      <c r="N221" s="56"/>
      <c r="O221" s="56"/>
      <c r="P221" s="57"/>
      <c r="Q221" s="56"/>
      <c r="R221" s="57"/>
      <c r="S221" s="57"/>
      <c r="T221" s="57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</row>
    <row r="222" spans="1:30">
      <c r="A222" s="37"/>
      <c r="B222" s="52"/>
      <c r="C222" s="26"/>
      <c r="D222" s="26"/>
      <c r="E222" s="26"/>
      <c r="F222" s="26"/>
      <c r="G222" s="26"/>
      <c r="H222" s="26"/>
      <c r="I222" s="26"/>
      <c r="J222" s="26"/>
      <c r="K222" s="26"/>
      <c r="L222" s="26">
        <v>25</v>
      </c>
      <c r="M222" s="26">
        <v>25</v>
      </c>
      <c r="N222" s="56"/>
      <c r="O222" s="56"/>
      <c r="P222" s="57"/>
      <c r="Q222" s="56"/>
      <c r="R222" s="57"/>
      <c r="S222" s="57"/>
      <c r="T222" s="57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</row>
    <row r="223" spans="1:30">
      <c r="A223" s="36"/>
      <c r="B223" s="52"/>
      <c r="C223" s="26"/>
      <c r="D223" s="26"/>
      <c r="E223" s="26"/>
      <c r="F223" s="26"/>
      <c r="G223" s="26"/>
      <c r="H223" s="26"/>
      <c r="I223" s="26"/>
      <c r="J223" s="26"/>
      <c r="K223" s="26"/>
      <c r="L223" s="26">
        <v>25</v>
      </c>
      <c r="M223" s="26">
        <v>25</v>
      </c>
      <c r="N223" s="56"/>
      <c r="O223" s="56"/>
      <c r="P223" s="57"/>
      <c r="Q223" s="56"/>
      <c r="R223" s="57"/>
      <c r="S223" s="57"/>
      <c r="T223" s="57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</row>
    <row r="224" spans="1:30">
      <c r="A224" s="37"/>
      <c r="B224" s="52"/>
      <c r="C224" s="26"/>
      <c r="D224" s="26"/>
      <c r="E224" s="26"/>
      <c r="F224" s="26"/>
      <c r="G224" s="26"/>
      <c r="H224" s="26"/>
      <c r="I224" s="26"/>
      <c r="J224" s="26"/>
      <c r="K224" s="26"/>
      <c r="L224" s="26">
        <v>25</v>
      </c>
      <c r="M224" s="26">
        <v>25</v>
      </c>
      <c r="N224" s="56"/>
      <c r="O224" s="56"/>
      <c r="P224" s="57"/>
      <c r="Q224" s="56"/>
      <c r="R224" s="57"/>
      <c r="S224" s="57"/>
      <c r="T224" s="57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</row>
    <row r="225" spans="1:30">
      <c r="A225" s="36"/>
      <c r="B225" s="51"/>
      <c r="C225" s="34"/>
      <c r="D225" s="34"/>
      <c r="E225" s="34"/>
      <c r="F225" s="34"/>
      <c r="G225" s="34"/>
      <c r="H225" s="34"/>
      <c r="I225" s="34"/>
      <c r="J225" s="34"/>
      <c r="K225" s="34"/>
      <c r="L225" s="34">
        <v>25</v>
      </c>
      <c r="M225" s="34">
        <v>25</v>
      </c>
      <c r="N225" s="56"/>
      <c r="O225" s="56"/>
      <c r="P225" s="57"/>
      <c r="Q225" s="56"/>
      <c r="R225" s="57"/>
      <c r="S225" s="57"/>
      <c r="T225" s="57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</row>
    <row r="226" spans="1:30">
      <c r="A226" s="37"/>
      <c r="B226" s="52"/>
      <c r="C226" s="26"/>
      <c r="D226" s="26"/>
      <c r="E226" s="26"/>
      <c r="F226" s="26"/>
      <c r="G226" s="26"/>
      <c r="H226" s="26"/>
      <c r="I226" s="26"/>
      <c r="J226" s="26"/>
      <c r="K226" s="26"/>
      <c r="L226" s="26">
        <v>25</v>
      </c>
      <c r="M226" s="26">
        <v>25</v>
      </c>
      <c r="N226" s="56"/>
      <c r="O226" s="56"/>
      <c r="P226" s="57"/>
      <c r="Q226" s="56"/>
      <c r="R226" s="57"/>
      <c r="S226" s="57"/>
      <c r="T226" s="57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</row>
    <row r="227" spans="1:30">
      <c r="A227" s="36"/>
      <c r="B227" s="52"/>
      <c r="C227" s="26"/>
      <c r="D227" s="26"/>
      <c r="E227" s="26"/>
      <c r="F227" s="26"/>
      <c r="G227" s="26"/>
      <c r="H227" s="26"/>
      <c r="I227" s="26"/>
      <c r="J227" s="26"/>
      <c r="K227" s="26"/>
      <c r="L227" s="26">
        <v>25</v>
      </c>
      <c r="M227" s="26">
        <v>25</v>
      </c>
      <c r="N227" s="56"/>
      <c r="O227" s="56"/>
      <c r="P227" s="57"/>
      <c r="Q227" s="56"/>
      <c r="R227" s="57"/>
      <c r="S227" s="57"/>
      <c r="T227" s="57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</row>
    <row r="228" spans="1:30">
      <c r="A228" s="37"/>
      <c r="B228" s="52"/>
      <c r="C228" s="26"/>
      <c r="D228" s="26"/>
      <c r="E228" s="26"/>
      <c r="F228" s="26"/>
      <c r="G228" s="26"/>
      <c r="H228" s="26"/>
      <c r="I228" s="26"/>
      <c r="J228" s="26"/>
      <c r="K228" s="26"/>
      <c r="L228" s="26">
        <v>25</v>
      </c>
      <c r="M228" s="26">
        <v>25</v>
      </c>
      <c r="N228" s="56"/>
      <c r="O228" s="56"/>
      <c r="P228" s="57"/>
      <c r="Q228" s="56"/>
      <c r="R228" s="57"/>
      <c r="S228" s="57"/>
      <c r="T228" s="57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</row>
    <row r="229" spans="1:30">
      <c r="A229" s="36"/>
      <c r="B229" s="51"/>
      <c r="C229" s="34"/>
      <c r="D229" s="34"/>
      <c r="E229" s="34"/>
      <c r="F229" s="34"/>
      <c r="G229" s="34"/>
      <c r="H229" s="34"/>
      <c r="I229" s="34"/>
      <c r="J229" s="34"/>
      <c r="K229" s="34"/>
      <c r="L229" s="34">
        <v>25</v>
      </c>
      <c r="M229" s="34">
        <v>25</v>
      </c>
      <c r="N229" s="56"/>
      <c r="O229" s="56"/>
      <c r="P229" s="57"/>
      <c r="Q229" s="56"/>
      <c r="R229" s="57"/>
      <c r="S229" s="57"/>
      <c r="T229" s="57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</row>
    <row r="230" spans="1:30">
      <c r="A230" s="37"/>
      <c r="B230" s="51"/>
      <c r="C230" s="34"/>
      <c r="D230" s="34"/>
      <c r="E230" s="34"/>
      <c r="F230" s="34"/>
      <c r="G230" s="34"/>
      <c r="H230" s="34"/>
      <c r="I230" s="34"/>
      <c r="J230" s="34"/>
      <c r="K230" s="34"/>
      <c r="L230" s="34">
        <v>25</v>
      </c>
      <c r="M230" s="34">
        <v>25</v>
      </c>
      <c r="N230" s="56"/>
      <c r="O230" s="56"/>
      <c r="P230" s="57"/>
      <c r="Q230" s="56"/>
      <c r="R230" s="57"/>
      <c r="S230" s="57"/>
      <c r="T230" s="57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</row>
    <row r="231" spans="1:30">
      <c r="A231" s="36"/>
      <c r="B231" s="52"/>
      <c r="C231" s="26"/>
      <c r="D231" s="26"/>
      <c r="E231" s="26"/>
      <c r="F231" s="26"/>
      <c r="G231" s="26"/>
      <c r="H231" s="26"/>
      <c r="I231" s="26"/>
      <c r="J231" s="26"/>
      <c r="K231" s="26"/>
      <c r="L231" s="26">
        <v>25</v>
      </c>
      <c r="M231" s="26">
        <v>25</v>
      </c>
      <c r="N231" s="56"/>
      <c r="O231" s="56"/>
      <c r="P231" s="57"/>
      <c r="Q231" s="56"/>
      <c r="R231" s="57"/>
      <c r="S231" s="57"/>
      <c r="T231" s="57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</row>
    <row r="232" spans="1:30">
      <c r="A232" s="37"/>
      <c r="B232" s="52"/>
      <c r="C232" s="26"/>
      <c r="D232" s="26"/>
      <c r="E232" s="26"/>
      <c r="F232" s="26"/>
      <c r="G232" s="26"/>
      <c r="H232" s="26"/>
      <c r="I232" s="26"/>
      <c r="J232" s="26"/>
      <c r="K232" s="26"/>
      <c r="L232" s="26">
        <v>25</v>
      </c>
      <c r="M232" s="26">
        <v>25</v>
      </c>
      <c r="N232" s="56"/>
      <c r="O232" s="56"/>
      <c r="P232" s="57"/>
      <c r="Q232" s="56"/>
      <c r="R232" s="57"/>
      <c r="S232" s="57"/>
      <c r="T232" s="57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</row>
    <row r="233" spans="1:30">
      <c r="A233" s="36"/>
      <c r="B233" s="52"/>
      <c r="C233" s="26"/>
      <c r="D233" s="26"/>
      <c r="E233" s="26"/>
      <c r="F233" s="26"/>
      <c r="G233" s="26"/>
      <c r="H233" s="26"/>
      <c r="I233" s="26"/>
      <c r="J233" s="26"/>
      <c r="K233" s="26"/>
      <c r="L233" s="26">
        <v>25</v>
      </c>
      <c r="M233" s="26">
        <v>25</v>
      </c>
      <c r="N233" s="56"/>
      <c r="O233" s="56"/>
      <c r="P233" s="57"/>
      <c r="Q233" s="56"/>
      <c r="R233" s="57"/>
      <c r="S233" s="57"/>
      <c r="T233" s="57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</row>
    <row r="234" spans="1:30">
      <c r="A234" s="37"/>
      <c r="B234" s="51"/>
      <c r="C234" s="34"/>
      <c r="D234" s="34"/>
      <c r="E234" s="34"/>
      <c r="F234" s="34"/>
      <c r="G234" s="34"/>
      <c r="H234" s="34"/>
      <c r="I234" s="34"/>
      <c r="J234" s="34"/>
      <c r="K234" s="34"/>
      <c r="L234" s="34">
        <v>25</v>
      </c>
      <c r="M234" s="34">
        <v>25</v>
      </c>
      <c r="N234" s="56"/>
      <c r="O234" s="56"/>
      <c r="P234" s="57"/>
      <c r="Q234" s="56"/>
      <c r="R234" s="57"/>
      <c r="S234" s="57"/>
      <c r="T234" s="57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</row>
    <row r="235" spans="1:30">
      <c r="A235" s="36"/>
      <c r="B235" s="52"/>
      <c r="C235" s="26"/>
      <c r="D235" s="26"/>
      <c r="E235" s="26"/>
      <c r="F235" s="26"/>
      <c r="G235" s="26"/>
      <c r="H235" s="26"/>
      <c r="I235" s="26"/>
      <c r="J235" s="26"/>
      <c r="K235" s="26"/>
      <c r="L235" s="26">
        <v>25</v>
      </c>
      <c r="M235" s="26">
        <v>25</v>
      </c>
      <c r="N235" s="56"/>
      <c r="O235" s="56"/>
      <c r="P235" s="57"/>
      <c r="Q235" s="56"/>
      <c r="R235" s="57"/>
      <c r="S235" s="57"/>
      <c r="T235" s="57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</row>
    <row r="236" spans="1:30">
      <c r="A236" s="37"/>
      <c r="B236" s="52"/>
      <c r="C236" s="26"/>
      <c r="D236" s="26"/>
      <c r="E236" s="26"/>
      <c r="F236" s="26"/>
      <c r="G236" s="26"/>
      <c r="H236" s="26"/>
      <c r="I236" s="26"/>
      <c r="J236" s="26"/>
      <c r="K236" s="26"/>
      <c r="L236" s="26">
        <v>25</v>
      </c>
      <c r="M236" s="26">
        <v>25</v>
      </c>
      <c r="N236" s="56"/>
      <c r="O236" s="56"/>
      <c r="P236" s="57"/>
      <c r="Q236" s="56"/>
      <c r="R236" s="57"/>
      <c r="S236" s="57"/>
      <c r="T236" s="57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</row>
    <row r="237" spans="1:30">
      <c r="A237" s="36"/>
      <c r="B237" s="52"/>
      <c r="C237" s="26"/>
      <c r="D237" s="26"/>
      <c r="E237" s="26"/>
      <c r="F237" s="26"/>
      <c r="G237" s="26"/>
      <c r="H237" s="26"/>
      <c r="I237" s="26"/>
      <c r="J237" s="26"/>
      <c r="K237" s="26"/>
      <c r="L237" s="26">
        <v>25</v>
      </c>
      <c r="M237" s="26">
        <v>25</v>
      </c>
      <c r="N237" s="56"/>
      <c r="O237" s="56"/>
      <c r="P237" s="57"/>
      <c r="Q237" s="56"/>
      <c r="R237" s="57"/>
      <c r="S237" s="57"/>
      <c r="T237" s="57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</row>
    <row r="238" spans="1:30">
      <c r="A238" s="37"/>
      <c r="B238" s="51"/>
      <c r="C238" s="34"/>
      <c r="D238" s="34"/>
      <c r="E238" s="34"/>
      <c r="F238" s="34"/>
      <c r="G238" s="34"/>
      <c r="H238" s="34"/>
      <c r="I238" s="34"/>
      <c r="J238" s="34"/>
      <c r="K238" s="34"/>
      <c r="L238" s="34">
        <v>25</v>
      </c>
      <c r="M238" s="34">
        <v>25</v>
      </c>
      <c r="N238" s="56"/>
      <c r="O238" s="56"/>
      <c r="P238" s="57"/>
      <c r="Q238" s="56"/>
      <c r="R238" s="57"/>
      <c r="S238" s="57"/>
      <c r="T238" s="57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</row>
    <row r="239" spans="1:30">
      <c r="A239" s="36"/>
      <c r="B239" s="51"/>
      <c r="C239" s="34"/>
      <c r="D239" s="34"/>
      <c r="E239" s="34"/>
      <c r="F239" s="34"/>
      <c r="G239" s="34"/>
      <c r="H239" s="34"/>
      <c r="I239" s="34"/>
      <c r="J239" s="34"/>
      <c r="K239" s="34"/>
      <c r="L239" s="34">
        <v>25</v>
      </c>
      <c r="M239" s="34">
        <v>25</v>
      </c>
      <c r="N239" s="56"/>
      <c r="O239" s="56"/>
      <c r="P239" s="57"/>
      <c r="Q239" s="56"/>
      <c r="R239" s="57"/>
      <c r="S239" s="57"/>
      <c r="T239" s="57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</row>
    <row r="240" spans="1:30">
      <c r="A240" s="37"/>
      <c r="B240" s="52"/>
      <c r="C240" s="26"/>
      <c r="D240" s="26"/>
      <c r="E240" s="26"/>
      <c r="F240" s="26"/>
      <c r="G240" s="26"/>
      <c r="H240" s="26"/>
      <c r="I240" s="26"/>
      <c r="J240" s="26"/>
      <c r="K240" s="26"/>
      <c r="L240" s="26">
        <v>25</v>
      </c>
      <c r="M240" s="26">
        <v>25</v>
      </c>
      <c r="N240" s="56"/>
      <c r="O240" s="56"/>
      <c r="P240" s="57"/>
      <c r="Q240" s="56"/>
      <c r="R240" s="57"/>
      <c r="S240" s="57"/>
      <c r="T240" s="57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</row>
    <row r="241" spans="1:30">
      <c r="A241" s="36"/>
      <c r="B241" s="52"/>
      <c r="C241" s="26"/>
      <c r="D241" s="26"/>
      <c r="E241" s="26"/>
      <c r="F241" s="26"/>
      <c r="G241" s="26"/>
      <c r="H241" s="26"/>
      <c r="I241" s="26"/>
      <c r="J241" s="26"/>
      <c r="K241" s="26"/>
      <c r="L241" s="26">
        <v>25</v>
      </c>
      <c r="M241" s="26">
        <v>25</v>
      </c>
      <c r="N241" s="56"/>
      <c r="O241" s="56"/>
      <c r="P241" s="57"/>
      <c r="Q241" s="56"/>
      <c r="R241" s="57"/>
      <c r="S241" s="57"/>
      <c r="T241" s="57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</row>
    <row r="242" spans="1:30">
      <c r="A242" s="37"/>
      <c r="B242" s="52"/>
      <c r="C242" s="26"/>
      <c r="D242" s="26"/>
      <c r="E242" s="26"/>
      <c r="F242" s="26"/>
      <c r="G242" s="26"/>
      <c r="H242" s="26"/>
      <c r="I242" s="26"/>
      <c r="J242" s="26"/>
      <c r="K242" s="26"/>
      <c r="L242" s="26">
        <v>25</v>
      </c>
      <c r="M242" s="26">
        <v>25</v>
      </c>
      <c r="N242" s="56"/>
      <c r="O242" s="56"/>
      <c r="P242" s="57"/>
      <c r="Q242" s="56"/>
      <c r="R242" s="57"/>
      <c r="S242" s="57"/>
      <c r="T242" s="57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</row>
    <row r="243" spans="1:30">
      <c r="A243" s="36"/>
      <c r="B243" s="51"/>
      <c r="C243" s="34"/>
      <c r="D243" s="34"/>
      <c r="E243" s="34"/>
      <c r="F243" s="34"/>
      <c r="G243" s="34"/>
      <c r="H243" s="34"/>
      <c r="I243" s="34"/>
      <c r="J243" s="34"/>
      <c r="K243" s="34"/>
      <c r="L243" s="34">
        <v>25</v>
      </c>
      <c r="M243" s="34">
        <v>25</v>
      </c>
      <c r="N243" s="56"/>
      <c r="O243" s="56"/>
      <c r="P243" s="57"/>
      <c r="Q243" s="56"/>
      <c r="R243" s="57"/>
      <c r="S243" s="57"/>
      <c r="T243" s="57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</row>
    <row r="244" spans="1:30">
      <c r="A244" s="37"/>
      <c r="B244" s="52"/>
      <c r="C244" s="26"/>
      <c r="D244" s="26"/>
      <c r="E244" s="26"/>
      <c r="F244" s="26"/>
      <c r="G244" s="26"/>
      <c r="H244" s="26"/>
      <c r="I244" s="26"/>
      <c r="J244" s="26"/>
      <c r="K244" s="26"/>
      <c r="L244" s="26">
        <v>25</v>
      </c>
      <c r="M244" s="26">
        <v>25</v>
      </c>
      <c r="N244" s="56"/>
      <c r="O244" s="56"/>
      <c r="P244" s="57"/>
      <c r="Q244" s="56"/>
      <c r="R244" s="57"/>
      <c r="S244" s="57"/>
      <c r="T244" s="57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</row>
    <row r="245" spans="1:30">
      <c r="A245" s="36"/>
      <c r="B245" s="52"/>
      <c r="C245" s="26"/>
      <c r="D245" s="26"/>
      <c r="E245" s="26"/>
      <c r="F245" s="26"/>
      <c r="G245" s="26"/>
      <c r="H245" s="26"/>
      <c r="I245" s="26"/>
      <c r="J245" s="26"/>
      <c r="K245" s="26"/>
      <c r="L245" s="26">
        <v>25</v>
      </c>
      <c r="M245" s="26">
        <v>25</v>
      </c>
      <c r="N245" s="56"/>
      <c r="O245" s="56"/>
      <c r="P245" s="57"/>
      <c r="Q245" s="56"/>
      <c r="R245" s="57"/>
      <c r="S245" s="57"/>
      <c r="T245" s="57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</row>
    <row r="246" spans="1:30">
      <c r="A246" s="37"/>
      <c r="B246" s="52"/>
      <c r="C246" s="26"/>
      <c r="D246" s="26"/>
      <c r="E246" s="26"/>
      <c r="F246" s="26"/>
      <c r="G246" s="26"/>
      <c r="H246" s="26"/>
      <c r="I246" s="26"/>
      <c r="J246" s="26"/>
      <c r="K246" s="26"/>
      <c r="L246" s="26">
        <v>25</v>
      </c>
      <c r="M246" s="26">
        <v>25</v>
      </c>
      <c r="N246" s="56"/>
      <c r="O246" s="56"/>
      <c r="P246" s="57"/>
      <c r="Q246" s="56"/>
      <c r="R246" s="57"/>
      <c r="S246" s="57"/>
      <c r="T246" s="57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</row>
    <row r="247" spans="1:30">
      <c r="A247" s="36"/>
      <c r="B247" s="51"/>
      <c r="C247" s="34"/>
      <c r="D247" s="34"/>
      <c r="E247" s="34"/>
      <c r="F247" s="34"/>
      <c r="G247" s="34"/>
      <c r="H247" s="34"/>
      <c r="I247" s="34"/>
      <c r="J247" s="34"/>
      <c r="K247" s="34"/>
      <c r="L247" s="34">
        <v>25</v>
      </c>
      <c r="M247" s="34">
        <v>25</v>
      </c>
      <c r="N247" s="56"/>
      <c r="O247" s="56"/>
      <c r="P247" s="57"/>
      <c r="Q247" s="56"/>
      <c r="R247" s="57"/>
      <c r="S247" s="57"/>
      <c r="T247" s="57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</row>
    <row r="248" spans="1:30">
      <c r="A248" s="37"/>
      <c r="B248" s="52"/>
      <c r="C248" s="26"/>
      <c r="D248" s="26"/>
      <c r="E248" s="26"/>
      <c r="F248" s="26"/>
      <c r="G248" s="26"/>
      <c r="H248" s="26"/>
      <c r="I248" s="26"/>
      <c r="J248" s="26"/>
      <c r="K248" s="26"/>
      <c r="L248" s="26">
        <v>25</v>
      </c>
      <c r="M248" s="26">
        <v>25</v>
      </c>
      <c r="N248" s="56"/>
      <c r="O248" s="56"/>
      <c r="P248" s="57"/>
      <c r="Q248" s="56"/>
      <c r="R248" s="57"/>
      <c r="S248" s="57"/>
      <c r="T248" s="57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</row>
    <row r="249" spans="1:30">
      <c r="A249" s="36"/>
      <c r="B249" s="52"/>
      <c r="C249" s="26"/>
      <c r="D249" s="26"/>
      <c r="E249" s="26"/>
      <c r="F249" s="26"/>
      <c r="G249" s="26"/>
      <c r="H249" s="26"/>
      <c r="I249" s="26"/>
      <c r="J249" s="26"/>
      <c r="K249" s="26"/>
      <c r="L249" s="26">
        <v>25</v>
      </c>
      <c r="M249" s="26">
        <v>25</v>
      </c>
      <c r="N249" s="56"/>
      <c r="O249" s="56"/>
      <c r="P249" s="57"/>
      <c r="Q249" s="56"/>
      <c r="R249" s="57"/>
      <c r="S249" s="57"/>
      <c r="T249" s="57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</row>
    <row r="250" spans="1:30">
      <c r="A250" s="37"/>
      <c r="B250" s="52"/>
      <c r="C250" s="26"/>
      <c r="D250" s="26"/>
      <c r="E250" s="26"/>
      <c r="F250" s="26"/>
      <c r="G250" s="26"/>
      <c r="H250" s="26"/>
      <c r="I250" s="26"/>
      <c r="J250" s="26"/>
      <c r="K250" s="26"/>
      <c r="L250" s="26">
        <v>25</v>
      </c>
      <c r="M250" s="26">
        <v>25</v>
      </c>
      <c r="N250" s="56"/>
      <c r="O250" s="56"/>
      <c r="P250" s="57"/>
      <c r="Q250" s="56"/>
      <c r="R250" s="57"/>
      <c r="S250" s="57"/>
      <c r="T250" s="57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</row>
    <row r="251" spans="1:30">
      <c r="A251" s="36"/>
      <c r="B251" s="51"/>
      <c r="C251" s="34"/>
      <c r="D251" s="34"/>
      <c r="E251" s="34"/>
      <c r="F251" s="34"/>
      <c r="G251" s="34"/>
      <c r="H251" s="34"/>
      <c r="I251" s="34"/>
      <c r="J251" s="34"/>
      <c r="K251" s="34"/>
      <c r="L251" s="34">
        <v>25</v>
      </c>
      <c r="M251" s="34">
        <v>25</v>
      </c>
      <c r="N251" s="56"/>
      <c r="O251" s="56"/>
      <c r="P251" s="57"/>
      <c r="Q251" s="56"/>
      <c r="R251" s="57"/>
      <c r="S251" s="57"/>
      <c r="T251" s="57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</row>
    <row r="252" spans="1:30">
      <c r="A252" s="37"/>
      <c r="B252" s="51"/>
      <c r="C252" s="34"/>
      <c r="D252" s="34"/>
      <c r="E252" s="34"/>
      <c r="F252" s="34"/>
      <c r="G252" s="34"/>
      <c r="H252" s="34"/>
      <c r="I252" s="34"/>
      <c r="J252" s="34"/>
      <c r="K252" s="34"/>
      <c r="L252" s="34">
        <v>25</v>
      </c>
      <c r="M252" s="34">
        <v>25</v>
      </c>
      <c r="N252" s="56"/>
      <c r="O252" s="56"/>
      <c r="P252" s="57"/>
      <c r="Q252" s="56"/>
      <c r="R252" s="57"/>
      <c r="S252" s="57"/>
      <c r="T252" s="57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</row>
    <row r="253" spans="1:30">
      <c r="A253" s="36"/>
      <c r="B253" s="52"/>
      <c r="C253" s="26"/>
      <c r="D253" s="26"/>
      <c r="E253" s="26"/>
      <c r="F253" s="26"/>
      <c r="G253" s="26"/>
      <c r="H253" s="26"/>
      <c r="I253" s="26"/>
      <c r="J253" s="26"/>
      <c r="K253" s="26"/>
      <c r="L253" s="26">
        <v>25</v>
      </c>
      <c r="M253" s="26">
        <v>25</v>
      </c>
      <c r="N253" s="56"/>
      <c r="O253" s="56"/>
      <c r="P253" s="57"/>
      <c r="Q253" s="56"/>
      <c r="R253" s="57"/>
      <c r="S253" s="57"/>
      <c r="T253" s="57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</row>
    <row r="254" spans="1:30">
      <c r="A254" s="37"/>
      <c r="B254" s="52"/>
      <c r="C254" s="26"/>
      <c r="D254" s="26"/>
      <c r="E254" s="26"/>
      <c r="F254" s="26"/>
      <c r="G254" s="26"/>
      <c r="H254" s="26"/>
      <c r="I254" s="26"/>
      <c r="J254" s="26"/>
      <c r="K254" s="26"/>
      <c r="L254" s="26">
        <v>25</v>
      </c>
      <c r="M254" s="26">
        <v>25</v>
      </c>
      <c r="N254" s="56"/>
      <c r="O254" s="56"/>
      <c r="P254" s="57"/>
      <c r="Q254" s="56"/>
      <c r="R254" s="57"/>
      <c r="S254" s="57"/>
      <c r="T254" s="57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</row>
    <row r="255" spans="1:30">
      <c r="A255" s="36"/>
      <c r="B255" s="52"/>
      <c r="C255" s="26"/>
      <c r="D255" s="26"/>
      <c r="E255" s="26"/>
      <c r="F255" s="26"/>
      <c r="G255" s="26"/>
      <c r="H255" s="26"/>
      <c r="I255" s="26"/>
      <c r="J255" s="26"/>
      <c r="K255" s="26"/>
      <c r="L255" s="26">
        <v>25</v>
      </c>
      <c r="M255" s="26">
        <v>25</v>
      </c>
      <c r="N255" s="56"/>
      <c r="O255" s="56"/>
      <c r="P255" s="57"/>
      <c r="Q255" s="56"/>
      <c r="R255" s="57"/>
      <c r="S255" s="57"/>
      <c r="T255" s="57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</row>
    <row r="256" spans="1:30">
      <c r="A256" s="37"/>
      <c r="B256" s="51"/>
      <c r="C256" s="34"/>
      <c r="D256" s="34"/>
      <c r="E256" s="34"/>
      <c r="F256" s="34"/>
      <c r="G256" s="34"/>
      <c r="H256" s="34"/>
      <c r="I256" s="34"/>
      <c r="J256" s="34"/>
      <c r="K256" s="34"/>
      <c r="L256" s="34">
        <v>32</v>
      </c>
      <c r="M256" s="34">
        <v>32</v>
      </c>
      <c r="N256" s="56"/>
      <c r="O256" s="56"/>
      <c r="P256" s="57"/>
      <c r="Q256" s="56"/>
      <c r="R256" s="57"/>
      <c r="S256" s="57"/>
      <c r="T256" s="57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</row>
    <row r="257" spans="1:30">
      <c r="A257" s="36"/>
      <c r="B257" s="52"/>
      <c r="C257" s="26"/>
      <c r="D257" s="26"/>
      <c r="E257" s="26"/>
      <c r="F257" s="26"/>
      <c r="G257" s="26"/>
      <c r="H257" s="26"/>
      <c r="I257" s="26"/>
      <c r="J257" s="26"/>
      <c r="K257" s="26"/>
      <c r="L257" s="26">
        <v>32</v>
      </c>
      <c r="M257" s="26">
        <v>32</v>
      </c>
      <c r="N257" s="56"/>
      <c r="O257" s="56"/>
      <c r="P257" s="57"/>
      <c r="Q257" s="56"/>
      <c r="R257" s="57"/>
      <c r="S257" s="57"/>
      <c r="T257" s="57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</row>
    <row r="258" spans="1:30">
      <c r="A258" s="37"/>
      <c r="B258" s="52"/>
      <c r="C258" s="26"/>
      <c r="D258" s="26"/>
      <c r="E258" s="26"/>
      <c r="F258" s="26"/>
      <c r="G258" s="26"/>
      <c r="H258" s="26"/>
      <c r="I258" s="26"/>
      <c r="J258" s="26"/>
      <c r="K258" s="26"/>
      <c r="L258" s="26">
        <v>32</v>
      </c>
      <c r="M258" s="26">
        <v>32</v>
      </c>
      <c r="N258" s="56"/>
      <c r="O258" s="56"/>
      <c r="P258" s="57"/>
      <c r="Q258" s="56"/>
      <c r="R258" s="57"/>
      <c r="S258" s="57"/>
      <c r="T258" s="57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</row>
    <row r="259" spans="1:30">
      <c r="A259" s="36"/>
      <c r="B259" s="52"/>
      <c r="C259" s="26"/>
      <c r="D259" s="26"/>
      <c r="E259" s="26"/>
      <c r="F259" s="26"/>
      <c r="G259" s="26"/>
      <c r="H259" s="26"/>
      <c r="I259" s="26"/>
      <c r="J259" s="26"/>
      <c r="K259" s="26"/>
      <c r="L259" s="26">
        <v>32</v>
      </c>
      <c r="M259" s="26">
        <v>32</v>
      </c>
      <c r="N259" s="56"/>
      <c r="O259" s="56"/>
      <c r="P259" s="57"/>
      <c r="Q259" s="56"/>
      <c r="R259" s="57"/>
      <c r="S259" s="57"/>
      <c r="T259" s="57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</row>
    <row r="260" spans="1:30">
      <c r="A260" s="37"/>
      <c r="B260" s="51"/>
      <c r="C260" s="34"/>
      <c r="D260" s="34"/>
      <c r="E260" s="34"/>
      <c r="F260" s="34"/>
      <c r="G260" s="34"/>
      <c r="H260" s="34"/>
      <c r="I260" s="34"/>
      <c r="J260" s="34"/>
      <c r="K260" s="34"/>
      <c r="L260" s="34">
        <v>32</v>
      </c>
      <c r="M260" s="34">
        <v>32</v>
      </c>
      <c r="N260" s="56"/>
      <c r="O260" s="56"/>
      <c r="P260" s="57"/>
      <c r="Q260" s="56"/>
      <c r="R260" s="57"/>
      <c r="S260" s="57"/>
      <c r="T260" s="57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</row>
    <row r="261" spans="1:30">
      <c r="A261" s="36"/>
      <c r="B261" s="52"/>
      <c r="C261" s="26"/>
      <c r="D261" s="26"/>
      <c r="E261" s="26"/>
      <c r="F261" s="26"/>
      <c r="G261" s="26"/>
      <c r="H261" s="26"/>
      <c r="I261" s="26"/>
      <c r="J261" s="26"/>
      <c r="K261" s="26"/>
      <c r="L261" s="26">
        <v>32</v>
      </c>
      <c r="M261" s="26">
        <v>32</v>
      </c>
      <c r="N261" s="56"/>
      <c r="O261" s="56"/>
      <c r="P261" s="57"/>
      <c r="Q261" s="56"/>
      <c r="R261" s="57"/>
      <c r="S261" s="57"/>
      <c r="T261" s="57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</row>
    <row r="262" spans="1:30">
      <c r="A262" s="37"/>
      <c r="B262" s="52"/>
      <c r="C262" s="26"/>
      <c r="D262" s="26"/>
      <c r="E262" s="26"/>
      <c r="F262" s="26"/>
      <c r="G262" s="26"/>
      <c r="H262" s="26"/>
      <c r="I262" s="26"/>
      <c r="J262" s="26"/>
      <c r="K262" s="26"/>
      <c r="L262" s="26">
        <v>32</v>
      </c>
      <c r="M262" s="26">
        <v>32</v>
      </c>
      <c r="N262" s="56"/>
      <c r="O262" s="56"/>
      <c r="P262" s="57"/>
      <c r="Q262" s="56"/>
      <c r="R262" s="57"/>
      <c r="S262" s="57"/>
      <c r="T262" s="57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</row>
    <row r="263" spans="1:30">
      <c r="A263" s="36"/>
      <c r="B263" s="52"/>
      <c r="C263" s="26"/>
      <c r="D263" s="26"/>
      <c r="E263" s="26"/>
      <c r="F263" s="26"/>
      <c r="G263" s="26"/>
      <c r="H263" s="26"/>
      <c r="I263" s="26"/>
      <c r="J263" s="26"/>
      <c r="K263" s="26"/>
      <c r="L263" s="26">
        <v>32</v>
      </c>
      <c r="M263" s="26">
        <v>32</v>
      </c>
      <c r="N263" s="56"/>
      <c r="O263" s="56"/>
      <c r="P263" s="57"/>
      <c r="Q263" s="56"/>
      <c r="R263" s="57"/>
      <c r="S263" s="57"/>
      <c r="T263" s="57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</row>
    <row r="264" spans="1:30">
      <c r="A264" s="37"/>
      <c r="B264" s="51"/>
      <c r="C264" s="34"/>
      <c r="D264" s="34"/>
      <c r="E264" s="34"/>
      <c r="F264" s="34"/>
      <c r="G264" s="34"/>
      <c r="H264" s="34"/>
      <c r="I264" s="34"/>
      <c r="J264" s="34"/>
      <c r="K264" s="34"/>
      <c r="L264" s="34">
        <v>38</v>
      </c>
      <c r="M264" s="34">
        <v>38</v>
      </c>
      <c r="N264" s="56"/>
      <c r="O264" s="56"/>
      <c r="P264" s="57"/>
      <c r="Q264" s="56"/>
      <c r="R264" s="57"/>
      <c r="S264" s="57"/>
      <c r="T264" s="57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</row>
    <row r="265" spans="1:30">
      <c r="A265" s="36"/>
      <c r="B265" s="52"/>
      <c r="C265" s="26"/>
      <c r="D265" s="26"/>
      <c r="E265" s="26"/>
      <c r="F265" s="26"/>
      <c r="G265" s="26"/>
      <c r="H265" s="26"/>
      <c r="I265" s="26"/>
      <c r="J265" s="26"/>
      <c r="K265" s="26"/>
      <c r="L265" s="26">
        <v>38</v>
      </c>
      <c r="M265" s="26">
        <v>38</v>
      </c>
      <c r="N265" s="56"/>
      <c r="O265" s="56"/>
      <c r="P265" s="57"/>
      <c r="Q265" s="56"/>
      <c r="R265" s="57"/>
      <c r="S265" s="57"/>
      <c r="T265" s="57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</row>
    <row r="266" spans="1:30">
      <c r="A266" s="37"/>
      <c r="B266" s="52"/>
      <c r="C266" s="26"/>
      <c r="D266" s="26"/>
      <c r="E266" s="26"/>
      <c r="F266" s="26"/>
      <c r="G266" s="26"/>
      <c r="H266" s="26"/>
      <c r="I266" s="26"/>
      <c r="J266" s="26"/>
      <c r="K266" s="26"/>
      <c r="L266" s="26">
        <v>38</v>
      </c>
      <c r="M266" s="26">
        <v>38</v>
      </c>
      <c r="N266" s="56"/>
      <c r="O266" s="56"/>
      <c r="P266" s="57"/>
      <c r="Q266" s="56"/>
      <c r="R266" s="57"/>
      <c r="S266" s="57"/>
      <c r="T266" s="57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</row>
    <row r="267" spans="1:30">
      <c r="A267" s="36"/>
      <c r="B267" s="52"/>
      <c r="C267" s="26"/>
      <c r="D267" s="26"/>
      <c r="E267" s="26"/>
      <c r="F267" s="26"/>
      <c r="G267" s="26"/>
      <c r="H267" s="26"/>
      <c r="I267" s="26"/>
      <c r="J267" s="26"/>
      <c r="K267" s="26"/>
      <c r="L267" s="26">
        <v>38</v>
      </c>
      <c r="M267" s="26">
        <v>38</v>
      </c>
      <c r="N267" s="56"/>
      <c r="O267" s="56"/>
      <c r="P267" s="57"/>
      <c r="Q267" s="56"/>
      <c r="R267" s="57"/>
      <c r="S267" s="57"/>
      <c r="T267" s="57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</row>
    <row r="268" spans="1:30">
      <c r="A268" s="37"/>
      <c r="B268" s="50"/>
      <c r="C268" s="31"/>
      <c r="D268" s="31"/>
      <c r="E268" s="31"/>
      <c r="F268" s="31"/>
      <c r="G268" s="31"/>
      <c r="H268" s="31"/>
      <c r="I268" s="31"/>
      <c r="J268" s="31"/>
      <c r="K268" s="31"/>
      <c r="L268" s="31">
        <v>38</v>
      </c>
      <c r="M268" s="31">
        <v>38</v>
      </c>
      <c r="N268" s="56"/>
      <c r="O268" s="56"/>
      <c r="P268" s="57"/>
      <c r="Q268" s="56"/>
      <c r="R268" s="57"/>
      <c r="S268" s="57"/>
      <c r="T268" s="57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</row>
    <row r="269" spans="1:30">
      <c r="A269" s="36"/>
      <c r="B269" s="52"/>
      <c r="C269" s="26"/>
      <c r="D269" s="26"/>
      <c r="E269" s="26"/>
      <c r="F269" s="26"/>
      <c r="G269" s="26"/>
      <c r="H269" s="26"/>
      <c r="I269" s="26"/>
      <c r="J269" s="26"/>
      <c r="K269" s="26"/>
      <c r="L269" s="26">
        <v>38</v>
      </c>
      <c r="M269" s="26">
        <v>38</v>
      </c>
      <c r="N269" s="56"/>
      <c r="O269" s="56"/>
      <c r="P269" s="57"/>
      <c r="Q269" s="56"/>
      <c r="R269" s="57"/>
      <c r="S269" s="57"/>
      <c r="T269" s="57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</row>
    <row r="270" spans="1:30">
      <c r="A270" s="37"/>
      <c r="B270" s="52"/>
      <c r="C270" s="26"/>
      <c r="D270" s="26"/>
      <c r="E270" s="26"/>
      <c r="F270" s="26"/>
      <c r="G270" s="26"/>
      <c r="H270" s="26"/>
      <c r="I270" s="26"/>
      <c r="J270" s="26"/>
      <c r="K270" s="26"/>
      <c r="L270" s="26">
        <v>38</v>
      </c>
      <c r="M270" s="26">
        <v>38</v>
      </c>
      <c r="N270" s="56"/>
      <c r="O270" s="56"/>
      <c r="P270" s="57"/>
      <c r="Q270" s="56"/>
      <c r="R270" s="57"/>
      <c r="S270" s="57"/>
      <c r="T270" s="57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</row>
    <row r="271" spans="1:30">
      <c r="A271" s="36"/>
      <c r="B271" s="51"/>
      <c r="C271" s="34"/>
      <c r="D271" s="34"/>
      <c r="E271" s="34"/>
      <c r="F271" s="34"/>
      <c r="G271" s="34"/>
      <c r="H271" s="34"/>
      <c r="I271" s="34"/>
      <c r="J271" s="34"/>
      <c r="K271" s="34"/>
      <c r="L271" s="34">
        <v>38</v>
      </c>
      <c r="M271" s="34">
        <v>38</v>
      </c>
      <c r="N271" s="56"/>
      <c r="O271" s="56"/>
      <c r="P271" s="57"/>
      <c r="Q271" s="56"/>
      <c r="R271" s="57"/>
      <c r="S271" s="57"/>
      <c r="T271" s="57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</row>
    <row r="272" spans="1:30">
      <c r="A272" s="37"/>
      <c r="B272" s="52"/>
      <c r="C272" s="26"/>
      <c r="D272" s="26"/>
      <c r="E272" s="26"/>
      <c r="F272" s="26"/>
      <c r="G272" s="26"/>
      <c r="H272" s="26"/>
      <c r="I272" s="26"/>
      <c r="J272" s="26"/>
      <c r="K272" s="26"/>
      <c r="L272" s="26">
        <v>35</v>
      </c>
      <c r="M272" s="26">
        <v>35</v>
      </c>
      <c r="N272" s="56"/>
      <c r="O272" s="56"/>
      <c r="P272" s="57"/>
      <c r="Q272" s="56"/>
      <c r="R272" s="57"/>
      <c r="S272" s="57"/>
      <c r="T272" s="57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</row>
    <row r="273" spans="1:30">
      <c r="A273" s="36"/>
      <c r="B273" s="52"/>
      <c r="C273" s="26"/>
      <c r="D273" s="26"/>
      <c r="E273" s="26"/>
      <c r="F273" s="26"/>
      <c r="G273" s="26"/>
      <c r="H273" s="26"/>
      <c r="I273" s="26"/>
      <c r="J273" s="26"/>
      <c r="K273" s="26"/>
      <c r="L273" s="26">
        <v>35</v>
      </c>
      <c r="M273" s="26">
        <v>35</v>
      </c>
      <c r="N273" s="56"/>
      <c r="O273" s="56"/>
      <c r="P273" s="57"/>
      <c r="Q273" s="56"/>
      <c r="R273" s="57"/>
      <c r="S273" s="57"/>
      <c r="T273" s="57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</row>
    <row r="274" spans="1:30">
      <c r="A274" s="37"/>
      <c r="B274" s="52"/>
      <c r="C274" s="26"/>
      <c r="D274" s="26"/>
      <c r="E274" s="26"/>
      <c r="F274" s="26"/>
      <c r="G274" s="26"/>
      <c r="H274" s="26"/>
      <c r="I274" s="26"/>
      <c r="J274" s="26"/>
      <c r="K274" s="26"/>
      <c r="L274" s="26">
        <v>35</v>
      </c>
      <c r="M274" s="26">
        <v>35</v>
      </c>
      <c r="N274" s="56"/>
      <c r="O274" s="56"/>
      <c r="P274" s="57"/>
      <c r="Q274" s="56"/>
      <c r="R274" s="57"/>
      <c r="S274" s="57"/>
      <c r="T274" s="57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</row>
    <row r="275" spans="1:30">
      <c r="A275" s="36"/>
      <c r="B275" s="51"/>
      <c r="C275" s="34"/>
      <c r="D275" s="34"/>
      <c r="E275" s="34"/>
      <c r="F275" s="34"/>
      <c r="G275" s="34"/>
      <c r="H275" s="34"/>
      <c r="I275" s="34"/>
      <c r="J275" s="34"/>
      <c r="K275" s="34"/>
      <c r="L275" s="34">
        <v>35</v>
      </c>
      <c r="M275" s="34">
        <v>35</v>
      </c>
      <c r="N275" s="56"/>
      <c r="O275" s="56"/>
      <c r="P275" s="57"/>
      <c r="Q275" s="56"/>
      <c r="R275" s="57"/>
      <c r="S275" s="57"/>
      <c r="T275" s="57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</row>
    <row r="276" spans="1:30">
      <c r="A276" s="37"/>
      <c r="B276" s="52"/>
      <c r="C276" s="26"/>
      <c r="D276" s="26"/>
      <c r="E276" s="26"/>
      <c r="F276" s="26"/>
      <c r="G276" s="26"/>
      <c r="H276" s="26"/>
      <c r="I276" s="26"/>
      <c r="J276" s="26"/>
      <c r="K276" s="26"/>
      <c r="L276" s="26">
        <v>35</v>
      </c>
      <c r="M276" s="26">
        <v>35</v>
      </c>
      <c r="N276" s="56"/>
      <c r="O276" s="56"/>
      <c r="P276" s="57"/>
      <c r="Q276" s="56"/>
      <c r="R276" s="57"/>
      <c r="S276" s="57"/>
      <c r="T276" s="57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</row>
    <row r="277" spans="1:30">
      <c r="A277" s="36"/>
      <c r="B277" s="52"/>
      <c r="C277" s="26"/>
      <c r="D277" s="26"/>
      <c r="E277" s="26"/>
      <c r="F277" s="26"/>
      <c r="G277" s="26"/>
      <c r="H277" s="26"/>
      <c r="I277" s="26"/>
      <c r="J277" s="26"/>
      <c r="K277" s="26"/>
      <c r="L277" s="26">
        <v>35</v>
      </c>
      <c r="M277" s="26">
        <v>35</v>
      </c>
      <c r="N277" s="56"/>
      <c r="O277" s="56"/>
      <c r="P277" s="57"/>
      <c r="Q277" s="56"/>
      <c r="R277" s="57"/>
      <c r="S277" s="57"/>
      <c r="T277" s="57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</row>
    <row r="278" spans="1:30">
      <c r="A278" s="37"/>
      <c r="B278" s="52"/>
      <c r="C278" s="26"/>
      <c r="D278" s="26"/>
      <c r="E278" s="26"/>
      <c r="F278" s="26"/>
      <c r="G278" s="26"/>
      <c r="H278" s="26"/>
      <c r="I278" s="26"/>
      <c r="J278" s="26"/>
      <c r="K278" s="26"/>
      <c r="L278" s="26">
        <v>35</v>
      </c>
      <c r="M278" s="26">
        <v>35</v>
      </c>
      <c r="N278" s="56"/>
      <c r="O278" s="56"/>
      <c r="P278" s="57"/>
      <c r="Q278" s="56"/>
      <c r="R278" s="57"/>
      <c r="S278" s="57"/>
      <c r="T278" s="57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</row>
    <row r="279" spans="1:30">
      <c r="A279" s="36"/>
      <c r="B279" s="51"/>
      <c r="C279" s="34"/>
      <c r="D279" s="34"/>
      <c r="E279" s="34"/>
      <c r="F279" s="34"/>
      <c r="G279" s="34"/>
      <c r="H279" s="34"/>
      <c r="I279" s="34"/>
      <c r="J279" s="34"/>
      <c r="K279" s="34"/>
      <c r="L279" s="34">
        <v>35</v>
      </c>
      <c r="M279" s="34">
        <v>35</v>
      </c>
      <c r="N279" s="56"/>
      <c r="O279" s="56"/>
      <c r="P279" s="57"/>
      <c r="Q279" s="56"/>
      <c r="R279" s="57"/>
      <c r="S279" s="57"/>
      <c r="T279" s="57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</row>
    <row r="280" spans="1:30">
      <c r="A280" s="37"/>
      <c r="B280" s="52"/>
      <c r="C280" s="26"/>
      <c r="D280" s="26"/>
      <c r="E280" s="26"/>
      <c r="F280" s="26"/>
      <c r="G280" s="26"/>
      <c r="H280" s="26"/>
      <c r="I280" s="26"/>
      <c r="J280" s="26"/>
      <c r="K280" s="26"/>
      <c r="L280" s="26">
        <v>22</v>
      </c>
      <c r="M280" s="26">
        <v>22</v>
      </c>
      <c r="N280" s="56"/>
      <c r="O280" s="56"/>
      <c r="P280" s="57"/>
      <c r="Q280" s="56"/>
      <c r="R280" s="57"/>
      <c r="S280" s="57"/>
      <c r="T280" s="57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</row>
    <row r="281" spans="1:30">
      <c r="A281" s="36"/>
      <c r="B281" s="52"/>
      <c r="C281" s="26"/>
      <c r="D281" s="26"/>
      <c r="E281" s="26"/>
      <c r="F281" s="26"/>
      <c r="G281" s="26"/>
      <c r="H281" s="26"/>
      <c r="I281" s="26"/>
      <c r="J281" s="26"/>
      <c r="K281" s="26"/>
      <c r="L281" s="26">
        <v>22</v>
      </c>
      <c r="M281" s="26">
        <v>22</v>
      </c>
      <c r="N281" s="56"/>
      <c r="O281" s="56"/>
      <c r="P281" s="57"/>
      <c r="Q281" s="56"/>
      <c r="R281" s="57"/>
      <c r="S281" s="57"/>
      <c r="T281" s="57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</row>
    <row r="282" spans="1:30">
      <c r="A282" s="37"/>
      <c r="B282" s="52"/>
      <c r="C282" s="26"/>
      <c r="D282" s="26"/>
      <c r="E282" s="26"/>
      <c r="F282" s="26"/>
      <c r="G282" s="26"/>
      <c r="H282" s="26"/>
      <c r="I282" s="26"/>
      <c r="J282" s="26"/>
      <c r="K282" s="26"/>
      <c r="L282" s="26">
        <v>22</v>
      </c>
      <c r="M282" s="26">
        <v>22</v>
      </c>
      <c r="N282" s="56"/>
      <c r="O282" s="56"/>
      <c r="P282" s="57"/>
      <c r="Q282" s="56"/>
      <c r="R282" s="57"/>
      <c r="S282" s="57"/>
      <c r="T282" s="57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</row>
    <row r="283" spans="1:30">
      <c r="A283" s="36"/>
      <c r="B283" s="51"/>
      <c r="C283" s="34"/>
      <c r="D283" s="34"/>
      <c r="E283" s="34"/>
      <c r="F283" s="34"/>
      <c r="G283" s="34"/>
      <c r="H283" s="34"/>
      <c r="I283" s="34"/>
      <c r="J283" s="34"/>
      <c r="K283" s="34"/>
      <c r="L283" s="34">
        <v>22</v>
      </c>
      <c r="M283" s="34">
        <v>22</v>
      </c>
      <c r="N283" s="56"/>
      <c r="O283" s="56"/>
      <c r="P283" s="57"/>
      <c r="Q283" s="56"/>
      <c r="R283" s="57"/>
      <c r="S283" s="57"/>
      <c r="T283" s="57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</row>
    <row r="284" spans="1:30">
      <c r="A284" s="37"/>
      <c r="B284" s="52"/>
      <c r="C284" s="26"/>
      <c r="D284" s="26"/>
      <c r="E284" s="26"/>
      <c r="F284" s="26"/>
      <c r="G284" s="26"/>
      <c r="H284" s="26"/>
      <c r="I284" s="26"/>
      <c r="J284" s="26"/>
      <c r="K284" s="26"/>
      <c r="L284" s="26">
        <v>22</v>
      </c>
      <c r="M284" s="26">
        <v>22</v>
      </c>
      <c r="N284" s="56"/>
      <c r="O284" s="56"/>
      <c r="P284" s="57"/>
      <c r="Q284" s="56"/>
      <c r="R284" s="57"/>
      <c r="S284" s="57"/>
      <c r="T284" s="57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</row>
    <row r="285" spans="1:30">
      <c r="A285" s="36"/>
      <c r="B285" s="52"/>
      <c r="C285" s="26"/>
      <c r="D285" s="26"/>
      <c r="E285" s="26"/>
      <c r="F285" s="26"/>
      <c r="G285" s="26"/>
      <c r="H285" s="26"/>
      <c r="I285" s="26"/>
      <c r="J285" s="26"/>
      <c r="K285" s="26"/>
      <c r="L285" s="26">
        <v>22</v>
      </c>
      <c r="M285" s="26">
        <v>22</v>
      </c>
      <c r="N285" s="56"/>
      <c r="O285" s="56"/>
      <c r="P285" s="57"/>
      <c r="Q285" s="56"/>
      <c r="R285" s="57"/>
      <c r="S285" s="57"/>
      <c r="T285" s="57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</row>
    <row r="286" spans="1:30">
      <c r="A286" s="37"/>
      <c r="B286" s="52"/>
      <c r="C286" s="26"/>
      <c r="D286" s="26"/>
      <c r="E286" s="26"/>
      <c r="F286" s="26"/>
      <c r="G286" s="26"/>
      <c r="H286" s="26"/>
      <c r="I286" s="26"/>
      <c r="J286" s="26"/>
      <c r="K286" s="26"/>
      <c r="L286" s="26">
        <v>22</v>
      </c>
      <c r="M286" s="26">
        <v>22</v>
      </c>
      <c r="N286" s="56"/>
      <c r="O286" s="56"/>
      <c r="P286" s="57"/>
      <c r="Q286" s="56"/>
      <c r="R286" s="57"/>
      <c r="S286" s="57"/>
      <c r="T286" s="57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</row>
    <row r="287" spans="1:30">
      <c r="A287" s="36"/>
      <c r="B287" s="51"/>
      <c r="C287" s="34"/>
      <c r="D287" s="34"/>
      <c r="E287" s="34"/>
      <c r="F287" s="34"/>
      <c r="G287" s="34"/>
      <c r="H287" s="34"/>
      <c r="I287" s="34"/>
      <c r="J287" s="34"/>
      <c r="K287" s="34"/>
      <c r="L287" s="34">
        <v>22</v>
      </c>
      <c r="M287" s="34">
        <v>22</v>
      </c>
      <c r="N287" s="56"/>
      <c r="O287" s="56"/>
      <c r="P287" s="57"/>
      <c r="Q287" s="56"/>
      <c r="R287" s="57"/>
      <c r="S287" s="57"/>
      <c r="T287" s="57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</row>
    <row r="288" spans="1:30">
      <c r="A288" s="37"/>
      <c r="B288" s="52"/>
      <c r="C288" s="26"/>
      <c r="D288" s="26"/>
      <c r="E288" s="26"/>
      <c r="F288" s="26"/>
      <c r="G288" s="26"/>
      <c r="H288" s="26"/>
      <c r="I288" s="26"/>
      <c r="J288" s="26"/>
      <c r="K288" s="26"/>
      <c r="L288" s="26">
        <v>22</v>
      </c>
      <c r="M288" s="26">
        <v>22</v>
      </c>
      <c r="N288" s="56"/>
      <c r="O288" s="56"/>
      <c r="P288" s="57"/>
      <c r="Q288" s="56"/>
      <c r="R288" s="57"/>
      <c r="S288" s="57"/>
      <c r="T288" s="57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</row>
    <row r="289" spans="1:30">
      <c r="A289" s="36"/>
      <c r="B289" s="52"/>
      <c r="C289" s="26"/>
      <c r="D289" s="26"/>
      <c r="E289" s="26"/>
      <c r="F289" s="26"/>
      <c r="G289" s="26"/>
      <c r="H289" s="26"/>
      <c r="I289" s="26"/>
      <c r="J289" s="26"/>
      <c r="K289" s="26"/>
      <c r="L289" s="26">
        <v>22</v>
      </c>
      <c r="M289" s="26">
        <v>22</v>
      </c>
      <c r="N289" s="56"/>
      <c r="O289" s="56"/>
      <c r="P289" s="57"/>
      <c r="Q289" s="56"/>
      <c r="R289" s="57"/>
      <c r="S289" s="57"/>
      <c r="T289" s="57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</row>
    <row r="290" spans="1:30">
      <c r="A290" s="37"/>
      <c r="B290" s="52"/>
      <c r="C290" s="26"/>
      <c r="D290" s="26"/>
      <c r="E290" s="26"/>
      <c r="F290" s="26"/>
      <c r="G290" s="26"/>
      <c r="H290" s="26"/>
      <c r="I290" s="26"/>
      <c r="J290" s="26"/>
      <c r="K290" s="26"/>
      <c r="L290" s="26">
        <v>22</v>
      </c>
      <c r="M290" s="26">
        <v>22</v>
      </c>
      <c r="N290" s="56"/>
      <c r="O290" s="56"/>
      <c r="P290" s="57"/>
      <c r="Q290" s="56"/>
      <c r="R290" s="57"/>
      <c r="S290" s="57"/>
      <c r="T290" s="57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</row>
    <row r="291" spans="1:30">
      <c r="A291" s="36"/>
      <c r="B291" s="51"/>
      <c r="C291" s="34"/>
      <c r="D291" s="34"/>
      <c r="E291" s="34"/>
      <c r="F291" s="34"/>
      <c r="G291" s="34"/>
      <c r="H291" s="34"/>
      <c r="I291" s="34"/>
      <c r="J291" s="34"/>
      <c r="K291" s="34"/>
      <c r="L291" s="34">
        <v>22</v>
      </c>
      <c r="M291" s="34">
        <v>22</v>
      </c>
      <c r="N291" s="56"/>
      <c r="O291" s="56"/>
      <c r="P291" s="57"/>
      <c r="Q291" s="56"/>
      <c r="R291" s="57"/>
      <c r="S291" s="57"/>
      <c r="T291" s="57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</row>
    <row r="292" spans="1:30">
      <c r="A292" s="37"/>
      <c r="B292" s="52"/>
      <c r="C292" s="26"/>
      <c r="D292" s="26"/>
      <c r="E292" s="26"/>
      <c r="F292" s="26"/>
      <c r="G292" s="26"/>
      <c r="H292" s="26"/>
      <c r="I292" s="26"/>
      <c r="J292" s="26"/>
      <c r="K292" s="26"/>
      <c r="L292" s="26">
        <v>22</v>
      </c>
      <c r="M292" s="26">
        <v>22</v>
      </c>
      <c r="N292" s="56"/>
      <c r="O292" s="56"/>
      <c r="P292" s="57"/>
      <c r="Q292" s="56"/>
      <c r="R292" s="57"/>
      <c r="S292" s="57"/>
      <c r="T292" s="57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</row>
    <row r="293" spans="1:30">
      <c r="A293" s="36"/>
      <c r="B293" s="52"/>
      <c r="C293" s="26"/>
      <c r="D293" s="26"/>
      <c r="E293" s="26"/>
      <c r="F293" s="26"/>
      <c r="G293" s="26"/>
      <c r="H293" s="26"/>
      <c r="I293" s="26"/>
      <c r="J293" s="26"/>
      <c r="K293" s="26"/>
      <c r="L293" s="26">
        <v>22</v>
      </c>
      <c r="M293" s="26">
        <v>22</v>
      </c>
      <c r="N293" s="56"/>
      <c r="O293" s="56"/>
      <c r="P293" s="57"/>
      <c r="Q293" s="56"/>
      <c r="R293" s="57"/>
      <c r="S293" s="57"/>
      <c r="T293" s="57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</row>
    <row r="294" spans="1:30">
      <c r="A294" s="37"/>
      <c r="B294" s="52"/>
      <c r="C294" s="26"/>
      <c r="D294" s="26"/>
      <c r="E294" s="26"/>
      <c r="F294" s="26"/>
      <c r="G294" s="26"/>
      <c r="H294" s="26"/>
      <c r="I294" s="26"/>
      <c r="J294" s="26"/>
      <c r="K294" s="26"/>
      <c r="L294" s="26">
        <v>22</v>
      </c>
      <c r="M294" s="26">
        <v>22</v>
      </c>
      <c r="N294" s="56"/>
      <c r="O294" s="56"/>
      <c r="P294" s="57"/>
      <c r="Q294" s="56"/>
      <c r="R294" s="57"/>
      <c r="S294" s="57"/>
      <c r="T294" s="57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</row>
    <row r="295" spans="1:30">
      <c r="A295" s="36"/>
      <c r="B295" s="51"/>
      <c r="C295" s="34"/>
      <c r="D295" s="34"/>
      <c r="E295" s="34"/>
      <c r="F295" s="34"/>
      <c r="G295" s="34"/>
      <c r="H295" s="34"/>
      <c r="I295" s="34"/>
      <c r="J295" s="34"/>
      <c r="K295" s="34"/>
      <c r="L295" s="34">
        <v>22</v>
      </c>
      <c r="M295" s="34">
        <v>22</v>
      </c>
      <c r="N295" s="56"/>
      <c r="O295" s="56"/>
      <c r="P295" s="57"/>
      <c r="Q295" s="56"/>
      <c r="R295" s="57"/>
      <c r="S295" s="57"/>
      <c r="T295" s="57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</row>
    <row r="296" spans="1:30">
      <c r="A296" s="37"/>
      <c r="B296" s="52"/>
      <c r="C296" s="26"/>
      <c r="D296" s="26"/>
      <c r="E296" s="26"/>
      <c r="F296" s="26"/>
      <c r="G296" s="26"/>
      <c r="H296" s="26"/>
      <c r="I296" s="26"/>
      <c r="J296" s="26"/>
      <c r="K296" s="26"/>
      <c r="L296" s="26">
        <v>22</v>
      </c>
      <c r="M296" s="26">
        <v>22</v>
      </c>
      <c r="N296" s="56"/>
      <c r="O296" s="56"/>
      <c r="P296" s="57"/>
      <c r="Q296" s="56"/>
      <c r="R296" s="57"/>
      <c r="S296" s="57"/>
      <c r="T296" s="57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</row>
    <row r="297" spans="1:30">
      <c r="A297" s="36"/>
      <c r="B297" s="52"/>
      <c r="C297" s="26"/>
      <c r="D297" s="26"/>
      <c r="E297" s="26"/>
      <c r="F297" s="26"/>
      <c r="G297" s="26"/>
      <c r="H297" s="26"/>
      <c r="I297" s="26"/>
      <c r="J297" s="26"/>
      <c r="K297" s="26"/>
      <c r="L297" s="26">
        <v>22</v>
      </c>
      <c r="M297" s="26">
        <v>22</v>
      </c>
      <c r="N297" s="56"/>
      <c r="O297" s="56"/>
      <c r="P297" s="57"/>
      <c r="Q297" s="56"/>
      <c r="R297" s="57"/>
      <c r="S297" s="57"/>
      <c r="T297" s="57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</row>
    <row r="298" spans="1:30">
      <c r="A298" s="37"/>
      <c r="B298" s="52"/>
      <c r="C298" s="26"/>
      <c r="D298" s="26"/>
      <c r="E298" s="26"/>
      <c r="F298" s="26"/>
      <c r="G298" s="26"/>
      <c r="H298" s="26"/>
      <c r="I298" s="26"/>
      <c r="J298" s="26"/>
      <c r="K298" s="26"/>
      <c r="L298" s="26">
        <v>22</v>
      </c>
      <c r="M298" s="26">
        <v>22</v>
      </c>
      <c r="N298" s="56"/>
      <c r="O298" s="56"/>
      <c r="P298" s="57"/>
      <c r="Q298" s="56"/>
      <c r="R298" s="57"/>
      <c r="S298" s="57"/>
      <c r="T298" s="57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</row>
    <row r="299" spans="1:30">
      <c r="A299" s="36"/>
      <c r="B299" s="51"/>
      <c r="C299" s="34"/>
      <c r="D299" s="34"/>
      <c r="E299" s="34"/>
      <c r="F299" s="34"/>
      <c r="G299" s="34"/>
      <c r="H299" s="34"/>
      <c r="I299" s="34"/>
      <c r="J299" s="34"/>
      <c r="K299" s="34"/>
      <c r="L299" s="34">
        <v>35</v>
      </c>
      <c r="M299" s="34">
        <v>35</v>
      </c>
      <c r="N299" s="56"/>
      <c r="O299" s="56"/>
      <c r="P299" s="57"/>
      <c r="Q299" s="56"/>
      <c r="R299" s="57"/>
      <c r="S299" s="57"/>
      <c r="T299" s="57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</row>
    <row r="300" spans="1:30">
      <c r="A300" s="37"/>
      <c r="B300" s="52"/>
      <c r="C300" s="26"/>
      <c r="D300" s="26"/>
      <c r="E300" s="26"/>
      <c r="F300" s="26"/>
      <c r="G300" s="26"/>
      <c r="H300" s="26"/>
      <c r="I300" s="26"/>
      <c r="J300" s="26"/>
      <c r="K300" s="26"/>
      <c r="L300" s="26">
        <v>35</v>
      </c>
      <c r="M300" s="26">
        <v>35</v>
      </c>
      <c r="N300" s="56"/>
      <c r="O300" s="56"/>
      <c r="P300" s="57"/>
      <c r="Q300" s="56"/>
      <c r="R300" s="57"/>
      <c r="S300" s="57"/>
      <c r="T300" s="57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</row>
    <row r="301" spans="1:30">
      <c r="A301" s="36"/>
      <c r="B301" s="52"/>
      <c r="C301" s="26"/>
      <c r="D301" s="26"/>
      <c r="E301" s="26"/>
      <c r="F301" s="26"/>
      <c r="G301" s="26"/>
      <c r="H301" s="26"/>
      <c r="I301" s="26"/>
      <c r="J301" s="26"/>
      <c r="K301" s="26"/>
      <c r="L301" s="26">
        <v>35</v>
      </c>
      <c r="M301" s="26">
        <v>35</v>
      </c>
      <c r="N301" s="56"/>
      <c r="O301" s="56"/>
      <c r="P301" s="57"/>
      <c r="Q301" s="56"/>
      <c r="R301" s="57"/>
      <c r="S301" s="57"/>
      <c r="T301" s="57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</row>
    <row r="302" spans="1:30">
      <c r="A302" s="37"/>
      <c r="B302" s="52"/>
      <c r="C302" s="26"/>
      <c r="D302" s="26"/>
      <c r="E302" s="26"/>
      <c r="F302" s="26"/>
      <c r="G302" s="26"/>
      <c r="H302" s="26"/>
      <c r="I302" s="26"/>
      <c r="J302" s="26"/>
      <c r="K302" s="26"/>
      <c r="L302" s="26">
        <v>35</v>
      </c>
      <c r="M302" s="26">
        <v>35</v>
      </c>
      <c r="N302" s="56"/>
      <c r="O302" s="56"/>
      <c r="P302" s="57"/>
      <c r="Q302" s="56"/>
      <c r="R302" s="57"/>
      <c r="S302" s="57"/>
      <c r="T302" s="57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</row>
    <row r="303" spans="1:30">
      <c r="A303" s="36"/>
      <c r="B303" s="51"/>
      <c r="C303" s="34"/>
      <c r="D303" s="34"/>
      <c r="E303" s="34"/>
      <c r="F303" s="34"/>
      <c r="G303" s="34"/>
      <c r="H303" s="34"/>
      <c r="I303" s="34"/>
      <c r="J303" s="34"/>
      <c r="K303" s="34"/>
      <c r="L303" s="34">
        <v>38</v>
      </c>
      <c r="M303" s="34">
        <v>38</v>
      </c>
      <c r="N303" s="56"/>
      <c r="O303" s="56"/>
      <c r="P303" s="57"/>
      <c r="Q303" s="56"/>
      <c r="R303" s="57"/>
      <c r="S303" s="57"/>
      <c r="T303" s="57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</row>
    <row r="304" spans="1:30">
      <c r="A304" s="37"/>
      <c r="B304" s="52"/>
      <c r="C304" s="26"/>
      <c r="D304" s="26"/>
      <c r="E304" s="26"/>
      <c r="F304" s="26"/>
      <c r="G304" s="26"/>
      <c r="H304" s="26"/>
      <c r="I304" s="26"/>
      <c r="J304" s="26"/>
      <c r="K304" s="26"/>
      <c r="L304" s="26">
        <v>38</v>
      </c>
      <c r="M304" s="26">
        <v>38</v>
      </c>
      <c r="N304" s="56"/>
      <c r="O304" s="56"/>
      <c r="P304" s="57"/>
      <c r="Q304" s="56"/>
      <c r="R304" s="57"/>
      <c r="S304" s="57"/>
      <c r="T304" s="57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</row>
    <row r="305" spans="1:30">
      <c r="A305" s="36"/>
      <c r="B305" s="52"/>
      <c r="C305" s="26"/>
      <c r="D305" s="26"/>
      <c r="E305" s="26"/>
      <c r="F305" s="26"/>
      <c r="G305" s="26"/>
      <c r="H305" s="26"/>
      <c r="I305" s="26"/>
      <c r="J305" s="26"/>
      <c r="K305" s="26"/>
      <c r="L305" s="26">
        <v>38</v>
      </c>
      <c r="M305" s="26">
        <v>38</v>
      </c>
      <c r="N305" s="56"/>
      <c r="O305" s="56"/>
      <c r="P305" s="57"/>
      <c r="Q305" s="56"/>
      <c r="R305" s="57"/>
      <c r="S305" s="57"/>
      <c r="T305" s="57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</row>
    <row r="306" spans="1:30">
      <c r="A306" s="37"/>
      <c r="B306" s="52"/>
      <c r="C306" s="26"/>
      <c r="D306" s="26"/>
      <c r="E306" s="26"/>
      <c r="F306" s="26"/>
      <c r="G306" s="26"/>
      <c r="H306" s="26"/>
      <c r="I306" s="26"/>
      <c r="J306" s="26"/>
      <c r="K306" s="26"/>
      <c r="L306" s="26">
        <v>38</v>
      </c>
      <c r="M306" s="26">
        <v>38</v>
      </c>
      <c r="N306" s="56"/>
      <c r="O306" s="56"/>
      <c r="P306" s="57"/>
      <c r="Q306" s="56"/>
      <c r="R306" s="57"/>
      <c r="S306" s="57"/>
      <c r="T306" s="57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</row>
    <row r="307" spans="1:30">
      <c r="A307" s="36"/>
      <c r="B307" s="51"/>
      <c r="C307" s="34"/>
      <c r="D307" s="34"/>
      <c r="E307" s="34"/>
      <c r="F307" s="34"/>
      <c r="G307" s="34"/>
      <c r="H307" s="34"/>
      <c r="I307" s="34"/>
      <c r="J307" s="34"/>
      <c r="K307" s="34"/>
      <c r="L307" s="34">
        <v>38</v>
      </c>
      <c r="M307" s="34">
        <v>38</v>
      </c>
      <c r="N307" s="56"/>
      <c r="O307" s="56"/>
      <c r="P307" s="57"/>
      <c r="Q307" s="56"/>
      <c r="R307" s="57"/>
      <c r="S307" s="57"/>
      <c r="T307" s="57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</row>
    <row r="308" spans="1:30">
      <c r="A308" s="37"/>
      <c r="B308" s="52"/>
      <c r="C308" s="26"/>
      <c r="D308" s="26"/>
      <c r="E308" s="26"/>
      <c r="F308" s="26"/>
      <c r="G308" s="26"/>
      <c r="H308" s="26"/>
      <c r="I308" s="26"/>
      <c r="J308" s="26"/>
      <c r="K308" s="26"/>
      <c r="L308" s="26">
        <v>38</v>
      </c>
      <c r="M308" s="26">
        <v>38</v>
      </c>
      <c r="N308" s="56"/>
      <c r="O308" s="56"/>
      <c r="P308" s="57"/>
      <c r="Q308" s="56"/>
      <c r="R308" s="57"/>
      <c r="S308" s="57"/>
      <c r="T308" s="57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</row>
    <row r="309" spans="1:30">
      <c r="A309" s="36"/>
      <c r="B309" s="52"/>
      <c r="C309" s="26"/>
      <c r="D309" s="26"/>
      <c r="E309" s="26"/>
      <c r="F309" s="26"/>
      <c r="G309" s="26"/>
      <c r="H309" s="26"/>
      <c r="I309" s="26"/>
      <c r="J309" s="26"/>
      <c r="K309" s="26"/>
      <c r="L309" s="26">
        <v>38</v>
      </c>
      <c r="M309" s="26">
        <v>38</v>
      </c>
      <c r="N309" s="56"/>
      <c r="O309" s="56"/>
      <c r="P309" s="57"/>
      <c r="Q309" s="56"/>
      <c r="R309" s="57"/>
      <c r="S309" s="57"/>
      <c r="T309" s="57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</row>
    <row r="310" spans="1:30">
      <c r="A310" s="37"/>
      <c r="B310" s="52"/>
      <c r="C310" s="26"/>
      <c r="D310" s="26"/>
      <c r="E310" s="26"/>
      <c r="F310" s="26"/>
      <c r="G310" s="26"/>
      <c r="H310" s="26"/>
      <c r="I310" s="26"/>
      <c r="J310" s="26"/>
      <c r="K310" s="26"/>
      <c r="L310" s="26">
        <v>38</v>
      </c>
      <c r="M310" s="26">
        <v>38</v>
      </c>
      <c r="N310" s="56"/>
      <c r="O310" s="56"/>
      <c r="P310" s="57"/>
      <c r="Q310" s="56"/>
      <c r="R310" s="57"/>
      <c r="S310" s="57"/>
      <c r="T310" s="57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</row>
    <row r="311" spans="1:30">
      <c r="A311" s="36"/>
      <c r="B311" s="51"/>
      <c r="C311" s="34"/>
      <c r="D311" s="34"/>
      <c r="E311" s="34"/>
      <c r="F311" s="34"/>
      <c r="G311" s="34"/>
      <c r="H311" s="34"/>
      <c r="I311" s="34"/>
      <c r="J311" s="34"/>
      <c r="K311" s="34"/>
      <c r="L311" s="34">
        <v>38</v>
      </c>
      <c r="M311" s="34">
        <v>38</v>
      </c>
      <c r="N311" s="56"/>
      <c r="O311" s="56"/>
      <c r="P311" s="57"/>
      <c r="Q311" s="56"/>
      <c r="R311" s="57"/>
      <c r="S311" s="57"/>
      <c r="T311" s="57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</row>
    <row r="312" spans="1:30">
      <c r="A312" s="37"/>
      <c r="B312" s="52"/>
      <c r="C312" s="26"/>
      <c r="D312" s="26"/>
      <c r="E312" s="26"/>
      <c r="F312" s="26"/>
      <c r="G312" s="26"/>
      <c r="H312" s="26"/>
      <c r="I312" s="26"/>
      <c r="J312" s="26"/>
      <c r="K312" s="26"/>
      <c r="L312" s="26">
        <v>35</v>
      </c>
      <c r="M312" s="26">
        <v>35</v>
      </c>
      <c r="N312" s="56"/>
      <c r="O312" s="56"/>
      <c r="P312" s="57"/>
      <c r="Q312" s="56"/>
      <c r="R312" s="57"/>
      <c r="S312" s="57"/>
      <c r="T312" s="57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</row>
    <row r="313" spans="1:30">
      <c r="A313" s="36"/>
      <c r="B313" s="52"/>
      <c r="C313" s="26"/>
      <c r="D313" s="26"/>
      <c r="E313" s="26"/>
      <c r="F313" s="26"/>
      <c r="G313" s="26"/>
      <c r="H313" s="26"/>
      <c r="I313" s="26"/>
      <c r="J313" s="26"/>
      <c r="K313" s="26"/>
      <c r="L313" s="26">
        <v>35</v>
      </c>
      <c r="M313" s="26">
        <v>35</v>
      </c>
      <c r="N313" s="56"/>
      <c r="O313" s="56"/>
      <c r="P313" s="57"/>
      <c r="Q313" s="56"/>
      <c r="R313" s="57"/>
      <c r="S313" s="57"/>
      <c r="T313" s="57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</row>
    <row r="314" spans="1:30">
      <c r="A314" s="37"/>
      <c r="B314" s="52"/>
      <c r="C314" s="26"/>
      <c r="D314" s="26"/>
      <c r="E314" s="26"/>
      <c r="F314" s="26"/>
      <c r="G314" s="26"/>
      <c r="H314" s="26"/>
      <c r="I314" s="26"/>
      <c r="J314" s="26"/>
      <c r="K314" s="26"/>
      <c r="L314" s="26">
        <v>35</v>
      </c>
      <c r="M314" s="26">
        <v>35</v>
      </c>
      <c r="N314" s="56"/>
      <c r="O314" s="56"/>
      <c r="P314" s="57"/>
      <c r="Q314" s="56"/>
      <c r="R314" s="57"/>
      <c r="S314" s="57"/>
      <c r="T314" s="57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</row>
    <row r="315" spans="1:30">
      <c r="A315" s="36"/>
      <c r="B315" s="51"/>
      <c r="C315" s="34"/>
      <c r="D315" s="34"/>
      <c r="E315" s="34"/>
      <c r="F315" s="34"/>
      <c r="G315" s="34"/>
      <c r="H315" s="34"/>
      <c r="I315" s="34"/>
      <c r="J315" s="34"/>
      <c r="K315" s="34"/>
      <c r="L315" s="34">
        <v>35</v>
      </c>
      <c r="M315" s="34">
        <v>35</v>
      </c>
      <c r="N315" s="56"/>
      <c r="O315" s="56"/>
      <c r="P315" s="57"/>
      <c r="Q315" s="56"/>
      <c r="R315" s="57"/>
      <c r="S315" s="57"/>
      <c r="T315" s="57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</row>
    <row r="316" spans="1:30">
      <c r="A316" s="37"/>
      <c r="B316" s="52"/>
      <c r="C316" s="26"/>
      <c r="D316" s="26"/>
      <c r="E316" s="26"/>
      <c r="F316" s="26"/>
      <c r="G316" s="26"/>
      <c r="H316" s="26"/>
      <c r="I316" s="26"/>
      <c r="J316" s="26"/>
      <c r="K316" s="26"/>
      <c r="L316" s="26">
        <v>28</v>
      </c>
      <c r="M316" s="26">
        <v>28</v>
      </c>
      <c r="N316" s="56"/>
      <c r="O316" s="56"/>
      <c r="P316" s="57"/>
      <c r="Q316" s="56"/>
      <c r="R316" s="57"/>
      <c r="S316" s="57"/>
      <c r="T316" s="57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</row>
    <row r="317" spans="1:30">
      <c r="A317" s="36"/>
      <c r="B317" s="52"/>
      <c r="C317" s="26"/>
      <c r="D317" s="26"/>
      <c r="E317" s="26"/>
      <c r="F317" s="26"/>
      <c r="G317" s="26"/>
      <c r="H317" s="26"/>
      <c r="I317" s="26"/>
      <c r="J317" s="26"/>
      <c r="K317" s="26"/>
      <c r="L317" s="26">
        <v>28</v>
      </c>
      <c r="M317" s="26">
        <v>28</v>
      </c>
      <c r="N317" s="56"/>
      <c r="O317" s="56"/>
      <c r="P317" s="57"/>
      <c r="Q317" s="56"/>
      <c r="R317" s="57"/>
      <c r="S317" s="57"/>
      <c r="T317" s="57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</row>
    <row r="318" spans="1:30">
      <c r="A318" s="37"/>
      <c r="B318" s="52"/>
      <c r="C318" s="26"/>
      <c r="D318" s="26"/>
      <c r="E318" s="26"/>
      <c r="F318" s="26"/>
      <c r="G318" s="26"/>
      <c r="H318" s="26"/>
      <c r="I318" s="26"/>
      <c r="J318" s="26"/>
      <c r="K318" s="26"/>
      <c r="L318" s="26">
        <v>28</v>
      </c>
      <c r="M318" s="26">
        <v>28</v>
      </c>
      <c r="N318" s="56"/>
      <c r="O318" s="56"/>
      <c r="P318" s="57"/>
      <c r="Q318" s="56"/>
      <c r="R318" s="57"/>
      <c r="S318" s="57"/>
      <c r="T318" s="57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</row>
    <row r="319" spans="1:30">
      <c r="A319" s="36"/>
      <c r="B319" s="51"/>
      <c r="C319" s="34"/>
      <c r="D319" s="34"/>
      <c r="E319" s="34"/>
      <c r="F319" s="34"/>
      <c r="G319" s="34"/>
      <c r="H319" s="34"/>
      <c r="I319" s="34"/>
      <c r="J319" s="34"/>
      <c r="K319" s="34"/>
      <c r="L319" s="34">
        <v>28</v>
      </c>
      <c r="M319" s="34">
        <v>28</v>
      </c>
      <c r="N319" s="56"/>
      <c r="O319" s="56"/>
      <c r="P319" s="57"/>
      <c r="Q319" s="56"/>
      <c r="R319" s="57"/>
      <c r="S319" s="57"/>
      <c r="T319" s="57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</row>
    <row r="320" spans="1:30">
      <c r="A320" s="37"/>
      <c r="B320" s="52"/>
      <c r="C320" s="26"/>
      <c r="D320" s="26"/>
      <c r="E320" s="26"/>
      <c r="F320" s="26"/>
      <c r="G320" s="26"/>
      <c r="H320" s="26"/>
      <c r="I320" s="26"/>
      <c r="J320" s="26"/>
      <c r="K320" s="26"/>
      <c r="L320" s="26">
        <v>28</v>
      </c>
      <c r="M320" s="26">
        <v>28</v>
      </c>
      <c r="N320" s="56"/>
      <c r="O320" s="56"/>
      <c r="P320" s="57"/>
      <c r="Q320" s="56"/>
      <c r="R320" s="57"/>
      <c r="S320" s="57"/>
      <c r="T320" s="57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</row>
    <row r="321" spans="1:30">
      <c r="A321" s="36"/>
      <c r="B321" s="52"/>
      <c r="C321" s="26"/>
      <c r="D321" s="26"/>
      <c r="E321" s="26"/>
      <c r="F321" s="26"/>
      <c r="G321" s="26"/>
      <c r="H321" s="26"/>
      <c r="I321" s="26"/>
      <c r="J321" s="26"/>
      <c r="K321" s="26"/>
      <c r="L321" s="26">
        <v>28</v>
      </c>
      <c r="M321" s="26">
        <v>28</v>
      </c>
      <c r="N321" s="56"/>
      <c r="O321" s="56"/>
      <c r="P321" s="57"/>
      <c r="Q321" s="56"/>
      <c r="R321" s="57"/>
      <c r="S321" s="57"/>
      <c r="T321" s="57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</row>
    <row r="322" spans="1:30">
      <c r="A322" s="37"/>
      <c r="B322" s="52"/>
      <c r="C322" s="26"/>
      <c r="D322" s="26"/>
      <c r="E322" s="26"/>
      <c r="F322" s="26"/>
      <c r="G322" s="26"/>
      <c r="H322" s="26"/>
      <c r="I322" s="26"/>
      <c r="J322" s="26"/>
      <c r="K322" s="26"/>
      <c r="L322" s="26">
        <v>28</v>
      </c>
      <c r="M322" s="26">
        <v>28</v>
      </c>
      <c r="N322" s="56"/>
      <c r="O322" s="56"/>
      <c r="P322" s="57"/>
      <c r="Q322" s="56"/>
      <c r="R322" s="57"/>
      <c r="S322" s="57"/>
      <c r="T322" s="57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</row>
    <row r="323" spans="1:30">
      <c r="A323" s="36"/>
      <c r="B323" s="51"/>
      <c r="C323" s="34"/>
      <c r="D323" s="34"/>
      <c r="E323" s="34"/>
      <c r="F323" s="34"/>
      <c r="G323" s="34"/>
      <c r="H323" s="34"/>
      <c r="I323" s="34"/>
      <c r="J323" s="34"/>
      <c r="K323" s="34"/>
      <c r="L323" s="34">
        <v>28</v>
      </c>
      <c r="M323" s="34">
        <v>28</v>
      </c>
      <c r="N323" s="56"/>
      <c r="O323" s="56"/>
      <c r="P323" s="57"/>
      <c r="Q323" s="56"/>
      <c r="R323" s="57"/>
      <c r="S323" s="57"/>
      <c r="T323" s="57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</row>
    <row r="324" spans="1:30">
      <c r="A324" s="37"/>
      <c r="B324" s="52"/>
      <c r="C324" s="26"/>
      <c r="D324" s="26"/>
      <c r="E324" s="26"/>
      <c r="F324" s="26"/>
      <c r="G324" s="26"/>
      <c r="H324" s="26"/>
      <c r="I324" s="26"/>
      <c r="J324" s="26"/>
      <c r="K324" s="26"/>
      <c r="L324" s="26">
        <v>28</v>
      </c>
      <c r="M324" s="26">
        <v>28</v>
      </c>
      <c r="N324" s="56"/>
      <c r="O324" s="56"/>
      <c r="P324" s="57"/>
      <c r="Q324" s="56"/>
      <c r="R324" s="57"/>
      <c r="S324" s="57"/>
      <c r="T324" s="57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</row>
    <row r="325" spans="1:30">
      <c r="A325" s="36"/>
      <c r="B325" s="52"/>
      <c r="C325" s="26"/>
      <c r="D325" s="26"/>
      <c r="E325" s="26"/>
      <c r="F325" s="26"/>
      <c r="G325" s="26"/>
      <c r="H325" s="26"/>
      <c r="I325" s="26"/>
      <c r="J325" s="26"/>
      <c r="K325" s="26"/>
      <c r="L325" s="26">
        <v>28</v>
      </c>
      <c r="M325" s="26">
        <v>28</v>
      </c>
      <c r="N325" s="56"/>
      <c r="O325" s="56"/>
      <c r="P325" s="57"/>
      <c r="Q325" s="56"/>
      <c r="R325" s="57"/>
      <c r="S325" s="57"/>
      <c r="T325" s="57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</row>
    <row r="326" spans="1:30">
      <c r="A326" s="37"/>
      <c r="B326" s="52"/>
      <c r="C326" s="26"/>
      <c r="D326" s="26"/>
      <c r="E326" s="26"/>
      <c r="F326" s="26"/>
      <c r="G326" s="26"/>
      <c r="H326" s="26"/>
      <c r="I326" s="26"/>
      <c r="J326" s="26"/>
      <c r="K326" s="26"/>
      <c r="L326" s="26">
        <v>28</v>
      </c>
      <c r="M326" s="26">
        <v>28</v>
      </c>
      <c r="N326" s="56"/>
      <c r="O326" s="56"/>
      <c r="P326" s="57"/>
      <c r="Q326" s="56"/>
      <c r="R326" s="57"/>
      <c r="S326" s="57"/>
      <c r="T326" s="57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</row>
    <row r="327" spans="1:30">
      <c r="A327" s="36"/>
      <c r="B327" s="51"/>
      <c r="C327" s="34"/>
      <c r="D327" s="34"/>
      <c r="E327" s="34"/>
      <c r="F327" s="34"/>
      <c r="G327" s="34"/>
      <c r="H327" s="34"/>
      <c r="I327" s="34"/>
      <c r="J327" s="34"/>
      <c r="K327" s="34"/>
      <c r="L327" s="34">
        <v>35</v>
      </c>
      <c r="M327" s="34">
        <v>35</v>
      </c>
      <c r="N327" s="56"/>
      <c r="O327" s="56"/>
      <c r="P327" s="57"/>
      <c r="Q327" s="56"/>
      <c r="R327" s="57"/>
      <c r="S327" s="57"/>
      <c r="T327" s="57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</row>
    <row r="328" spans="1:30">
      <c r="A328" s="37"/>
      <c r="B328" s="52"/>
      <c r="C328" s="26"/>
      <c r="D328" s="26"/>
      <c r="E328" s="26"/>
      <c r="F328" s="26"/>
      <c r="G328" s="26"/>
      <c r="H328" s="26"/>
      <c r="I328" s="26"/>
      <c r="J328" s="26"/>
      <c r="K328" s="26"/>
      <c r="L328" s="26">
        <v>35</v>
      </c>
      <c r="M328" s="26">
        <v>35</v>
      </c>
      <c r="N328" s="56"/>
      <c r="O328" s="56"/>
      <c r="P328" s="57"/>
      <c r="Q328" s="56"/>
      <c r="R328" s="57"/>
      <c r="S328" s="57"/>
      <c r="T328" s="57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</row>
    <row r="329" spans="1:30">
      <c r="A329" s="36"/>
      <c r="B329" s="52"/>
      <c r="C329" s="26"/>
      <c r="D329" s="26"/>
      <c r="E329" s="26"/>
      <c r="F329" s="26"/>
      <c r="G329" s="26"/>
      <c r="H329" s="26"/>
      <c r="I329" s="26"/>
      <c r="J329" s="26"/>
      <c r="K329" s="26"/>
      <c r="L329" s="26">
        <v>35</v>
      </c>
      <c r="M329" s="26">
        <v>35</v>
      </c>
      <c r="N329" s="56"/>
      <c r="O329" s="56"/>
      <c r="P329" s="57"/>
      <c r="Q329" s="56"/>
      <c r="R329" s="57"/>
      <c r="S329" s="57"/>
      <c r="T329" s="57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</row>
    <row r="330" spans="1:30">
      <c r="A330" s="37"/>
      <c r="B330" s="52"/>
      <c r="C330" s="26"/>
      <c r="D330" s="26"/>
      <c r="E330" s="26"/>
      <c r="F330" s="26"/>
      <c r="G330" s="26"/>
      <c r="H330" s="26"/>
      <c r="I330" s="26"/>
      <c r="J330" s="26"/>
      <c r="K330" s="26"/>
      <c r="L330" s="26">
        <v>35</v>
      </c>
      <c r="M330" s="26">
        <v>35</v>
      </c>
      <c r="N330" s="56"/>
      <c r="O330" s="56"/>
      <c r="P330" s="57"/>
      <c r="Q330" s="56"/>
      <c r="R330" s="57"/>
      <c r="S330" s="57"/>
      <c r="T330" s="57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</row>
    <row r="331" spans="1:30">
      <c r="A331" s="36"/>
      <c r="B331" s="51"/>
      <c r="C331" s="34"/>
      <c r="D331" s="34"/>
      <c r="E331" s="34"/>
      <c r="F331" s="34"/>
      <c r="G331" s="34"/>
      <c r="H331" s="34"/>
      <c r="I331" s="34"/>
      <c r="J331" s="34"/>
      <c r="K331" s="34"/>
      <c r="L331" s="34">
        <v>35</v>
      </c>
      <c r="M331" s="34">
        <v>35</v>
      </c>
      <c r="N331" s="56"/>
      <c r="O331" s="56"/>
      <c r="P331" s="57"/>
      <c r="Q331" s="56"/>
      <c r="R331" s="57"/>
      <c r="S331" s="57"/>
      <c r="T331" s="57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</row>
    <row r="332" spans="1:30">
      <c r="A332" s="37"/>
      <c r="B332" s="52"/>
      <c r="C332" s="26"/>
      <c r="D332" s="26"/>
      <c r="E332" s="26"/>
      <c r="F332" s="26"/>
      <c r="G332" s="26"/>
      <c r="H332" s="26"/>
      <c r="I332" s="26"/>
      <c r="J332" s="26"/>
      <c r="K332" s="26"/>
      <c r="L332" s="26">
        <v>35</v>
      </c>
      <c r="M332" s="26">
        <v>35</v>
      </c>
      <c r="N332" s="56"/>
      <c r="O332" s="56"/>
      <c r="P332" s="57"/>
      <c r="Q332" s="56"/>
      <c r="R332" s="57"/>
      <c r="S332" s="57"/>
      <c r="T332" s="57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</row>
    <row r="333" spans="1:30">
      <c r="A333" s="36"/>
      <c r="B333" s="52"/>
      <c r="C333" s="26"/>
      <c r="D333" s="26"/>
      <c r="E333" s="26"/>
      <c r="F333" s="26"/>
      <c r="G333" s="26"/>
      <c r="H333" s="26"/>
      <c r="I333" s="26"/>
      <c r="J333" s="26"/>
      <c r="K333" s="26"/>
      <c r="L333" s="26">
        <v>35</v>
      </c>
      <c r="M333" s="26">
        <v>35</v>
      </c>
      <c r="N333" s="56"/>
      <c r="O333" s="56"/>
      <c r="P333" s="57"/>
      <c r="Q333" s="56"/>
      <c r="R333" s="57"/>
      <c r="S333" s="57"/>
      <c r="T333" s="57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</row>
    <row r="334" spans="1:30">
      <c r="A334" s="37"/>
      <c r="B334" s="52"/>
      <c r="C334" s="26"/>
      <c r="D334" s="26"/>
      <c r="E334" s="26"/>
      <c r="F334" s="26"/>
      <c r="G334" s="26"/>
      <c r="H334" s="26"/>
      <c r="I334" s="26"/>
      <c r="J334" s="26"/>
      <c r="K334" s="26"/>
      <c r="L334" s="26">
        <v>35</v>
      </c>
      <c r="M334" s="26">
        <v>35</v>
      </c>
      <c r="N334" s="56"/>
      <c r="O334" s="56"/>
      <c r="P334" s="57"/>
      <c r="Q334" s="56"/>
      <c r="R334" s="57"/>
      <c r="S334" s="57"/>
      <c r="T334" s="57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</row>
    <row r="335" spans="1:30">
      <c r="A335" s="36"/>
      <c r="B335" s="51"/>
      <c r="C335" s="34"/>
      <c r="D335" s="34"/>
      <c r="E335" s="34"/>
      <c r="F335" s="34"/>
      <c r="G335" s="34"/>
      <c r="H335" s="34"/>
      <c r="I335" s="34"/>
      <c r="J335" s="34"/>
      <c r="K335" s="34"/>
      <c r="L335" s="34">
        <v>35</v>
      </c>
      <c r="M335" s="34">
        <v>35</v>
      </c>
      <c r="N335" s="56"/>
      <c r="O335" s="56"/>
      <c r="P335" s="57"/>
      <c r="Q335" s="56"/>
      <c r="R335" s="57"/>
      <c r="S335" s="57"/>
      <c r="T335" s="57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</row>
    <row r="336" spans="1:30">
      <c r="A336" s="37"/>
      <c r="B336" s="52"/>
      <c r="C336" s="26"/>
      <c r="D336" s="26"/>
      <c r="E336" s="26"/>
      <c r="F336" s="26"/>
      <c r="G336" s="26"/>
      <c r="H336" s="26"/>
      <c r="I336" s="26"/>
      <c r="J336" s="26"/>
      <c r="K336" s="26"/>
      <c r="L336" s="26">
        <v>35</v>
      </c>
      <c r="M336" s="26">
        <v>35</v>
      </c>
      <c r="N336" s="56"/>
      <c r="O336" s="56"/>
      <c r="P336" s="57"/>
      <c r="Q336" s="56"/>
      <c r="R336" s="57"/>
      <c r="S336" s="57"/>
      <c r="T336" s="57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</row>
    <row r="337" spans="1:30">
      <c r="A337" s="36"/>
      <c r="B337" s="52"/>
      <c r="C337" s="26"/>
      <c r="D337" s="26"/>
      <c r="E337" s="26"/>
      <c r="F337" s="26"/>
      <c r="G337" s="26"/>
      <c r="H337" s="26"/>
      <c r="I337" s="26"/>
      <c r="J337" s="26"/>
      <c r="K337" s="26"/>
      <c r="L337" s="26">
        <v>35</v>
      </c>
      <c r="M337" s="26">
        <v>35</v>
      </c>
      <c r="N337" s="56"/>
      <c r="O337" s="56"/>
      <c r="P337" s="57"/>
      <c r="Q337" s="56"/>
      <c r="R337" s="57"/>
      <c r="S337" s="57"/>
      <c r="T337" s="57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</row>
    <row r="338" spans="1:30">
      <c r="A338" s="37"/>
      <c r="B338" s="52"/>
      <c r="C338" s="26"/>
      <c r="D338" s="26"/>
      <c r="E338" s="26"/>
      <c r="F338" s="26"/>
      <c r="G338" s="26"/>
      <c r="H338" s="26"/>
      <c r="I338" s="26"/>
      <c r="J338" s="26"/>
      <c r="K338" s="26"/>
      <c r="L338" s="26">
        <v>35</v>
      </c>
      <c r="M338" s="26">
        <v>35</v>
      </c>
      <c r="N338" s="56"/>
      <c r="O338" s="56"/>
      <c r="P338" s="57"/>
      <c r="Q338" s="56"/>
      <c r="R338" s="57"/>
      <c r="S338" s="57"/>
      <c r="T338" s="57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</row>
    <row r="339" spans="1:30">
      <c r="A339" s="36"/>
      <c r="B339" s="51"/>
      <c r="C339" s="34"/>
      <c r="D339" s="34"/>
      <c r="E339" s="34"/>
      <c r="F339" s="34"/>
      <c r="G339" s="34"/>
      <c r="H339" s="34"/>
      <c r="I339" s="34"/>
      <c r="J339" s="34"/>
      <c r="K339" s="34"/>
      <c r="L339" s="34">
        <v>38</v>
      </c>
      <c r="M339" s="34">
        <v>38</v>
      </c>
      <c r="N339" s="56"/>
      <c r="O339" s="56"/>
      <c r="P339" s="57"/>
      <c r="Q339" s="56"/>
      <c r="R339" s="57"/>
      <c r="S339" s="57"/>
      <c r="T339" s="57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</row>
    <row r="340" spans="1:30">
      <c r="A340" s="37"/>
      <c r="B340" s="52"/>
      <c r="C340" s="26"/>
      <c r="D340" s="26"/>
      <c r="E340" s="26"/>
      <c r="F340" s="26"/>
      <c r="G340" s="26"/>
      <c r="H340" s="26"/>
      <c r="I340" s="26"/>
      <c r="J340" s="26"/>
      <c r="K340" s="26"/>
      <c r="L340" s="26">
        <v>38</v>
      </c>
      <c r="M340" s="26">
        <v>38</v>
      </c>
      <c r="N340" s="56"/>
      <c r="O340" s="56"/>
      <c r="P340" s="57"/>
      <c r="Q340" s="56"/>
      <c r="R340" s="57"/>
      <c r="S340" s="57"/>
      <c r="T340" s="57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</row>
    <row r="341" spans="1:30">
      <c r="A341" s="36"/>
      <c r="B341" s="52"/>
      <c r="C341" s="26"/>
      <c r="D341" s="26"/>
      <c r="E341" s="26"/>
      <c r="F341" s="26"/>
      <c r="G341" s="26"/>
      <c r="H341" s="26"/>
      <c r="I341" s="26"/>
      <c r="J341" s="26"/>
      <c r="K341" s="26"/>
      <c r="L341" s="26">
        <v>38</v>
      </c>
      <c r="M341" s="26">
        <v>38</v>
      </c>
      <c r="N341" s="56"/>
      <c r="O341" s="56"/>
      <c r="P341" s="57"/>
      <c r="Q341" s="56"/>
      <c r="R341" s="57"/>
      <c r="S341" s="57"/>
      <c r="T341" s="57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</row>
    <row r="342" spans="1:30">
      <c r="A342" s="37"/>
      <c r="B342" s="50"/>
      <c r="C342" s="31"/>
      <c r="D342" s="31"/>
      <c r="E342" s="31"/>
      <c r="F342" s="31"/>
      <c r="G342" s="31"/>
      <c r="H342" s="31"/>
      <c r="I342" s="31"/>
      <c r="J342" s="31"/>
      <c r="K342" s="31"/>
      <c r="L342" s="31">
        <v>38</v>
      </c>
      <c r="M342" s="31">
        <v>38</v>
      </c>
      <c r="N342" s="56"/>
      <c r="O342" s="56"/>
      <c r="P342" s="57"/>
      <c r="Q342" s="56"/>
      <c r="R342" s="57"/>
      <c r="S342" s="57"/>
      <c r="T342" s="57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</row>
    <row r="343" spans="1:30">
      <c r="A343" s="36"/>
      <c r="B343" s="52"/>
      <c r="C343" s="26"/>
      <c r="D343" s="26"/>
      <c r="E343" s="26"/>
      <c r="F343" s="26"/>
      <c r="G343" s="26"/>
      <c r="H343" s="26"/>
      <c r="I343" s="26"/>
      <c r="J343" s="26"/>
      <c r="K343" s="26"/>
      <c r="L343" s="26">
        <v>38</v>
      </c>
      <c r="M343" s="26">
        <v>38</v>
      </c>
      <c r="N343" s="56"/>
      <c r="O343" s="56"/>
      <c r="P343" s="57"/>
      <c r="Q343" s="56"/>
      <c r="R343" s="57"/>
      <c r="S343" s="57"/>
      <c r="T343" s="57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</row>
    <row r="344" spans="1:30">
      <c r="A344" s="37"/>
      <c r="B344" s="52"/>
      <c r="C344" s="26"/>
      <c r="D344" s="26"/>
      <c r="E344" s="26"/>
      <c r="F344" s="26"/>
      <c r="G344" s="26"/>
      <c r="H344" s="26"/>
      <c r="I344" s="26"/>
      <c r="J344" s="26"/>
      <c r="K344" s="26"/>
      <c r="L344" s="26">
        <v>38</v>
      </c>
      <c r="M344" s="26">
        <v>38</v>
      </c>
      <c r="N344" s="56"/>
      <c r="O344" s="56"/>
      <c r="P344" s="57"/>
      <c r="Q344" s="56"/>
      <c r="R344" s="57"/>
      <c r="S344" s="57"/>
      <c r="T344" s="57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</row>
    <row r="345" spans="1:30">
      <c r="A345" s="36"/>
      <c r="B345" s="51"/>
      <c r="C345" s="34"/>
      <c r="D345" s="34"/>
      <c r="E345" s="34"/>
      <c r="F345" s="34"/>
      <c r="G345" s="34"/>
      <c r="H345" s="34"/>
      <c r="I345" s="34"/>
      <c r="J345" s="34"/>
      <c r="K345" s="34"/>
      <c r="L345" s="34">
        <v>38</v>
      </c>
      <c r="M345" s="34">
        <v>38</v>
      </c>
      <c r="N345" s="56"/>
      <c r="O345" s="56"/>
      <c r="P345" s="57"/>
      <c r="Q345" s="56"/>
      <c r="R345" s="57"/>
      <c r="S345" s="57"/>
      <c r="T345" s="57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</row>
    <row r="346" spans="1:30">
      <c r="A346" s="37"/>
      <c r="B346" s="52"/>
      <c r="C346" s="26"/>
      <c r="D346" s="26"/>
      <c r="E346" s="26"/>
      <c r="F346" s="26"/>
      <c r="G346" s="26"/>
      <c r="H346" s="26"/>
      <c r="I346" s="26"/>
      <c r="J346" s="26"/>
      <c r="K346" s="26"/>
      <c r="L346" s="26">
        <v>35</v>
      </c>
      <c r="M346" s="26">
        <v>35</v>
      </c>
      <c r="N346" s="56"/>
      <c r="O346" s="56"/>
      <c r="P346" s="57"/>
      <c r="Q346" s="56"/>
      <c r="R346" s="57"/>
      <c r="S346" s="57"/>
      <c r="T346" s="57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</row>
    <row r="347" spans="1:30">
      <c r="A347" s="36"/>
      <c r="B347" s="52"/>
      <c r="C347" s="26"/>
      <c r="D347" s="26"/>
      <c r="E347" s="26"/>
      <c r="F347" s="26"/>
      <c r="G347" s="26"/>
      <c r="H347" s="26"/>
      <c r="I347" s="26"/>
      <c r="J347" s="26"/>
      <c r="K347" s="26"/>
      <c r="L347" s="26">
        <v>35</v>
      </c>
      <c r="M347" s="26">
        <v>35</v>
      </c>
      <c r="N347" s="56"/>
      <c r="O347" s="56"/>
      <c r="P347" s="57"/>
      <c r="Q347" s="56"/>
      <c r="R347" s="57"/>
      <c r="S347" s="57"/>
      <c r="T347" s="57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</row>
    <row r="348" spans="1:30">
      <c r="A348" s="37"/>
      <c r="B348" s="52"/>
      <c r="C348" s="26"/>
      <c r="D348" s="26"/>
      <c r="E348" s="26"/>
      <c r="F348" s="26"/>
      <c r="G348" s="26"/>
      <c r="H348" s="26"/>
      <c r="I348" s="26"/>
      <c r="J348" s="26"/>
      <c r="K348" s="26"/>
      <c r="L348" s="26">
        <v>35</v>
      </c>
      <c r="M348" s="26">
        <v>35</v>
      </c>
      <c r="N348" s="56"/>
      <c r="O348" s="56"/>
      <c r="P348" s="57"/>
      <c r="Q348" s="56"/>
      <c r="R348" s="57"/>
      <c r="S348" s="57"/>
      <c r="T348" s="57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</row>
    <row r="349" spans="1:30">
      <c r="A349" s="36"/>
      <c r="B349" s="51"/>
      <c r="C349" s="34"/>
      <c r="D349" s="34"/>
      <c r="E349" s="34"/>
      <c r="F349" s="34"/>
      <c r="G349" s="34"/>
      <c r="H349" s="34"/>
      <c r="I349" s="34"/>
      <c r="J349" s="34"/>
      <c r="K349" s="34"/>
      <c r="L349" s="34">
        <v>35</v>
      </c>
      <c r="M349" s="34">
        <v>35</v>
      </c>
      <c r="N349" s="56"/>
      <c r="O349" s="56"/>
      <c r="P349" s="57"/>
      <c r="Q349" s="56"/>
      <c r="R349" s="57"/>
      <c r="S349" s="57"/>
      <c r="T349" s="57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</row>
    <row r="350" spans="1:30">
      <c r="A350" s="37"/>
      <c r="B350" s="52"/>
      <c r="C350" s="26"/>
      <c r="D350" s="26"/>
      <c r="E350" s="26"/>
      <c r="F350" s="26"/>
      <c r="G350" s="26"/>
      <c r="H350" s="26"/>
      <c r="I350" s="26"/>
      <c r="J350" s="26"/>
      <c r="K350" s="26"/>
      <c r="L350" s="26">
        <v>25</v>
      </c>
      <c r="M350" s="26">
        <v>25</v>
      </c>
      <c r="N350" s="56"/>
      <c r="O350" s="56"/>
      <c r="P350" s="57"/>
      <c r="Q350" s="56"/>
      <c r="R350" s="57"/>
      <c r="S350" s="57"/>
      <c r="T350" s="57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</row>
    <row r="351" spans="1:30">
      <c r="A351" s="36"/>
      <c r="B351" s="52"/>
      <c r="C351" s="26"/>
      <c r="D351" s="26"/>
      <c r="E351" s="26"/>
      <c r="F351" s="26"/>
      <c r="G351" s="26"/>
      <c r="H351" s="26"/>
      <c r="I351" s="26"/>
      <c r="J351" s="26"/>
      <c r="K351" s="26"/>
      <c r="L351" s="26">
        <v>25</v>
      </c>
      <c r="M351" s="26">
        <v>25</v>
      </c>
      <c r="N351" s="56"/>
      <c r="O351" s="56"/>
      <c r="P351" s="57"/>
      <c r="Q351" s="56"/>
      <c r="R351" s="57"/>
      <c r="S351" s="57"/>
      <c r="T351" s="57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</row>
    <row r="352" spans="1:30">
      <c r="A352" s="37"/>
      <c r="B352" s="52"/>
      <c r="C352" s="26"/>
      <c r="D352" s="26"/>
      <c r="E352" s="26"/>
      <c r="F352" s="26"/>
      <c r="G352" s="26"/>
      <c r="H352" s="26"/>
      <c r="I352" s="26"/>
      <c r="J352" s="26"/>
      <c r="K352" s="26"/>
      <c r="L352" s="26">
        <v>25</v>
      </c>
      <c r="M352" s="26">
        <v>25</v>
      </c>
      <c r="N352" s="56"/>
      <c r="O352" s="56"/>
      <c r="P352" s="57"/>
      <c r="Q352" s="56"/>
      <c r="R352" s="57"/>
      <c r="S352" s="57"/>
      <c r="T352" s="57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</row>
    <row r="353" spans="1:30">
      <c r="A353" s="36"/>
      <c r="B353" s="51"/>
      <c r="C353" s="34"/>
      <c r="D353" s="34"/>
      <c r="E353" s="34"/>
      <c r="F353" s="34"/>
      <c r="G353" s="34"/>
      <c r="H353" s="34"/>
      <c r="I353" s="34"/>
      <c r="J353" s="34"/>
      <c r="K353" s="34"/>
      <c r="L353" s="34">
        <v>25</v>
      </c>
      <c r="M353" s="34">
        <v>25</v>
      </c>
      <c r="N353" s="56"/>
      <c r="O353" s="56"/>
      <c r="P353" s="57"/>
      <c r="Q353" s="56"/>
      <c r="R353" s="57"/>
      <c r="S353" s="57"/>
      <c r="T353" s="57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</row>
    <row r="354" spans="1:30">
      <c r="A354" s="37"/>
      <c r="B354" s="52"/>
      <c r="C354" s="26"/>
      <c r="D354" s="26"/>
      <c r="E354" s="26"/>
      <c r="F354" s="26"/>
      <c r="G354" s="26"/>
      <c r="H354" s="26"/>
      <c r="I354" s="26"/>
      <c r="J354" s="26"/>
      <c r="K354" s="26"/>
      <c r="L354" s="26">
        <v>25</v>
      </c>
      <c r="M354" s="26">
        <v>25</v>
      </c>
      <c r="N354" s="56"/>
      <c r="O354" s="56"/>
      <c r="P354" s="57"/>
      <c r="Q354" s="56"/>
      <c r="R354" s="57"/>
      <c r="S354" s="57"/>
      <c r="T354" s="57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</row>
    <row r="355" spans="1:30">
      <c r="A355" s="36"/>
      <c r="B355" s="52"/>
      <c r="C355" s="26"/>
      <c r="D355" s="26"/>
      <c r="E355" s="26"/>
      <c r="F355" s="26"/>
      <c r="G355" s="26"/>
      <c r="H355" s="26"/>
      <c r="I355" s="26"/>
      <c r="J355" s="26"/>
      <c r="K355" s="26"/>
      <c r="L355" s="26">
        <v>25</v>
      </c>
      <c r="M355" s="26">
        <v>25</v>
      </c>
      <c r="N355" s="56"/>
      <c r="O355" s="56"/>
      <c r="P355" s="57"/>
      <c r="Q355" s="56"/>
      <c r="R355" s="57"/>
      <c r="S355" s="57"/>
      <c r="T355" s="57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</row>
    <row r="356" spans="1:30">
      <c r="A356" s="37"/>
      <c r="B356" s="52"/>
      <c r="C356" s="26"/>
      <c r="D356" s="26"/>
      <c r="E356" s="26"/>
      <c r="F356" s="26"/>
      <c r="G356" s="26"/>
      <c r="H356" s="26"/>
      <c r="I356" s="26"/>
      <c r="J356" s="26"/>
      <c r="K356" s="26"/>
      <c r="L356" s="26">
        <v>25</v>
      </c>
      <c r="M356" s="26">
        <v>25</v>
      </c>
      <c r="N356" s="56"/>
      <c r="O356" s="56"/>
      <c r="P356" s="57"/>
      <c r="Q356" s="56"/>
      <c r="R356" s="57"/>
      <c r="S356" s="57"/>
      <c r="T356" s="57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</row>
    <row r="357" spans="1:30">
      <c r="A357" s="36"/>
      <c r="B357" s="51"/>
      <c r="C357" s="34"/>
      <c r="D357" s="34"/>
      <c r="E357" s="34"/>
      <c r="F357" s="34"/>
      <c r="G357" s="34"/>
      <c r="H357" s="34"/>
      <c r="I357" s="34"/>
      <c r="J357" s="34"/>
      <c r="K357" s="34"/>
      <c r="L357" s="34">
        <v>25</v>
      </c>
      <c r="M357" s="34">
        <v>25</v>
      </c>
      <c r="N357" s="56"/>
      <c r="O357" s="56"/>
      <c r="P357" s="57"/>
      <c r="Q357" s="56"/>
      <c r="R357" s="57"/>
      <c r="S357" s="57"/>
      <c r="T357" s="57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</row>
    <row r="358" spans="1:30">
      <c r="A358" s="37"/>
      <c r="B358" s="52"/>
      <c r="C358" s="26"/>
      <c r="D358" s="26"/>
      <c r="E358" s="26"/>
      <c r="F358" s="26"/>
      <c r="G358" s="26"/>
      <c r="H358" s="26"/>
      <c r="I358" s="26"/>
      <c r="J358" s="26"/>
      <c r="K358" s="26"/>
      <c r="L358" s="26">
        <v>19</v>
      </c>
      <c r="M358" s="26">
        <v>19</v>
      </c>
      <c r="N358" s="56"/>
      <c r="O358" s="56"/>
      <c r="P358" s="57"/>
      <c r="Q358" s="56"/>
      <c r="R358" s="57"/>
      <c r="S358" s="57"/>
      <c r="T358" s="57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</row>
    <row r="359" spans="1:30">
      <c r="A359" s="36"/>
      <c r="B359" s="52"/>
      <c r="C359" s="26"/>
      <c r="D359" s="26"/>
      <c r="E359" s="26"/>
      <c r="F359" s="26"/>
      <c r="G359" s="26"/>
      <c r="H359" s="26"/>
      <c r="I359" s="26"/>
      <c r="J359" s="26"/>
      <c r="K359" s="26"/>
      <c r="L359" s="26">
        <v>19</v>
      </c>
      <c r="M359" s="26">
        <v>19</v>
      </c>
      <c r="N359" s="56"/>
      <c r="O359" s="56"/>
      <c r="P359" s="57"/>
      <c r="Q359" s="56"/>
      <c r="R359" s="57"/>
      <c r="S359" s="57"/>
      <c r="T359" s="57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</row>
    <row r="360" spans="1:30">
      <c r="A360" s="37"/>
      <c r="B360" s="52"/>
      <c r="C360" s="26"/>
      <c r="D360" s="26"/>
      <c r="E360" s="26"/>
      <c r="F360" s="26"/>
      <c r="G360" s="26"/>
      <c r="H360" s="26"/>
      <c r="I360" s="26"/>
      <c r="J360" s="26"/>
      <c r="K360" s="26"/>
      <c r="L360" s="26">
        <v>19</v>
      </c>
      <c r="M360" s="26">
        <v>19</v>
      </c>
      <c r="N360" s="56"/>
      <c r="O360" s="56"/>
      <c r="P360" s="57"/>
      <c r="Q360" s="56"/>
      <c r="R360" s="57"/>
      <c r="S360" s="57"/>
      <c r="T360" s="57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</row>
    <row r="361" spans="1:30">
      <c r="A361" s="36"/>
      <c r="B361" s="51"/>
      <c r="C361" s="34"/>
      <c r="D361" s="34"/>
      <c r="E361" s="34"/>
      <c r="F361" s="34"/>
      <c r="G361" s="34"/>
      <c r="H361" s="34"/>
      <c r="I361" s="34"/>
      <c r="J361" s="34"/>
      <c r="K361" s="34"/>
      <c r="L361" s="34">
        <v>19</v>
      </c>
      <c r="M361" s="34">
        <v>19</v>
      </c>
      <c r="N361" s="56"/>
      <c r="O361" s="56"/>
      <c r="P361" s="57"/>
      <c r="Q361" s="56"/>
      <c r="R361" s="57"/>
      <c r="S361" s="57"/>
      <c r="T361" s="57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</row>
    <row r="362" spans="1:30">
      <c r="A362" s="37"/>
      <c r="B362" s="52"/>
      <c r="C362" s="26"/>
      <c r="D362" s="26"/>
      <c r="E362" s="26"/>
      <c r="F362" s="26"/>
      <c r="G362" s="26"/>
      <c r="H362" s="26"/>
      <c r="I362" s="26"/>
      <c r="J362" s="26"/>
      <c r="K362" s="26"/>
      <c r="L362" s="26">
        <v>19</v>
      </c>
      <c r="M362" s="26">
        <v>19</v>
      </c>
      <c r="N362" s="56"/>
      <c r="O362" s="56"/>
      <c r="P362" s="57"/>
      <c r="Q362" s="56"/>
      <c r="R362" s="57"/>
      <c r="S362" s="57"/>
      <c r="T362" s="57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</row>
    <row r="363" spans="1:30">
      <c r="A363" s="36"/>
      <c r="B363" s="52"/>
      <c r="C363" s="26"/>
      <c r="D363" s="26"/>
      <c r="E363" s="26"/>
      <c r="F363" s="26"/>
      <c r="G363" s="26"/>
      <c r="H363" s="26"/>
      <c r="I363" s="26"/>
      <c r="J363" s="26"/>
      <c r="K363" s="26"/>
      <c r="L363" s="26">
        <v>19</v>
      </c>
      <c r="M363" s="26">
        <v>19</v>
      </c>
      <c r="N363" s="56"/>
      <c r="O363" s="56"/>
      <c r="P363" s="57"/>
      <c r="Q363" s="56"/>
      <c r="R363" s="57"/>
      <c r="S363" s="57"/>
      <c r="T363" s="57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</row>
    <row r="364" spans="1:30">
      <c r="A364" s="37"/>
      <c r="B364" s="52"/>
      <c r="C364" s="26"/>
      <c r="D364" s="26"/>
      <c r="E364" s="26"/>
      <c r="F364" s="26"/>
      <c r="G364" s="26"/>
      <c r="H364" s="26"/>
      <c r="I364" s="26"/>
      <c r="J364" s="26"/>
      <c r="K364" s="26"/>
      <c r="L364" s="26">
        <v>19</v>
      </c>
      <c r="M364" s="26">
        <v>19</v>
      </c>
      <c r="N364" s="56"/>
      <c r="O364" s="56"/>
      <c r="P364" s="57"/>
      <c r="Q364" s="56"/>
      <c r="R364" s="57"/>
      <c r="S364" s="57"/>
      <c r="T364" s="57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</row>
    <row r="365" spans="1:30">
      <c r="A365" s="36"/>
      <c r="B365" s="51"/>
      <c r="C365" s="34"/>
      <c r="D365" s="34"/>
      <c r="E365" s="34"/>
      <c r="F365" s="34"/>
      <c r="G365" s="34"/>
      <c r="H365" s="34"/>
      <c r="I365" s="34"/>
      <c r="J365" s="34"/>
      <c r="K365" s="34"/>
      <c r="L365" s="34">
        <v>19</v>
      </c>
      <c r="M365" s="34">
        <v>19</v>
      </c>
      <c r="N365" s="56"/>
      <c r="O365" s="56"/>
      <c r="P365" s="57"/>
      <c r="Q365" s="56"/>
      <c r="R365" s="57"/>
      <c r="S365" s="57"/>
      <c r="T365" s="57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</row>
    <row r="366" spans="1:30">
      <c r="A366" s="37"/>
      <c r="B366" s="52"/>
      <c r="C366" s="26"/>
      <c r="D366" s="26"/>
      <c r="E366" s="26"/>
      <c r="F366" s="26"/>
      <c r="G366" s="26"/>
      <c r="H366" s="26"/>
      <c r="I366" s="26"/>
      <c r="J366" s="26"/>
      <c r="K366" s="26"/>
      <c r="L366" s="26">
        <v>19</v>
      </c>
      <c r="M366" s="26">
        <v>19</v>
      </c>
      <c r="N366" s="56"/>
      <c r="O366" s="56"/>
      <c r="P366" s="57"/>
      <c r="Q366" s="56"/>
      <c r="R366" s="57"/>
      <c r="S366" s="57"/>
      <c r="T366" s="57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</row>
    <row r="367" spans="1:30">
      <c r="A367" s="36"/>
      <c r="B367" s="52"/>
      <c r="C367" s="26"/>
      <c r="D367" s="26"/>
      <c r="E367" s="26"/>
      <c r="F367" s="26"/>
      <c r="G367" s="26"/>
      <c r="H367" s="26"/>
      <c r="I367" s="26"/>
      <c r="J367" s="26"/>
      <c r="K367" s="26"/>
      <c r="L367" s="26">
        <v>19</v>
      </c>
      <c r="M367" s="26">
        <v>19</v>
      </c>
      <c r="N367" s="56"/>
      <c r="O367" s="56"/>
      <c r="P367" s="57"/>
      <c r="Q367" s="56"/>
      <c r="R367" s="57"/>
      <c r="S367" s="57"/>
      <c r="T367" s="57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</row>
    <row r="368" spans="1:30">
      <c r="A368" s="37"/>
      <c r="B368" s="52"/>
      <c r="C368" s="26"/>
      <c r="D368" s="26"/>
      <c r="E368" s="26"/>
      <c r="F368" s="26"/>
      <c r="G368" s="26"/>
      <c r="H368" s="26"/>
      <c r="I368" s="26"/>
      <c r="J368" s="26"/>
      <c r="K368" s="26"/>
      <c r="L368" s="26">
        <v>19</v>
      </c>
      <c r="M368" s="26">
        <v>19</v>
      </c>
      <c r="N368" s="56"/>
      <c r="O368" s="56"/>
      <c r="P368" s="57"/>
      <c r="Q368" s="56"/>
      <c r="R368" s="57"/>
      <c r="S368" s="57"/>
      <c r="T368" s="57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</row>
    <row r="369" spans="1:30">
      <c r="A369" s="36"/>
      <c r="B369" s="51"/>
      <c r="C369" s="34"/>
      <c r="D369" s="34"/>
      <c r="E369" s="34"/>
      <c r="F369" s="34"/>
      <c r="G369" s="34"/>
      <c r="H369" s="34"/>
      <c r="I369" s="34"/>
      <c r="J369" s="34"/>
      <c r="K369" s="34"/>
      <c r="L369" s="34">
        <v>19</v>
      </c>
      <c r="M369" s="34">
        <v>19</v>
      </c>
      <c r="N369" s="56"/>
      <c r="O369" s="56"/>
      <c r="P369" s="57"/>
      <c r="Q369" s="56"/>
      <c r="R369" s="57"/>
      <c r="S369" s="57"/>
      <c r="T369" s="57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</row>
    <row r="370" spans="1:30">
      <c r="A370" s="37"/>
      <c r="B370" s="52"/>
      <c r="C370" s="26"/>
      <c r="D370" s="26"/>
      <c r="E370" s="26"/>
      <c r="F370" s="26"/>
      <c r="G370" s="26"/>
      <c r="H370" s="26"/>
      <c r="I370" s="26"/>
      <c r="J370" s="26"/>
      <c r="K370" s="26"/>
      <c r="L370" s="26">
        <v>19</v>
      </c>
      <c r="M370" s="26">
        <v>19</v>
      </c>
      <c r="N370" s="56"/>
      <c r="O370" s="56"/>
      <c r="P370" s="57"/>
      <c r="Q370" s="56"/>
      <c r="R370" s="57"/>
      <c r="S370" s="57"/>
      <c r="T370" s="57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</row>
    <row r="371" spans="1:30">
      <c r="A371" s="36"/>
      <c r="B371" s="52"/>
      <c r="C371" s="26"/>
      <c r="D371" s="26"/>
      <c r="E371" s="26"/>
      <c r="F371" s="26"/>
      <c r="G371" s="26"/>
      <c r="H371" s="26"/>
      <c r="I371" s="26"/>
      <c r="J371" s="26"/>
      <c r="K371" s="26"/>
      <c r="L371" s="26">
        <v>19</v>
      </c>
      <c r="M371" s="26">
        <v>19</v>
      </c>
      <c r="N371" s="56"/>
      <c r="O371" s="56"/>
      <c r="P371" s="57"/>
      <c r="Q371" s="56"/>
      <c r="R371" s="57"/>
      <c r="S371" s="57"/>
      <c r="T371" s="57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</row>
    <row r="372" spans="1:30">
      <c r="A372" s="37"/>
      <c r="B372" s="52"/>
      <c r="C372" s="26"/>
      <c r="D372" s="26"/>
      <c r="E372" s="26"/>
      <c r="F372" s="26"/>
      <c r="G372" s="26"/>
      <c r="H372" s="26"/>
      <c r="I372" s="26"/>
      <c r="J372" s="26"/>
      <c r="K372" s="26"/>
      <c r="L372" s="26">
        <v>19</v>
      </c>
      <c r="M372" s="26">
        <v>19</v>
      </c>
      <c r="N372" s="56"/>
      <c r="O372" s="56"/>
      <c r="P372" s="57"/>
      <c r="Q372" s="56"/>
      <c r="R372" s="57"/>
      <c r="S372" s="57"/>
      <c r="T372" s="57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</row>
    <row r="373" spans="1:30">
      <c r="A373" s="36"/>
      <c r="B373" s="51"/>
      <c r="C373" s="34"/>
      <c r="D373" s="34"/>
      <c r="E373" s="34"/>
      <c r="F373" s="34"/>
      <c r="G373" s="34"/>
      <c r="H373" s="34"/>
      <c r="I373" s="34"/>
      <c r="J373" s="34"/>
      <c r="K373" s="34"/>
      <c r="L373" s="34">
        <v>19</v>
      </c>
      <c r="M373" s="34">
        <v>19</v>
      </c>
      <c r="N373" s="56"/>
      <c r="O373" s="56"/>
      <c r="P373" s="57"/>
      <c r="Q373" s="56"/>
      <c r="R373" s="57"/>
      <c r="S373" s="57"/>
      <c r="T373" s="57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</row>
    <row r="374" spans="1:30">
      <c r="A374" s="37"/>
      <c r="B374" s="52"/>
      <c r="C374" s="26"/>
      <c r="D374" s="26"/>
      <c r="E374" s="26"/>
      <c r="F374" s="26"/>
      <c r="G374" s="26"/>
      <c r="H374" s="26"/>
      <c r="I374" s="26"/>
      <c r="J374" s="26"/>
      <c r="K374" s="26"/>
      <c r="L374" s="26">
        <v>19</v>
      </c>
      <c r="M374" s="26">
        <v>19</v>
      </c>
      <c r="N374" s="56"/>
      <c r="O374" s="56"/>
      <c r="P374" s="57"/>
      <c r="Q374" s="56"/>
      <c r="R374" s="57"/>
      <c r="S374" s="57"/>
      <c r="T374" s="57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</row>
    <row r="375" spans="1:30">
      <c r="A375" s="36"/>
      <c r="B375" s="52"/>
      <c r="C375" s="26"/>
      <c r="D375" s="26"/>
      <c r="E375" s="26"/>
      <c r="F375" s="26"/>
      <c r="G375" s="26"/>
      <c r="H375" s="26"/>
      <c r="I375" s="26"/>
      <c r="J375" s="26"/>
      <c r="K375" s="26"/>
      <c r="L375" s="26">
        <v>19</v>
      </c>
      <c r="M375" s="26">
        <v>19</v>
      </c>
      <c r="N375" s="56"/>
      <c r="O375" s="56"/>
      <c r="P375" s="57"/>
      <c r="Q375" s="56"/>
      <c r="R375" s="57"/>
      <c r="S375" s="57"/>
      <c r="T375" s="57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</row>
    <row r="376" spans="1:30">
      <c r="A376" s="37"/>
      <c r="B376" s="52"/>
      <c r="C376" s="26"/>
      <c r="D376" s="26"/>
      <c r="E376" s="26"/>
      <c r="F376" s="26"/>
      <c r="G376" s="26"/>
      <c r="H376" s="26"/>
      <c r="I376" s="26"/>
      <c r="J376" s="26"/>
      <c r="K376" s="26"/>
      <c r="L376" s="26">
        <v>19</v>
      </c>
      <c r="M376" s="26">
        <v>19</v>
      </c>
      <c r="N376" s="56"/>
      <c r="O376" s="56"/>
      <c r="P376" s="57"/>
      <c r="Q376" s="56"/>
      <c r="R376" s="57"/>
      <c r="S376" s="57"/>
      <c r="T376" s="57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</row>
    <row r="377" spans="1:30">
      <c r="A377" s="36"/>
      <c r="B377" s="51"/>
      <c r="C377" s="34"/>
      <c r="D377" s="34"/>
      <c r="E377" s="34"/>
      <c r="F377" s="34"/>
      <c r="G377" s="34"/>
      <c r="H377" s="34"/>
      <c r="I377" s="34"/>
      <c r="J377" s="34"/>
      <c r="K377" s="34"/>
      <c r="L377" s="34">
        <v>19</v>
      </c>
      <c r="M377" s="34">
        <v>19</v>
      </c>
      <c r="N377" s="56"/>
      <c r="O377" s="56"/>
      <c r="P377" s="57"/>
      <c r="Q377" s="56"/>
      <c r="R377" s="57"/>
      <c r="S377" s="57"/>
      <c r="T377" s="57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</row>
    <row r="378" spans="1:30">
      <c r="A378" s="37"/>
      <c r="B378" s="52"/>
      <c r="C378" s="26"/>
      <c r="D378" s="26"/>
      <c r="E378" s="26"/>
      <c r="F378" s="26"/>
      <c r="G378" s="26"/>
      <c r="H378" s="26"/>
      <c r="I378" s="26"/>
      <c r="J378" s="26"/>
      <c r="K378" s="26"/>
      <c r="L378" s="26">
        <v>19</v>
      </c>
      <c r="M378" s="26">
        <v>19</v>
      </c>
      <c r="N378" s="56"/>
      <c r="O378" s="56"/>
      <c r="P378" s="57"/>
      <c r="Q378" s="56"/>
      <c r="R378" s="57"/>
      <c r="S378" s="57"/>
      <c r="T378" s="57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</row>
    <row r="379" spans="1:30">
      <c r="A379" s="36"/>
      <c r="B379" s="52"/>
      <c r="C379" s="26"/>
      <c r="D379" s="26"/>
      <c r="E379" s="26"/>
      <c r="F379" s="26"/>
      <c r="G379" s="26"/>
      <c r="H379" s="26"/>
      <c r="I379" s="26"/>
      <c r="J379" s="26"/>
      <c r="K379" s="26"/>
      <c r="L379" s="26">
        <v>19</v>
      </c>
      <c r="M379" s="26">
        <v>19</v>
      </c>
      <c r="N379" s="56"/>
      <c r="O379" s="56"/>
      <c r="P379" s="57"/>
      <c r="Q379" s="56"/>
      <c r="R379" s="57"/>
      <c r="S379" s="57"/>
      <c r="T379" s="57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</row>
    <row r="380" spans="1:30">
      <c r="A380" s="37"/>
      <c r="B380" s="52"/>
      <c r="C380" s="26"/>
      <c r="D380" s="26"/>
      <c r="E380" s="26"/>
      <c r="F380" s="26"/>
      <c r="G380" s="26"/>
      <c r="H380" s="26"/>
      <c r="I380" s="26"/>
      <c r="J380" s="26"/>
      <c r="K380" s="26"/>
      <c r="L380" s="26">
        <v>19</v>
      </c>
      <c r="M380" s="26">
        <v>19</v>
      </c>
      <c r="N380" s="56"/>
      <c r="O380" s="56"/>
      <c r="P380" s="57"/>
      <c r="Q380" s="56"/>
      <c r="R380" s="57"/>
      <c r="S380" s="57"/>
      <c r="T380" s="57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</row>
    <row r="381" spans="1:30">
      <c r="A381" s="36"/>
      <c r="B381" s="51"/>
      <c r="C381" s="34"/>
      <c r="D381" s="34"/>
      <c r="E381" s="34"/>
      <c r="F381" s="34"/>
      <c r="G381" s="34"/>
      <c r="H381" s="34"/>
      <c r="I381" s="34"/>
      <c r="J381" s="34"/>
      <c r="K381" s="34"/>
      <c r="L381" s="34">
        <v>19</v>
      </c>
      <c r="M381" s="34">
        <v>19</v>
      </c>
      <c r="N381" s="56"/>
      <c r="O381" s="56"/>
      <c r="P381" s="57"/>
      <c r="Q381" s="56"/>
      <c r="R381" s="57"/>
      <c r="S381" s="57"/>
      <c r="T381" s="57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</row>
    <row r="382" spans="1:30">
      <c r="A382" s="37"/>
      <c r="B382" s="52"/>
      <c r="C382" s="26"/>
      <c r="D382" s="26"/>
      <c r="E382" s="26"/>
      <c r="F382" s="26"/>
      <c r="G382" s="26"/>
      <c r="H382" s="26"/>
      <c r="I382" s="26"/>
      <c r="J382" s="26"/>
      <c r="K382" s="26"/>
      <c r="L382" s="26">
        <v>19</v>
      </c>
      <c r="M382" s="26">
        <v>19</v>
      </c>
      <c r="N382" s="56"/>
      <c r="O382" s="56"/>
      <c r="P382" s="57"/>
      <c r="Q382" s="56"/>
      <c r="R382" s="57"/>
      <c r="S382" s="57"/>
      <c r="T382" s="57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</row>
    <row r="383" spans="1:30">
      <c r="A383" s="36"/>
      <c r="B383" s="52"/>
      <c r="C383" s="26"/>
      <c r="D383" s="26"/>
      <c r="E383" s="26"/>
      <c r="F383" s="26"/>
      <c r="G383" s="26"/>
      <c r="H383" s="26"/>
      <c r="I383" s="26"/>
      <c r="J383" s="26"/>
      <c r="K383" s="26"/>
      <c r="L383" s="26">
        <v>19</v>
      </c>
      <c r="M383" s="26">
        <v>19</v>
      </c>
      <c r="N383" s="56"/>
      <c r="O383" s="56"/>
      <c r="P383" s="57"/>
      <c r="Q383" s="56"/>
      <c r="R383" s="57"/>
      <c r="S383" s="57"/>
      <c r="T383" s="57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</row>
    <row r="384" spans="1:30">
      <c r="A384" s="37"/>
      <c r="B384" s="52"/>
      <c r="C384" s="26"/>
      <c r="D384" s="26"/>
      <c r="E384" s="26"/>
      <c r="F384" s="26"/>
      <c r="G384" s="26"/>
      <c r="H384" s="26"/>
      <c r="I384" s="26"/>
      <c r="J384" s="26"/>
      <c r="K384" s="26"/>
      <c r="L384" s="26">
        <v>19</v>
      </c>
      <c r="M384" s="26">
        <v>19</v>
      </c>
      <c r="N384" s="56"/>
      <c r="O384" s="56"/>
      <c r="P384" s="57"/>
      <c r="Q384" s="56"/>
      <c r="R384" s="57"/>
      <c r="S384" s="57"/>
      <c r="T384" s="57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</row>
    <row r="385" spans="1:30">
      <c r="A385" s="36"/>
      <c r="B385" s="51"/>
      <c r="C385" s="34"/>
      <c r="D385" s="34"/>
      <c r="E385" s="34"/>
      <c r="F385" s="34"/>
      <c r="G385" s="34"/>
      <c r="H385" s="34"/>
      <c r="I385" s="34"/>
      <c r="J385" s="34"/>
      <c r="K385" s="34"/>
      <c r="L385" s="34">
        <v>19</v>
      </c>
      <c r="M385" s="34">
        <v>19</v>
      </c>
      <c r="N385" s="56"/>
      <c r="O385" s="56"/>
      <c r="P385" s="57"/>
      <c r="Q385" s="56"/>
      <c r="R385" s="57"/>
      <c r="S385" s="57"/>
      <c r="T385" s="57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</row>
    <row r="386" spans="1:30">
      <c r="A386" s="37"/>
      <c r="B386" s="52"/>
      <c r="C386" s="26"/>
      <c r="D386" s="26"/>
      <c r="E386" s="26"/>
      <c r="F386" s="26"/>
      <c r="G386" s="26"/>
      <c r="H386" s="26"/>
      <c r="I386" s="26"/>
      <c r="J386" s="26"/>
      <c r="K386" s="26"/>
      <c r="L386" s="26">
        <v>19</v>
      </c>
      <c r="M386" s="26">
        <v>19</v>
      </c>
      <c r="N386" s="56"/>
      <c r="O386" s="56"/>
      <c r="P386" s="57"/>
      <c r="Q386" s="56"/>
      <c r="R386" s="57"/>
      <c r="S386" s="57"/>
      <c r="T386" s="57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</row>
    <row r="387" spans="1:30">
      <c r="A387" s="36"/>
      <c r="B387" s="52"/>
      <c r="C387" s="26"/>
      <c r="D387" s="26"/>
      <c r="E387" s="26"/>
      <c r="F387" s="26"/>
      <c r="G387" s="26"/>
      <c r="H387" s="26"/>
      <c r="I387" s="26"/>
      <c r="J387" s="26"/>
      <c r="K387" s="26"/>
      <c r="L387" s="26">
        <v>19</v>
      </c>
      <c r="M387" s="26">
        <v>19</v>
      </c>
      <c r="N387" s="56"/>
      <c r="O387" s="56"/>
      <c r="P387" s="57"/>
      <c r="Q387" s="56"/>
      <c r="R387" s="57"/>
      <c r="S387" s="57"/>
      <c r="T387" s="57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</row>
    <row r="388" spans="1:30">
      <c r="A388" s="37"/>
      <c r="B388" s="51"/>
      <c r="C388" s="34"/>
      <c r="D388" s="34"/>
      <c r="E388" s="34"/>
      <c r="F388" s="34"/>
      <c r="G388" s="34"/>
      <c r="H388" s="34"/>
      <c r="I388" s="34"/>
      <c r="J388" s="34"/>
      <c r="K388" s="34"/>
      <c r="L388" s="34">
        <v>19</v>
      </c>
      <c r="M388" s="34">
        <v>19</v>
      </c>
      <c r="N388" s="56"/>
      <c r="O388" s="56"/>
      <c r="P388" s="57"/>
      <c r="Q388" s="56"/>
      <c r="R388" s="57"/>
      <c r="S388" s="57"/>
      <c r="T388" s="57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</row>
    <row r="389" spans="1:30">
      <c r="A389" s="36"/>
      <c r="B389" s="52"/>
      <c r="C389" s="26"/>
      <c r="D389" s="26"/>
      <c r="E389" s="26"/>
      <c r="F389" s="26"/>
      <c r="G389" s="26"/>
      <c r="H389" s="26"/>
      <c r="I389" s="26"/>
      <c r="J389" s="26"/>
      <c r="K389" s="26"/>
      <c r="L389" s="26">
        <v>19</v>
      </c>
      <c r="M389" s="26">
        <v>19</v>
      </c>
      <c r="N389" s="56"/>
      <c r="O389" s="56"/>
      <c r="P389" s="57"/>
      <c r="Q389" s="56"/>
      <c r="R389" s="57"/>
      <c r="S389" s="57"/>
      <c r="T389" s="57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</row>
    <row r="390" spans="1:30">
      <c r="A390" s="37"/>
      <c r="B390" s="52"/>
      <c r="C390" s="26"/>
      <c r="D390" s="26"/>
      <c r="E390" s="26"/>
      <c r="F390" s="26"/>
      <c r="G390" s="26"/>
      <c r="H390" s="26"/>
      <c r="I390" s="26"/>
      <c r="J390" s="26"/>
      <c r="K390" s="26"/>
      <c r="L390" s="26">
        <v>19</v>
      </c>
      <c r="M390" s="26">
        <v>19</v>
      </c>
      <c r="N390" s="56"/>
      <c r="O390" s="56"/>
      <c r="P390" s="57"/>
      <c r="Q390" s="56"/>
      <c r="R390" s="57"/>
      <c r="S390" s="57"/>
      <c r="T390" s="57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</row>
    <row r="391" spans="1:30">
      <c r="A391" s="36"/>
      <c r="B391" s="50"/>
      <c r="C391" s="31"/>
      <c r="D391" s="31"/>
      <c r="E391" s="31"/>
      <c r="F391" s="31"/>
      <c r="G391" s="31"/>
      <c r="H391" s="31"/>
      <c r="I391" s="31"/>
      <c r="J391" s="31"/>
      <c r="K391" s="31"/>
      <c r="L391" s="31">
        <v>19</v>
      </c>
      <c r="M391" s="31">
        <v>19</v>
      </c>
      <c r="N391" s="56"/>
      <c r="O391" s="56"/>
      <c r="P391" s="57"/>
      <c r="Q391" s="56"/>
      <c r="R391" s="57"/>
      <c r="S391" s="57"/>
      <c r="T391" s="57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</row>
    <row r="392" spans="1:30">
      <c r="A392" s="37"/>
      <c r="B392" s="52"/>
      <c r="C392" s="26"/>
      <c r="D392" s="26"/>
      <c r="E392" s="26"/>
      <c r="F392" s="26"/>
      <c r="G392" s="26"/>
      <c r="H392" s="26"/>
      <c r="I392" s="26"/>
      <c r="J392" s="26"/>
      <c r="K392" s="26"/>
      <c r="L392" s="26">
        <v>19</v>
      </c>
      <c r="M392" s="26">
        <v>19</v>
      </c>
      <c r="N392" s="56"/>
      <c r="O392" s="56"/>
      <c r="P392" s="57"/>
      <c r="Q392" s="56"/>
      <c r="R392" s="57"/>
      <c r="S392" s="57"/>
      <c r="T392" s="57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</row>
    <row r="393" spans="1:30">
      <c r="A393" s="36"/>
      <c r="B393" s="52"/>
      <c r="C393" s="26"/>
      <c r="D393" s="26"/>
      <c r="E393" s="26"/>
      <c r="F393" s="26"/>
      <c r="G393" s="26"/>
      <c r="H393" s="26"/>
      <c r="I393" s="26"/>
      <c r="J393" s="26"/>
      <c r="K393" s="26"/>
      <c r="L393" s="26">
        <v>19</v>
      </c>
      <c r="M393" s="26">
        <v>19</v>
      </c>
      <c r="N393" s="56"/>
      <c r="O393" s="56"/>
      <c r="P393" s="57"/>
      <c r="Q393" s="56"/>
      <c r="R393" s="57"/>
      <c r="S393" s="57"/>
      <c r="T393" s="57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</row>
    <row r="394" spans="1:30">
      <c r="A394" s="37"/>
      <c r="B394" s="52"/>
      <c r="C394" s="26"/>
      <c r="D394" s="26"/>
      <c r="E394" s="26"/>
      <c r="F394" s="26"/>
      <c r="G394" s="26"/>
      <c r="H394" s="26"/>
      <c r="I394" s="26"/>
      <c r="J394" s="26"/>
      <c r="K394" s="26"/>
      <c r="L394" s="26">
        <v>19</v>
      </c>
      <c r="M394" s="26">
        <v>19</v>
      </c>
      <c r="N394" s="56"/>
      <c r="O394" s="56"/>
      <c r="P394" s="57"/>
      <c r="Q394" s="56"/>
      <c r="R394" s="57"/>
      <c r="S394" s="57"/>
      <c r="T394" s="57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</row>
    <row r="395" spans="1:30">
      <c r="A395" s="36"/>
      <c r="B395" s="51"/>
      <c r="C395" s="34"/>
      <c r="D395" s="34"/>
      <c r="E395" s="34"/>
      <c r="F395" s="34"/>
      <c r="G395" s="34"/>
      <c r="H395" s="34"/>
      <c r="I395" s="34"/>
      <c r="J395" s="34"/>
      <c r="K395" s="34"/>
      <c r="L395" s="34">
        <v>19</v>
      </c>
      <c r="M395" s="34">
        <v>19</v>
      </c>
      <c r="N395" s="56"/>
      <c r="O395" s="56"/>
      <c r="P395" s="57"/>
      <c r="Q395" s="56"/>
      <c r="R395" s="57"/>
      <c r="S395" s="57"/>
      <c r="T395" s="57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</row>
    <row r="396" spans="1:30">
      <c r="A396" s="37"/>
      <c r="B396" s="52"/>
      <c r="C396" s="26"/>
      <c r="D396" s="26"/>
      <c r="E396" s="26"/>
      <c r="F396" s="26"/>
      <c r="G396" s="26"/>
      <c r="H396" s="26"/>
      <c r="I396" s="26"/>
      <c r="J396" s="26"/>
      <c r="K396" s="26"/>
      <c r="L396" s="26">
        <v>19</v>
      </c>
      <c r="M396" s="26">
        <v>19</v>
      </c>
      <c r="N396" s="56"/>
      <c r="O396" s="56"/>
      <c r="P396" s="57"/>
      <c r="Q396" s="56"/>
      <c r="R396" s="57"/>
      <c r="S396" s="57"/>
      <c r="T396" s="57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</row>
    <row r="397" spans="1:30">
      <c r="A397" s="36"/>
      <c r="B397" s="52"/>
      <c r="C397" s="26"/>
      <c r="D397" s="26"/>
      <c r="E397" s="26"/>
      <c r="F397" s="26"/>
      <c r="G397" s="26"/>
      <c r="H397" s="26"/>
      <c r="I397" s="26"/>
      <c r="J397" s="26"/>
      <c r="K397" s="26"/>
      <c r="L397" s="26">
        <v>19</v>
      </c>
      <c r="M397" s="26">
        <v>19</v>
      </c>
      <c r="N397" s="56"/>
      <c r="O397" s="56"/>
      <c r="P397" s="57"/>
      <c r="Q397" s="56"/>
      <c r="R397" s="57"/>
      <c r="S397" s="57"/>
      <c r="T397" s="57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</row>
    <row r="398" spans="1:30">
      <c r="A398" s="37"/>
      <c r="B398" s="52"/>
      <c r="C398" s="26"/>
      <c r="D398" s="26"/>
      <c r="E398" s="26"/>
      <c r="F398" s="26"/>
      <c r="G398" s="26"/>
      <c r="H398" s="26"/>
      <c r="I398" s="26"/>
      <c r="J398" s="26"/>
      <c r="K398" s="26"/>
      <c r="L398" s="26">
        <v>19</v>
      </c>
      <c r="M398" s="26">
        <v>19</v>
      </c>
      <c r="N398" s="56"/>
      <c r="O398" s="56"/>
      <c r="P398" s="57"/>
      <c r="Q398" s="56"/>
      <c r="R398" s="57"/>
      <c r="S398" s="57"/>
      <c r="T398" s="57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</row>
    <row r="399" spans="1:30">
      <c r="A399" s="36"/>
      <c r="B399" s="51"/>
      <c r="C399" s="34"/>
      <c r="D399" s="34"/>
      <c r="E399" s="34"/>
      <c r="F399" s="34"/>
      <c r="G399" s="34"/>
      <c r="H399" s="34"/>
      <c r="I399" s="34"/>
      <c r="J399" s="34"/>
      <c r="K399" s="34"/>
      <c r="L399" s="34">
        <v>19</v>
      </c>
      <c r="M399" s="34">
        <v>19</v>
      </c>
      <c r="N399" s="56"/>
      <c r="O399" s="56"/>
      <c r="P399" s="57"/>
      <c r="Q399" s="56"/>
      <c r="R399" s="57"/>
      <c r="S399" s="57"/>
      <c r="T399" s="57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</row>
    <row r="400" spans="1:30">
      <c r="A400" s="37"/>
      <c r="B400" s="52"/>
      <c r="C400" s="26"/>
      <c r="D400" s="26"/>
      <c r="E400" s="26"/>
      <c r="F400" s="26"/>
      <c r="G400" s="26"/>
      <c r="H400" s="26"/>
      <c r="I400" s="26"/>
      <c r="J400" s="26"/>
      <c r="K400" s="26"/>
      <c r="L400" s="26">
        <v>19</v>
      </c>
      <c r="M400" s="26">
        <v>19</v>
      </c>
      <c r="N400" s="56"/>
      <c r="O400" s="56"/>
      <c r="P400" s="57"/>
      <c r="Q400" s="56"/>
      <c r="R400" s="57"/>
      <c r="S400" s="57"/>
      <c r="T400" s="57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</row>
    <row r="401" spans="1:30">
      <c r="A401" s="36"/>
      <c r="B401" s="52"/>
      <c r="C401" s="26"/>
      <c r="D401" s="26"/>
      <c r="E401" s="26"/>
      <c r="F401" s="26"/>
      <c r="G401" s="26"/>
      <c r="H401" s="26"/>
      <c r="I401" s="26"/>
      <c r="J401" s="26"/>
      <c r="K401" s="26"/>
      <c r="L401" s="26">
        <v>19</v>
      </c>
      <c r="M401" s="26">
        <v>19</v>
      </c>
      <c r="N401" s="56"/>
      <c r="O401" s="56"/>
      <c r="P401" s="57"/>
      <c r="Q401" s="56"/>
      <c r="R401" s="57"/>
      <c r="S401" s="57"/>
      <c r="T401" s="57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</row>
    <row r="402" spans="1:30">
      <c r="A402" s="37"/>
      <c r="B402" s="52"/>
      <c r="C402" s="26"/>
      <c r="D402" s="26"/>
      <c r="E402" s="26"/>
      <c r="F402" s="26"/>
      <c r="G402" s="26"/>
      <c r="H402" s="26"/>
      <c r="I402" s="26"/>
      <c r="J402" s="26"/>
      <c r="K402" s="26"/>
      <c r="L402" s="26">
        <v>19</v>
      </c>
      <c r="M402" s="26">
        <v>19</v>
      </c>
      <c r="N402" s="56"/>
      <c r="O402" s="56"/>
      <c r="P402" s="57"/>
      <c r="Q402" s="56"/>
      <c r="R402" s="57"/>
      <c r="S402" s="57"/>
      <c r="T402" s="57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</row>
    <row r="403" spans="1:30">
      <c r="A403" s="36"/>
      <c r="B403" s="51"/>
      <c r="C403" s="34"/>
      <c r="D403" s="34"/>
      <c r="E403" s="34"/>
      <c r="F403" s="34"/>
      <c r="G403" s="34"/>
      <c r="H403" s="34"/>
      <c r="I403" s="34"/>
      <c r="J403" s="34"/>
      <c r="K403" s="34"/>
      <c r="L403" s="34">
        <v>19</v>
      </c>
      <c r="M403" s="34">
        <v>19</v>
      </c>
      <c r="N403" s="56"/>
      <c r="O403" s="56"/>
      <c r="P403" s="57"/>
      <c r="Q403" s="56"/>
      <c r="R403" s="57"/>
      <c r="S403" s="57"/>
      <c r="T403" s="57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</row>
    <row r="404" spans="1:30">
      <c r="A404" s="37"/>
      <c r="B404" s="52"/>
      <c r="C404" s="26"/>
      <c r="D404" s="26"/>
      <c r="E404" s="26"/>
      <c r="F404" s="26"/>
      <c r="G404" s="26"/>
      <c r="H404" s="26"/>
      <c r="I404" s="26"/>
      <c r="J404" s="26"/>
      <c r="K404" s="26"/>
      <c r="L404" s="26">
        <v>19</v>
      </c>
      <c r="M404" s="26">
        <v>19</v>
      </c>
      <c r="N404" s="56"/>
      <c r="O404" s="56"/>
      <c r="P404" s="57"/>
      <c r="Q404" s="56"/>
      <c r="R404" s="57"/>
      <c r="S404" s="57"/>
      <c r="T404" s="57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</row>
    <row r="405" spans="1:30">
      <c r="A405" s="36"/>
      <c r="B405" s="52"/>
      <c r="C405" s="26"/>
      <c r="D405" s="26"/>
      <c r="E405" s="26"/>
      <c r="F405" s="26"/>
      <c r="G405" s="26"/>
      <c r="H405" s="26"/>
      <c r="I405" s="26"/>
      <c r="J405" s="26"/>
      <c r="K405" s="26"/>
      <c r="L405" s="26">
        <v>19</v>
      </c>
      <c r="M405" s="26">
        <v>19</v>
      </c>
      <c r="N405" s="56"/>
      <c r="O405" s="56"/>
      <c r="P405" s="57"/>
      <c r="Q405" s="56"/>
      <c r="R405" s="57"/>
      <c r="S405" s="57"/>
      <c r="T405" s="57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</row>
    <row r="406" spans="1:30">
      <c r="A406" s="37"/>
      <c r="B406" s="52"/>
      <c r="C406" s="26"/>
      <c r="D406" s="26"/>
      <c r="E406" s="26"/>
      <c r="F406" s="26"/>
      <c r="G406" s="26"/>
      <c r="H406" s="26"/>
      <c r="I406" s="26"/>
      <c r="J406" s="26"/>
      <c r="K406" s="26"/>
      <c r="L406" s="26">
        <v>19</v>
      </c>
      <c r="M406" s="26">
        <v>19</v>
      </c>
      <c r="N406" s="56"/>
      <c r="O406" s="56"/>
      <c r="P406" s="57"/>
      <c r="Q406" s="56"/>
      <c r="R406" s="57"/>
      <c r="S406" s="57"/>
      <c r="T406" s="57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</row>
    <row r="407" spans="1:30">
      <c r="A407" s="36"/>
      <c r="B407" s="51"/>
      <c r="C407" s="34"/>
      <c r="D407" s="34"/>
      <c r="E407" s="34"/>
      <c r="F407" s="34"/>
      <c r="G407" s="34"/>
      <c r="H407" s="34"/>
      <c r="I407" s="34"/>
      <c r="J407" s="34"/>
      <c r="K407" s="34"/>
      <c r="L407" s="34">
        <v>19</v>
      </c>
      <c r="M407" s="34">
        <v>19</v>
      </c>
      <c r="N407" s="56"/>
      <c r="O407" s="56"/>
      <c r="P407" s="57"/>
      <c r="Q407" s="56"/>
      <c r="R407" s="57"/>
      <c r="S407" s="57"/>
      <c r="T407" s="57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</row>
    <row r="408" spans="1:30">
      <c r="A408" s="37"/>
      <c r="B408" s="52"/>
      <c r="C408" s="26"/>
      <c r="D408" s="26"/>
      <c r="E408" s="26"/>
      <c r="F408" s="26"/>
      <c r="G408" s="26"/>
      <c r="H408" s="26"/>
      <c r="I408" s="26"/>
      <c r="J408" s="26"/>
      <c r="K408" s="26"/>
      <c r="L408" s="26">
        <v>19</v>
      </c>
      <c r="M408" s="26">
        <v>19</v>
      </c>
      <c r="N408" s="56"/>
      <c r="O408" s="56"/>
      <c r="P408" s="57"/>
      <c r="Q408" s="56"/>
      <c r="R408" s="57"/>
      <c r="S408" s="57"/>
      <c r="T408" s="57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</row>
    <row r="409" spans="1:30">
      <c r="A409" s="36"/>
      <c r="B409" s="52"/>
      <c r="C409" s="26"/>
      <c r="D409" s="26"/>
      <c r="E409" s="26"/>
      <c r="F409" s="26"/>
      <c r="G409" s="26"/>
      <c r="H409" s="26"/>
      <c r="I409" s="26"/>
      <c r="J409" s="26"/>
      <c r="K409" s="26"/>
      <c r="L409" s="26">
        <v>19</v>
      </c>
      <c r="M409" s="26">
        <v>19</v>
      </c>
      <c r="N409" s="56"/>
      <c r="O409" s="56"/>
      <c r="P409" s="57"/>
      <c r="Q409" s="56"/>
      <c r="R409" s="57"/>
      <c r="S409" s="57"/>
      <c r="T409" s="57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</row>
    <row r="410" spans="1:30">
      <c r="A410" s="37"/>
      <c r="B410" s="52"/>
      <c r="C410" s="26"/>
      <c r="D410" s="26"/>
      <c r="E410" s="26"/>
      <c r="F410" s="26"/>
      <c r="G410" s="26"/>
      <c r="H410" s="26"/>
      <c r="I410" s="26"/>
      <c r="J410" s="26"/>
      <c r="K410" s="26"/>
      <c r="L410" s="26">
        <v>19</v>
      </c>
      <c r="M410" s="26">
        <v>19</v>
      </c>
      <c r="N410" s="56"/>
      <c r="O410" s="56"/>
      <c r="P410" s="57"/>
      <c r="Q410" s="56"/>
      <c r="R410" s="57"/>
      <c r="S410" s="57"/>
      <c r="T410" s="57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</row>
    <row r="411" spans="1:30">
      <c r="A411" s="36"/>
      <c r="B411" s="51"/>
      <c r="C411" s="34"/>
      <c r="D411" s="34"/>
      <c r="E411" s="34"/>
      <c r="F411" s="34"/>
      <c r="G411" s="34"/>
      <c r="H411" s="34"/>
      <c r="I411" s="34"/>
      <c r="J411" s="34"/>
      <c r="K411" s="34"/>
      <c r="L411" s="34">
        <v>19</v>
      </c>
      <c r="M411" s="34">
        <v>19</v>
      </c>
      <c r="N411" s="56"/>
      <c r="O411" s="56"/>
      <c r="P411" s="57"/>
      <c r="Q411" s="56"/>
      <c r="R411" s="57"/>
      <c r="S411" s="57"/>
      <c r="T411" s="57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</row>
    <row r="412" spans="1:30">
      <c r="A412" s="37"/>
      <c r="B412" s="52"/>
      <c r="C412" s="26"/>
      <c r="D412" s="26"/>
      <c r="E412" s="26"/>
      <c r="F412" s="26"/>
      <c r="G412" s="26"/>
      <c r="H412" s="26"/>
      <c r="I412" s="26"/>
      <c r="J412" s="26"/>
      <c r="K412" s="26"/>
      <c r="L412" s="26">
        <v>19</v>
      </c>
      <c r="M412" s="26">
        <v>19</v>
      </c>
      <c r="N412" s="56"/>
      <c r="O412" s="56"/>
      <c r="P412" s="57"/>
      <c r="Q412" s="56"/>
      <c r="R412" s="57"/>
      <c r="S412" s="57"/>
      <c r="T412" s="57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</row>
    <row r="413" spans="1:30">
      <c r="A413" s="36"/>
      <c r="B413" s="52"/>
      <c r="C413" s="26"/>
      <c r="D413" s="26"/>
      <c r="E413" s="26"/>
      <c r="F413" s="26"/>
      <c r="G413" s="26"/>
      <c r="H413" s="26"/>
      <c r="I413" s="26"/>
      <c r="J413" s="26"/>
      <c r="K413" s="26"/>
      <c r="L413" s="26">
        <v>19</v>
      </c>
      <c r="M413" s="26">
        <v>19</v>
      </c>
      <c r="N413" s="56"/>
      <c r="O413" s="56"/>
      <c r="P413" s="57"/>
      <c r="Q413" s="56"/>
      <c r="R413" s="57"/>
      <c r="S413" s="57"/>
      <c r="T413" s="57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</row>
    <row r="414" spans="1:30">
      <c r="A414" s="37"/>
      <c r="B414" s="52"/>
      <c r="C414" s="26"/>
      <c r="D414" s="26"/>
      <c r="E414" s="26"/>
      <c r="F414" s="26"/>
      <c r="G414" s="26"/>
      <c r="H414" s="26"/>
      <c r="I414" s="26"/>
      <c r="J414" s="26"/>
      <c r="K414" s="26"/>
      <c r="L414" s="26">
        <v>19</v>
      </c>
      <c r="M414" s="26">
        <v>19</v>
      </c>
      <c r="N414" s="56"/>
      <c r="O414" s="56"/>
      <c r="P414" s="57"/>
      <c r="Q414" s="56"/>
      <c r="R414" s="57"/>
      <c r="S414" s="57"/>
      <c r="T414" s="57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</row>
    <row r="415" spans="1:30">
      <c r="A415" s="36"/>
      <c r="B415" s="51"/>
      <c r="C415" s="34"/>
      <c r="D415" s="34"/>
      <c r="E415" s="34"/>
      <c r="F415" s="34"/>
      <c r="G415" s="34"/>
      <c r="H415" s="34"/>
      <c r="I415" s="34"/>
      <c r="J415" s="34"/>
      <c r="K415" s="34"/>
      <c r="L415" s="34">
        <v>19</v>
      </c>
      <c r="M415" s="34">
        <v>19</v>
      </c>
      <c r="N415" s="56"/>
      <c r="O415" s="56"/>
      <c r="P415" s="57"/>
      <c r="Q415" s="56"/>
      <c r="R415" s="57"/>
      <c r="S415" s="57"/>
      <c r="T415" s="57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</row>
    <row r="416" spans="1:30">
      <c r="A416" s="37"/>
      <c r="B416" s="52"/>
      <c r="C416" s="26"/>
      <c r="D416" s="26"/>
      <c r="E416" s="26"/>
      <c r="F416" s="26"/>
      <c r="G416" s="26"/>
      <c r="H416" s="26"/>
      <c r="I416" s="26"/>
      <c r="J416" s="26"/>
      <c r="K416" s="26"/>
      <c r="L416" s="26">
        <v>19</v>
      </c>
      <c r="M416" s="26">
        <v>19</v>
      </c>
      <c r="N416" s="56"/>
      <c r="O416" s="56"/>
      <c r="P416" s="57"/>
      <c r="Q416" s="56"/>
      <c r="R416" s="57"/>
      <c r="S416" s="57"/>
      <c r="T416" s="57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</row>
    <row r="417" spans="1:30">
      <c r="A417" s="36"/>
      <c r="B417" s="52"/>
      <c r="C417" s="26"/>
      <c r="D417" s="26"/>
      <c r="E417" s="26"/>
      <c r="F417" s="26"/>
      <c r="G417" s="26"/>
      <c r="H417" s="26"/>
      <c r="I417" s="26"/>
      <c r="J417" s="26"/>
      <c r="K417" s="26"/>
      <c r="L417" s="26">
        <v>19</v>
      </c>
      <c r="M417" s="26">
        <v>19</v>
      </c>
      <c r="N417" s="56"/>
      <c r="O417" s="56"/>
      <c r="P417" s="57"/>
      <c r="Q417" s="56"/>
      <c r="R417" s="57"/>
      <c r="S417" s="57"/>
      <c r="T417" s="57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</row>
    <row r="418" spans="1:30">
      <c r="A418" s="37"/>
      <c r="B418" s="52"/>
      <c r="C418" s="26"/>
      <c r="D418" s="26"/>
      <c r="E418" s="26"/>
      <c r="F418" s="26"/>
      <c r="G418" s="26"/>
      <c r="H418" s="26"/>
      <c r="I418" s="26"/>
      <c r="J418" s="26"/>
      <c r="K418" s="26"/>
      <c r="L418" s="26">
        <v>19</v>
      </c>
      <c r="M418" s="26">
        <v>19</v>
      </c>
      <c r="N418" s="56"/>
      <c r="O418" s="56"/>
      <c r="P418" s="57"/>
      <c r="Q418" s="56"/>
      <c r="R418" s="57"/>
      <c r="S418" s="57"/>
      <c r="T418" s="57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</row>
    <row r="419" spans="1:30">
      <c r="A419" s="36"/>
      <c r="B419" s="51"/>
      <c r="C419" s="34"/>
      <c r="D419" s="34"/>
      <c r="E419" s="34"/>
      <c r="F419" s="34"/>
      <c r="G419" s="34"/>
      <c r="H419" s="34"/>
      <c r="I419" s="34"/>
      <c r="J419" s="34"/>
      <c r="K419" s="34"/>
      <c r="L419" s="34">
        <v>19</v>
      </c>
      <c r="M419" s="34">
        <v>19</v>
      </c>
      <c r="N419" s="56"/>
      <c r="O419" s="56"/>
      <c r="P419" s="57"/>
      <c r="Q419" s="56"/>
      <c r="R419" s="57"/>
      <c r="S419" s="57"/>
      <c r="T419" s="57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</row>
    <row r="420" spans="1:30">
      <c r="A420" s="37"/>
      <c r="B420" s="50"/>
      <c r="C420" s="31"/>
      <c r="D420" s="31"/>
      <c r="E420" s="31"/>
      <c r="F420" s="31"/>
      <c r="G420" s="31"/>
      <c r="H420" s="31"/>
      <c r="I420" s="31"/>
      <c r="J420" s="31"/>
      <c r="K420" s="31"/>
      <c r="L420" s="31">
        <v>19</v>
      </c>
      <c r="M420" s="31">
        <v>19</v>
      </c>
      <c r="N420" s="56"/>
      <c r="O420" s="56"/>
      <c r="P420" s="57"/>
      <c r="Q420" s="56"/>
      <c r="R420" s="57"/>
      <c r="S420" s="57"/>
      <c r="T420" s="57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欄開關_斷面參數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542925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欄開關_頂版加勁鈑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0</xdr:col>
                    <xdr:colOff>1095375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欄開關_底版加勁鈑">
                <anchor moveWithCells="1" sizeWithCells="1">
                  <from>
                    <xdr:col>0</xdr:col>
                    <xdr:colOff>1114425</xdr:colOff>
                    <xdr:row>0</xdr:row>
                    <xdr:rowOff>0</xdr:rowOff>
                  </from>
                  <to>
                    <xdr:col>1</xdr:col>
                    <xdr:colOff>266700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4</vt:i4>
      </vt:variant>
    </vt:vector>
  </HeadingPairs>
  <TitlesOfParts>
    <vt:vector size="8" baseType="lpstr">
      <vt:lpstr>鋼床鈑</vt:lpstr>
      <vt:lpstr>加勁鈑</vt:lpstr>
      <vt:lpstr>斷面性質</vt:lpstr>
      <vt:lpstr>FV檢討</vt:lpstr>
      <vt:lpstr>底版加勁鈑配置</vt:lpstr>
      <vt:lpstr>頂版加勁鈑配置</vt:lpstr>
      <vt:lpstr>FV檢討!斷面參數</vt:lpstr>
      <vt:lpstr>斷面參數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第一結構部 魏星池(華光借調)</dc:creator>
  <cp:lastModifiedBy>SA 第一結構部 魏星池(華光借調)</cp:lastModifiedBy>
  <dcterms:created xsi:type="dcterms:W3CDTF">2025-02-17T09:04:16Z</dcterms:created>
  <dcterms:modified xsi:type="dcterms:W3CDTF">2025-03-05T07:28:58Z</dcterms:modified>
</cp:coreProperties>
</file>