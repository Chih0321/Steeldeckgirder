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D:\Users\63427\Desktop\Code\鋼床鈑\Steeldeckgirder\"/>
    </mc:Choice>
  </mc:AlternateContent>
  <xr:revisionPtr revIDLastSave="0" documentId="13_ncr:1_{0747062D-65DC-408F-B9B2-ECCD5B5F59C3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鋼床鈑" sheetId="1" r:id="rId1"/>
    <sheet name="加勁鈑" sheetId="2" r:id="rId2"/>
    <sheet name="斷面性質" sheetId="3" r:id="rId3"/>
  </sheets>
  <definedNames>
    <definedName name="底版加勁鈑配置">鋼床鈑!$V:$AA</definedName>
    <definedName name="頂版加勁鈑配置">鋼床鈑!$P:$U</definedName>
    <definedName name="斷面參數">鋼床鈑!$C:$O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4" i="3" l="1"/>
  <c r="AA5" i="3"/>
  <c r="AA6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3" i="3"/>
  <c r="Z3" i="3"/>
  <c r="Z4" i="3"/>
  <c r="Z5" i="3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AB5" i="3" l="1"/>
  <c r="AC5" i="3"/>
  <c r="AD5" i="3"/>
  <c r="AE5" i="3"/>
  <c r="AF5" i="3"/>
  <c r="AG5" i="3"/>
  <c r="AH5" i="3"/>
  <c r="V5" i="3" s="1"/>
  <c r="AI5" i="3"/>
  <c r="X5" i="3" s="1"/>
  <c r="V6" i="3"/>
  <c r="W6" i="3"/>
  <c r="Y6" i="3"/>
  <c r="AB6" i="3"/>
  <c r="AC6" i="3"/>
  <c r="AD6" i="3"/>
  <c r="AE6" i="3"/>
  <c r="AF6" i="3"/>
  <c r="AG6" i="3"/>
  <c r="AH6" i="3"/>
  <c r="AJ6" i="3" s="1"/>
  <c r="AI6" i="3"/>
  <c r="AK6" i="3" s="1"/>
  <c r="V7" i="3"/>
  <c r="W7" i="3"/>
  <c r="Y7" i="3"/>
  <c r="AB7" i="3"/>
  <c r="AC7" i="3"/>
  <c r="AD7" i="3"/>
  <c r="AE7" i="3"/>
  <c r="AF7" i="3"/>
  <c r="AG7" i="3"/>
  <c r="AH7" i="3"/>
  <c r="AJ7" i="3" s="1"/>
  <c r="AI7" i="3"/>
  <c r="AK7" i="3" s="1"/>
  <c r="V8" i="3"/>
  <c r="W8" i="3"/>
  <c r="Y8" i="3"/>
  <c r="AB8" i="3"/>
  <c r="AC8" i="3"/>
  <c r="AD8" i="3"/>
  <c r="AE8" i="3"/>
  <c r="AF8" i="3"/>
  <c r="AG8" i="3"/>
  <c r="AH8" i="3"/>
  <c r="AJ8" i="3" s="1"/>
  <c r="AI8" i="3"/>
  <c r="AK8" i="3" s="1"/>
  <c r="V9" i="3"/>
  <c r="W9" i="3"/>
  <c r="Y9" i="3"/>
  <c r="AB9" i="3"/>
  <c r="AC9" i="3"/>
  <c r="AD9" i="3"/>
  <c r="AE9" i="3"/>
  <c r="AF9" i="3"/>
  <c r="AG9" i="3"/>
  <c r="AH9" i="3"/>
  <c r="AJ9" i="3" s="1"/>
  <c r="AI9" i="3"/>
  <c r="AK9" i="3" s="1"/>
  <c r="V10" i="3"/>
  <c r="W10" i="3"/>
  <c r="Y10" i="3"/>
  <c r="AB10" i="3"/>
  <c r="AC10" i="3"/>
  <c r="AD10" i="3"/>
  <c r="AE10" i="3"/>
  <c r="AF10" i="3"/>
  <c r="AG10" i="3"/>
  <c r="AH10" i="3"/>
  <c r="AJ10" i="3" s="1"/>
  <c r="AI10" i="3"/>
  <c r="AK10" i="3" s="1"/>
  <c r="V11" i="3"/>
  <c r="W11" i="3"/>
  <c r="Y11" i="3"/>
  <c r="AB11" i="3"/>
  <c r="AC11" i="3"/>
  <c r="AD11" i="3"/>
  <c r="AE11" i="3"/>
  <c r="AF11" i="3"/>
  <c r="AG11" i="3"/>
  <c r="AH11" i="3"/>
  <c r="AJ11" i="3" s="1"/>
  <c r="AI11" i="3"/>
  <c r="AK11" i="3" s="1"/>
  <c r="V12" i="3"/>
  <c r="W12" i="3"/>
  <c r="Y12" i="3"/>
  <c r="AB12" i="3"/>
  <c r="AC12" i="3"/>
  <c r="AD12" i="3"/>
  <c r="AE12" i="3"/>
  <c r="AF12" i="3"/>
  <c r="AG12" i="3"/>
  <c r="AH12" i="3"/>
  <c r="AJ12" i="3" s="1"/>
  <c r="AI12" i="3"/>
  <c r="AK12" i="3" s="1"/>
  <c r="V13" i="3"/>
  <c r="W13" i="3"/>
  <c r="Y13" i="3"/>
  <c r="AB13" i="3"/>
  <c r="AC13" i="3"/>
  <c r="AD13" i="3"/>
  <c r="AE13" i="3"/>
  <c r="AF13" i="3"/>
  <c r="AG13" i="3"/>
  <c r="AH13" i="3"/>
  <c r="AJ13" i="3" s="1"/>
  <c r="AI13" i="3"/>
  <c r="AK13" i="3" s="1"/>
  <c r="V14" i="3"/>
  <c r="W14" i="3"/>
  <c r="Y14" i="3"/>
  <c r="AB14" i="3"/>
  <c r="AC14" i="3"/>
  <c r="AD14" i="3"/>
  <c r="AE14" i="3"/>
  <c r="AF14" i="3"/>
  <c r="AG14" i="3"/>
  <c r="AH14" i="3"/>
  <c r="AJ14" i="3" s="1"/>
  <c r="AI14" i="3"/>
  <c r="AK14" i="3" s="1"/>
  <c r="V15" i="3"/>
  <c r="W15" i="3"/>
  <c r="Y15" i="3"/>
  <c r="AB15" i="3"/>
  <c r="AC15" i="3"/>
  <c r="AD15" i="3"/>
  <c r="AE15" i="3"/>
  <c r="AF15" i="3"/>
  <c r="AG15" i="3"/>
  <c r="AH15" i="3"/>
  <c r="AJ15" i="3" s="1"/>
  <c r="AI15" i="3"/>
  <c r="AK15" i="3" s="1"/>
  <c r="V16" i="3"/>
  <c r="W16" i="3"/>
  <c r="Y16" i="3"/>
  <c r="AB16" i="3"/>
  <c r="AC16" i="3"/>
  <c r="AD16" i="3"/>
  <c r="AE16" i="3"/>
  <c r="AF16" i="3"/>
  <c r="AG16" i="3"/>
  <c r="AH16" i="3"/>
  <c r="AJ16" i="3" s="1"/>
  <c r="AI16" i="3"/>
  <c r="AK16" i="3" s="1"/>
  <c r="V17" i="3"/>
  <c r="W17" i="3"/>
  <c r="Y17" i="3"/>
  <c r="AB17" i="3"/>
  <c r="AC17" i="3"/>
  <c r="AD17" i="3"/>
  <c r="AE17" i="3"/>
  <c r="AF17" i="3"/>
  <c r="AG17" i="3"/>
  <c r="AH17" i="3"/>
  <c r="AJ17" i="3" s="1"/>
  <c r="AI17" i="3"/>
  <c r="AK17" i="3" s="1"/>
  <c r="V18" i="3"/>
  <c r="W18" i="3"/>
  <c r="Y18" i="3"/>
  <c r="AB18" i="3"/>
  <c r="AC18" i="3"/>
  <c r="AD18" i="3"/>
  <c r="AE18" i="3"/>
  <c r="AF18" i="3"/>
  <c r="AG18" i="3"/>
  <c r="AH18" i="3"/>
  <c r="AI18" i="3"/>
  <c r="AK18" i="3" s="1"/>
  <c r="AJ18" i="3"/>
  <c r="V19" i="3"/>
  <c r="W19" i="3"/>
  <c r="X19" i="3"/>
  <c r="Y19" i="3"/>
  <c r="AB19" i="3"/>
  <c r="AC19" i="3"/>
  <c r="AD19" i="3"/>
  <c r="AE19" i="3"/>
  <c r="AF19" i="3"/>
  <c r="AG19" i="3"/>
  <c r="AH19" i="3"/>
  <c r="AI19" i="3"/>
  <c r="AJ19" i="3"/>
  <c r="AK19" i="3"/>
  <c r="V20" i="3"/>
  <c r="W20" i="3"/>
  <c r="X20" i="3"/>
  <c r="Y20" i="3"/>
  <c r="AB20" i="3"/>
  <c r="AC20" i="3"/>
  <c r="AD20" i="3"/>
  <c r="AE20" i="3"/>
  <c r="AF20" i="3"/>
  <c r="AG20" i="3"/>
  <c r="AH20" i="3"/>
  <c r="AI20" i="3"/>
  <c r="AJ20" i="3"/>
  <c r="AK20" i="3"/>
  <c r="V21" i="3"/>
  <c r="W21" i="3"/>
  <c r="X21" i="3"/>
  <c r="Y21" i="3"/>
  <c r="AB21" i="3"/>
  <c r="AC21" i="3"/>
  <c r="AD21" i="3"/>
  <c r="AE21" i="3"/>
  <c r="AF21" i="3"/>
  <c r="AG21" i="3"/>
  <c r="AH21" i="3"/>
  <c r="AI21" i="3"/>
  <c r="AK21" i="3" s="1"/>
  <c r="AJ21" i="3"/>
  <c r="W22" i="3"/>
  <c r="X22" i="3"/>
  <c r="Y22" i="3"/>
  <c r="AB22" i="3"/>
  <c r="AC22" i="3"/>
  <c r="AD22" i="3"/>
  <c r="AE22" i="3"/>
  <c r="AF22" i="3"/>
  <c r="AG22" i="3"/>
  <c r="AH22" i="3"/>
  <c r="AI22" i="3"/>
  <c r="AK22" i="3" s="1"/>
  <c r="AB23" i="3"/>
  <c r="AC23" i="3"/>
  <c r="AD23" i="3"/>
  <c r="AE23" i="3"/>
  <c r="AF23" i="3"/>
  <c r="AG23" i="3"/>
  <c r="AH23" i="3"/>
  <c r="AI23" i="3"/>
  <c r="AK23" i="3" s="1"/>
  <c r="AB24" i="3"/>
  <c r="AC24" i="3"/>
  <c r="AD24" i="3"/>
  <c r="AE24" i="3"/>
  <c r="AF24" i="3"/>
  <c r="AG24" i="3"/>
  <c r="AH24" i="3"/>
  <c r="AI24" i="3"/>
  <c r="AK24" i="3" s="1"/>
  <c r="AJ24" i="3"/>
  <c r="W25" i="3"/>
  <c r="AB25" i="3"/>
  <c r="AC25" i="3"/>
  <c r="AD25" i="3"/>
  <c r="AE25" i="3"/>
  <c r="AF25" i="3"/>
  <c r="AG25" i="3"/>
  <c r="AH25" i="3"/>
  <c r="V25" i="3" s="1"/>
  <c r="AI25" i="3"/>
  <c r="AK25" i="3" s="1"/>
  <c r="AJ25" i="3"/>
  <c r="X26" i="3"/>
  <c r="Y26" i="3"/>
  <c r="AB26" i="3"/>
  <c r="AC26" i="3"/>
  <c r="AD26" i="3"/>
  <c r="AE26" i="3"/>
  <c r="AF26" i="3"/>
  <c r="AG26" i="3"/>
  <c r="AH26" i="3"/>
  <c r="V26" i="3" s="1"/>
  <c r="AI26" i="3"/>
  <c r="AK26" i="3" s="1"/>
  <c r="W27" i="3"/>
  <c r="X27" i="3"/>
  <c r="Y27" i="3"/>
  <c r="AB27" i="3"/>
  <c r="AC27" i="3"/>
  <c r="AD27" i="3"/>
  <c r="AE27" i="3"/>
  <c r="AF27" i="3"/>
  <c r="AG27" i="3"/>
  <c r="AH27" i="3"/>
  <c r="V27" i="3" s="1"/>
  <c r="AI27" i="3"/>
  <c r="AK27" i="3" s="1"/>
  <c r="W28" i="3"/>
  <c r="X28" i="3"/>
  <c r="Y28" i="3"/>
  <c r="AB28" i="3"/>
  <c r="AC28" i="3"/>
  <c r="AD28" i="3"/>
  <c r="AE28" i="3"/>
  <c r="AF28" i="3"/>
  <c r="AG28" i="3"/>
  <c r="AH28" i="3"/>
  <c r="V28" i="3" s="1"/>
  <c r="AI28" i="3"/>
  <c r="AK28" i="3" s="1"/>
  <c r="AB29" i="3"/>
  <c r="AC29" i="3"/>
  <c r="AD29" i="3"/>
  <c r="AE29" i="3"/>
  <c r="AF29" i="3"/>
  <c r="AG29" i="3"/>
  <c r="AH29" i="3"/>
  <c r="V29" i="3" s="1"/>
  <c r="AI29" i="3"/>
  <c r="AK29" i="3" s="1"/>
  <c r="W30" i="3"/>
  <c r="AB30" i="3"/>
  <c r="AC30" i="3"/>
  <c r="AD30" i="3"/>
  <c r="AE30" i="3"/>
  <c r="AF30" i="3"/>
  <c r="AG30" i="3"/>
  <c r="AH30" i="3"/>
  <c r="V30" i="3" s="1"/>
  <c r="AI30" i="3"/>
  <c r="AJ30" i="3"/>
  <c r="W31" i="3"/>
  <c r="X31" i="3"/>
  <c r="Y31" i="3"/>
  <c r="AB31" i="3"/>
  <c r="AC31" i="3"/>
  <c r="AD31" i="3"/>
  <c r="AE31" i="3"/>
  <c r="AF31" i="3"/>
  <c r="AG31" i="3"/>
  <c r="AH31" i="3"/>
  <c r="V31" i="3" s="1"/>
  <c r="AI31" i="3"/>
  <c r="AK31" i="3" s="1"/>
  <c r="AB32" i="3"/>
  <c r="AC32" i="3"/>
  <c r="AD32" i="3"/>
  <c r="AE32" i="3"/>
  <c r="AF32" i="3"/>
  <c r="AG32" i="3"/>
  <c r="AH32" i="3"/>
  <c r="V32" i="3" s="1"/>
  <c r="AI32" i="3"/>
  <c r="AK32" i="3" s="1"/>
  <c r="AB33" i="3"/>
  <c r="AC33" i="3"/>
  <c r="AD33" i="3"/>
  <c r="AE33" i="3"/>
  <c r="AF33" i="3"/>
  <c r="AG33" i="3"/>
  <c r="AH33" i="3"/>
  <c r="V33" i="3" s="1"/>
  <c r="AI33" i="3"/>
  <c r="AK33" i="3" s="1"/>
  <c r="AJ33" i="3"/>
  <c r="W34" i="3"/>
  <c r="X34" i="3"/>
  <c r="AB34" i="3"/>
  <c r="AC34" i="3"/>
  <c r="AD34" i="3"/>
  <c r="AE34" i="3"/>
  <c r="AF34" i="3"/>
  <c r="AG34" i="3"/>
  <c r="AH34" i="3"/>
  <c r="V34" i="3" s="1"/>
  <c r="AI34" i="3"/>
  <c r="Y34" i="3" s="1"/>
  <c r="AB35" i="3"/>
  <c r="AC35" i="3"/>
  <c r="AD35" i="3"/>
  <c r="AE35" i="3"/>
  <c r="AF35" i="3"/>
  <c r="AG35" i="3"/>
  <c r="AH35" i="3"/>
  <c r="V35" i="3" s="1"/>
  <c r="AI35" i="3"/>
  <c r="AB36" i="3"/>
  <c r="AC36" i="3"/>
  <c r="AD36" i="3"/>
  <c r="AE36" i="3"/>
  <c r="AF36" i="3"/>
  <c r="AG36" i="3"/>
  <c r="AH36" i="3"/>
  <c r="V36" i="3" s="1"/>
  <c r="AI36" i="3"/>
  <c r="AK36" i="3" s="1"/>
  <c r="AJ36" i="3"/>
  <c r="W37" i="3"/>
  <c r="Y37" i="3"/>
  <c r="AB37" i="3"/>
  <c r="AC37" i="3"/>
  <c r="AD37" i="3"/>
  <c r="AE37" i="3"/>
  <c r="AF37" i="3"/>
  <c r="AG37" i="3"/>
  <c r="AH37" i="3"/>
  <c r="V37" i="3" s="1"/>
  <c r="AI37" i="3"/>
  <c r="AK37" i="3" s="1"/>
  <c r="AJ37" i="3"/>
  <c r="W38" i="3"/>
  <c r="AB38" i="3"/>
  <c r="AC38" i="3"/>
  <c r="AD38" i="3"/>
  <c r="AE38" i="3"/>
  <c r="AF38" i="3"/>
  <c r="AG38" i="3"/>
  <c r="AH38" i="3"/>
  <c r="V38" i="3" s="1"/>
  <c r="AI38" i="3"/>
  <c r="AB39" i="3"/>
  <c r="AC39" i="3"/>
  <c r="AD39" i="3"/>
  <c r="AE39" i="3"/>
  <c r="AF39" i="3"/>
  <c r="AG39" i="3"/>
  <c r="AH39" i="3"/>
  <c r="V39" i="3" s="1"/>
  <c r="AI39" i="3"/>
  <c r="AK39" i="3" s="1"/>
  <c r="AJ39" i="3"/>
  <c r="W40" i="3"/>
  <c r="AB40" i="3"/>
  <c r="AC40" i="3"/>
  <c r="AD40" i="3"/>
  <c r="AE40" i="3"/>
  <c r="AF40" i="3"/>
  <c r="AG40" i="3"/>
  <c r="AH40" i="3"/>
  <c r="V40" i="3" s="1"/>
  <c r="AI40" i="3"/>
  <c r="AK40" i="3" s="1"/>
  <c r="W41" i="3"/>
  <c r="X41" i="3"/>
  <c r="AB41" i="3"/>
  <c r="AC41" i="3"/>
  <c r="AD41" i="3"/>
  <c r="AE41" i="3"/>
  <c r="AF41" i="3"/>
  <c r="AG41" i="3"/>
  <c r="AH41" i="3"/>
  <c r="V41" i="3" s="1"/>
  <c r="AI41" i="3"/>
  <c r="AK41" i="3" s="1"/>
  <c r="AJ41" i="3"/>
  <c r="X42" i="3"/>
  <c r="Y42" i="3"/>
  <c r="AB42" i="3"/>
  <c r="AC42" i="3"/>
  <c r="AD42" i="3"/>
  <c r="AE42" i="3"/>
  <c r="AF42" i="3"/>
  <c r="AG42" i="3"/>
  <c r="AH42" i="3"/>
  <c r="V42" i="3" s="1"/>
  <c r="AI42" i="3"/>
  <c r="AK42" i="3" s="1"/>
  <c r="AB43" i="3"/>
  <c r="AC43" i="3"/>
  <c r="AD43" i="3"/>
  <c r="AE43" i="3"/>
  <c r="AF43" i="3"/>
  <c r="AG43" i="3"/>
  <c r="AH43" i="3"/>
  <c r="AI43" i="3"/>
  <c r="W44" i="3"/>
  <c r="X44" i="3"/>
  <c r="Y44" i="3"/>
  <c r="AB44" i="3"/>
  <c r="AC44" i="3"/>
  <c r="AD44" i="3"/>
  <c r="AE44" i="3"/>
  <c r="AF44" i="3"/>
  <c r="AG44" i="3"/>
  <c r="AH44" i="3"/>
  <c r="AI44" i="3"/>
  <c r="AK44" i="3" s="1"/>
  <c r="AJ44" i="3"/>
  <c r="W45" i="3"/>
  <c r="X45" i="3"/>
  <c r="AB45" i="3"/>
  <c r="AC45" i="3"/>
  <c r="AD45" i="3"/>
  <c r="AE45" i="3"/>
  <c r="AF45" i="3"/>
  <c r="AG45" i="3"/>
  <c r="AH45" i="3"/>
  <c r="AJ45" i="3" s="1"/>
  <c r="AI45" i="3"/>
  <c r="AK45" i="3" s="1"/>
  <c r="AB46" i="3"/>
  <c r="AC46" i="3"/>
  <c r="AD46" i="3"/>
  <c r="AE46" i="3"/>
  <c r="AF46" i="3"/>
  <c r="AG46" i="3"/>
  <c r="AH46" i="3"/>
  <c r="W46" i="3" s="1"/>
  <c r="AI46" i="3"/>
  <c r="AJ46" i="3"/>
  <c r="W47" i="3"/>
  <c r="X47" i="3"/>
  <c r="AB47" i="3"/>
  <c r="AC47" i="3"/>
  <c r="AD47" i="3"/>
  <c r="AE47" i="3"/>
  <c r="AF47" i="3"/>
  <c r="AG47" i="3"/>
  <c r="AH47" i="3"/>
  <c r="AJ47" i="3" s="1"/>
  <c r="AI47" i="3"/>
  <c r="AK47" i="3" s="1"/>
  <c r="AB48" i="3"/>
  <c r="AC48" i="3"/>
  <c r="AD48" i="3"/>
  <c r="AE48" i="3"/>
  <c r="AF48" i="3"/>
  <c r="AG48" i="3"/>
  <c r="AH48" i="3"/>
  <c r="AJ48" i="3" s="1"/>
  <c r="AI48" i="3"/>
  <c r="AK48" i="3" s="1"/>
  <c r="AB49" i="3"/>
  <c r="AC49" i="3"/>
  <c r="AD49" i="3"/>
  <c r="AE49" i="3"/>
  <c r="AF49" i="3"/>
  <c r="AG49" i="3"/>
  <c r="AH49" i="3"/>
  <c r="W49" i="3" s="1"/>
  <c r="AI49" i="3"/>
  <c r="AK49" i="3" s="1"/>
  <c r="X50" i="3"/>
  <c r="Y50" i="3"/>
  <c r="AB50" i="3"/>
  <c r="AC50" i="3"/>
  <c r="AD50" i="3"/>
  <c r="AE50" i="3"/>
  <c r="AF50" i="3"/>
  <c r="AG50" i="3"/>
  <c r="AH50" i="3"/>
  <c r="W50" i="3" s="1"/>
  <c r="AI50" i="3"/>
  <c r="AB51" i="3"/>
  <c r="AC51" i="3"/>
  <c r="AD51" i="3"/>
  <c r="AE51" i="3"/>
  <c r="AF51" i="3"/>
  <c r="AG51" i="3"/>
  <c r="AH51" i="3"/>
  <c r="AJ51" i="3" s="1"/>
  <c r="AI51" i="3"/>
  <c r="W52" i="3"/>
  <c r="AB52" i="3"/>
  <c r="AC52" i="3"/>
  <c r="AD52" i="3"/>
  <c r="AE52" i="3"/>
  <c r="AF52" i="3"/>
  <c r="AG52" i="3"/>
  <c r="AH52" i="3"/>
  <c r="AJ52" i="3" s="1"/>
  <c r="AI52" i="3"/>
  <c r="AK52" i="3" s="1"/>
  <c r="X53" i="3"/>
  <c r="Y53" i="3"/>
  <c r="AB53" i="3"/>
  <c r="AC53" i="3"/>
  <c r="AD53" i="3"/>
  <c r="AE53" i="3"/>
  <c r="AF53" i="3"/>
  <c r="AG53" i="3"/>
  <c r="AH53" i="3"/>
  <c r="W53" i="3" s="1"/>
  <c r="AI53" i="3"/>
  <c r="AK53" i="3" s="1"/>
  <c r="AB54" i="3"/>
  <c r="AC54" i="3"/>
  <c r="AD54" i="3"/>
  <c r="AE54" i="3"/>
  <c r="AF54" i="3"/>
  <c r="AG54" i="3"/>
  <c r="AH54" i="3"/>
  <c r="W54" i="3" s="1"/>
  <c r="AI54" i="3"/>
  <c r="AJ54" i="3"/>
  <c r="X55" i="3"/>
  <c r="AB55" i="3"/>
  <c r="AC55" i="3"/>
  <c r="AD55" i="3"/>
  <c r="AE55" i="3"/>
  <c r="AF55" i="3"/>
  <c r="AG55" i="3"/>
  <c r="AH55" i="3"/>
  <c r="AI55" i="3"/>
  <c r="AK55" i="3" s="1"/>
  <c r="X56" i="3"/>
  <c r="Y56" i="3"/>
  <c r="AB56" i="3"/>
  <c r="AC56" i="3"/>
  <c r="AD56" i="3"/>
  <c r="AE56" i="3"/>
  <c r="AF56" i="3"/>
  <c r="AG56" i="3"/>
  <c r="AH56" i="3"/>
  <c r="AJ56" i="3" s="1"/>
  <c r="AI56" i="3"/>
  <c r="AK56" i="3" s="1"/>
  <c r="AB57" i="3"/>
  <c r="AC57" i="3"/>
  <c r="AD57" i="3"/>
  <c r="AE57" i="3"/>
  <c r="AF57" i="3"/>
  <c r="AG57" i="3"/>
  <c r="AH57" i="3"/>
  <c r="W57" i="3" s="1"/>
  <c r="AI57" i="3"/>
  <c r="AK57" i="3" s="1"/>
  <c r="AJ57" i="3"/>
  <c r="X58" i="3"/>
  <c r="AB58" i="3"/>
  <c r="AC58" i="3"/>
  <c r="AD58" i="3"/>
  <c r="AE58" i="3"/>
  <c r="AF58" i="3"/>
  <c r="AG58" i="3"/>
  <c r="AH58" i="3"/>
  <c r="AI58" i="3"/>
  <c r="AK58" i="3" s="1"/>
  <c r="Y59" i="3"/>
  <c r="AB59" i="3"/>
  <c r="AC59" i="3"/>
  <c r="AD59" i="3"/>
  <c r="AE59" i="3"/>
  <c r="AF59" i="3"/>
  <c r="AG59" i="3"/>
  <c r="AH59" i="3"/>
  <c r="AJ59" i="3" s="1"/>
  <c r="AI59" i="3"/>
  <c r="AB60" i="3"/>
  <c r="AC60" i="3"/>
  <c r="AD60" i="3"/>
  <c r="AE60" i="3"/>
  <c r="AF60" i="3"/>
  <c r="AG60" i="3"/>
  <c r="AH60" i="3"/>
  <c r="W60" i="3" s="1"/>
  <c r="AI60" i="3"/>
  <c r="AK60" i="3" s="1"/>
  <c r="AB61" i="3"/>
  <c r="AC61" i="3"/>
  <c r="AD61" i="3"/>
  <c r="AE61" i="3"/>
  <c r="AF61" i="3"/>
  <c r="AG61" i="3"/>
  <c r="AH61" i="3"/>
  <c r="W61" i="3" s="1"/>
  <c r="AI61" i="3"/>
  <c r="AK61" i="3" s="1"/>
  <c r="AJ61" i="3"/>
  <c r="W62" i="3"/>
  <c r="AB62" i="3"/>
  <c r="AC62" i="3"/>
  <c r="AD62" i="3"/>
  <c r="AE62" i="3"/>
  <c r="AF62" i="3"/>
  <c r="AG62" i="3"/>
  <c r="AH62" i="3"/>
  <c r="AJ62" i="3" s="1"/>
  <c r="AI62" i="3"/>
  <c r="AB63" i="3"/>
  <c r="AC63" i="3"/>
  <c r="AD63" i="3"/>
  <c r="AE63" i="3"/>
  <c r="AF63" i="3"/>
  <c r="AG63" i="3"/>
  <c r="AH63" i="3"/>
  <c r="W63" i="3" s="1"/>
  <c r="AI63" i="3"/>
  <c r="Y63" i="3" s="1"/>
  <c r="AB64" i="3"/>
  <c r="AC64" i="3"/>
  <c r="AD64" i="3"/>
  <c r="AE64" i="3"/>
  <c r="AF64" i="3"/>
  <c r="AG64" i="3"/>
  <c r="AH64" i="3"/>
  <c r="AJ64" i="3" s="1"/>
  <c r="AI64" i="3"/>
  <c r="AK64" i="3" s="1"/>
  <c r="W65" i="3"/>
  <c r="AB65" i="3"/>
  <c r="AC65" i="3"/>
  <c r="AD65" i="3"/>
  <c r="AE65" i="3"/>
  <c r="AF65" i="3"/>
  <c r="AG65" i="3"/>
  <c r="AH65" i="3"/>
  <c r="AJ65" i="3" s="1"/>
  <c r="AI65" i="3"/>
  <c r="AK65" i="3" s="1"/>
  <c r="X66" i="3"/>
  <c r="Y66" i="3"/>
  <c r="AB66" i="3"/>
  <c r="AC66" i="3"/>
  <c r="AD66" i="3"/>
  <c r="AE66" i="3"/>
  <c r="AF66" i="3"/>
  <c r="AG66" i="3"/>
  <c r="AH66" i="3"/>
  <c r="AI66" i="3"/>
  <c r="AK66" i="3" s="1"/>
  <c r="AB67" i="3"/>
  <c r="AC67" i="3"/>
  <c r="AD67" i="3"/>
  <c r="AE67" i="3"/>
  <c r="AF67" i="3"/>
  <c r="AG67" i="3"/>
  <c r="AH67" i="3"/>
  <c r="AJ67" i="3" s="1"/>
  <c r="AI67" i="3"/>
  <c r="AK67" i="3" s="1"/>
  <c r="AB68" i="3"/>
  <c r="AC68" i="3"/>
  <c r="AD68" i="3"/>
  <c r="AE68" i="3"/>
  <c r="AF68" i="3"/>
  <c r="AG68" i="3"/>
  <c r="AH68" i="3"/>
  <c r="AJ68" i="3" s="1"/>
  <c r="AI68" i="3"/>
  <c r="W69" i="3"/>
  <c r="X69" i="3"/>
  <c r="Y69" i="3"/>
  <c r="AB69" i="3"/>
  <c r="AC69" i="3"/>
  <c r="AD69" i="3"/>
  <c r="AE69" i="3"/>
  <c r="AF69" i="3"/>
  <c r="AG69" i="3"/>
  <c r="AH69" i="3"/>
  <c r="V69" i="3" s="1"/>
  <c r="AI69" i="3"/>
  <c r="AK69" i="3" s="1"/>
  <c r="AJ69" i="3"/>
  <c r="AB70" i="3"/>
  <c r="AC70" i="3"/>
  <c r="AD70" i="3"/>
  <c r="AE70" i="3"/>
  <c r="AF70" i="3"/>
  <c r="AG70" i="3"/>
  <c r="AH70" i="3"/>
  <c r="V70" i="3" s="1"/>
  <c r="AI70" i="3"/>
  <c r="X70" i="3" s="1"/>
  <c r="AB71" i="3"/>
  <c r="AC71" i="3"/>
  <c r="AD71" i="3"/>
  <c r="AE71" i="3"/>
  <c r="AF71" i="3"/>
  <c r="AG71" i="3"/>
  <c r="AH71" i="3"/>
  <c r="AI71" i="3"/>
  <c r="W72" i="3"/>
  <c r="AB72" i="3"/>
  <c r="AC72" i="3"/>
  <c r="AD72" i="3"/>
  <c r="AE72" i="3"/>
  <c r="AF72" i="3"/>
  <c r="AG72" i="3"/>
  <c r="AH72" i="3"/>
  <c r="V72" i="3" s="1"/>
  <c r="AI72" i="3"/>
  <c r="AB73" i="3"/>
  <c r="AC73" i="3"/>
  <c r="AD73" i="3"/>
  <c r="AE73" i="3"/>
  <c r="AF73" i="3"/>
  <c r="AG73" i="3"/>
  <c r="AH73" i="3"/>
  <c r="V73" i="3" s="1"/>
  <c r="AI73" i="3"/>
  <c r="Y73" i="3" s="1"/>
  <c r="AJ73" i="3"/>
  <c r="W74" i="3"/>
  <c r="X74" i="3"/>
  <c r="AB74" i="3"/>
  <c r="AC74" i="3"/>
  <c r="AD74" i="3"/>
  <c r="AE74" i="3"/>
  <c r="AF74" i="3"/>
  <c r="AG74" i="3"/>
  <c r="AH74" i="3"/>
  <c r="AI74" i="3"/>
  <c r="AK74" i="3" s="1"/>
  <c r="AB75" i="3"/>
  <c r="AC75" i="3"/>
  <c r="AD75" i="3"/>
  <c r="AE75" i="3"/>
  <c r="AF75" i="3"/>
  <c r="AG75" i="3"/>
  <c r="AH75" i="3"/>
  <c r="AI75" i="3"/>
  <c r="AB76" i="3"/>
  <c r="AC76" i="3"/>
  <c r="AD76" i="3"/>
  <c r="AE76" i="3"/>
  <c r="AF76" i="3"/>
  <c r="AG76" i="3"/>
  <c r="AH76" i="3"/>
  <c r="AJ76" i="3" s="1"/>
  <c r="AI76" i="3"/>
  <c r="Y76" i="3" s="1"/>
  <c r="X77" i="3"/>
  <c r="Y77" i="3"/>
  <c r="AB77" i="3"/>
  <c r="AC77" i="3"/>
  <c r="AD77" i="3"/>
  <c r="AE77" i="3"/>
  <c r="AF77" i="3"/>
  <c r="AG77" i="3"/>
  <c r="AH77" i="3"/>
  <c r="V77" i="3" s="1"/>
  <c r="AI77" i="3"/>
  <c r="AK77" i="3" s="1"/>
  <c r="W78" i="3"/>
  <c r="AB78" i="3"/>
  <c r="AC78" i="3"/>
  <c r="AD78" i="3"/>
  <c r="AE78" i="3"/>
  <c r="AF78" i="3"/>
  <c r="AG78" i="3"/>
  <c r="AH78" i="3"/>
  <c r="V78" i="3" s="1"/>
  <c r="AI78" i="3"/>
  <c r="X78" i="3" s="1"/>
  <c r="AB79" i="3"/>
  <c r="AC79" i="3"/>
  <c r="AD79" i="3"/>
  <c r="AE79" i="3"/>
  <c r="AF79" i="3"/>
  <c r="AG79" i="3"/>
  <c r="AH79" i="3"/>
  <c r="AI79" i="3"/>
  <c r="AB80" i="3"/>
  <c r="AC80" i="3"/>
  <c r="AD80" i="3"/>
  <c r="AE80" i="3"/>
  <c r="AF80" i="3"/>
  <c r="AG80" i="3"/>
  <c r="AH80" i="3"/>
  <c r="V80" i="3" s="1"/>
  <c r="AI80" i="3"/>
  <c r="Y81" i="3"/>
  <c r="AB81" i="3"/>
  <c r="AC81" i="3"/>
  <c r="AD81" i="3"/>
  <c r="AE81" i="3"/>
  <c r="AF81" i="3"/>
  <c r="AG81" i="3"/>
  <c r="AH81" i="3"/>
  <c r="V81" i="3" s="1"/>
  <c r="AI81" i="3"/>
  <c r="AB82" i="3"/>
  <c r="AC82" i="3"/>
  <c r="AD82" i="3"/>
  <c r="AE82" i="3"/>
  <c r="AF82" i="3"/>
  <c r="AG82" i="3"/>
  <c r="AH82" i="3"/>
  <c r="W82" i="3" s="1"/>
  <c r="AI82" i="3"/>
  <c r="AK82" i="3" s="1"/>
  <c r="X83" i="3"/>
  <c r="Y83" i="3"/>
  <c r="AB83" i="3"/>
  <c r="AC83" i="3"/>
  <c r="AD83" i="3"/>
  <c r="AE83" i="3"/>
  <c r="AF83" i="3"/>
  <c r="AG83" i="3"/>
  <c r="AH83" i="3"/>
  <c r="AI83" i="3"/>
  <c r="AK83" i="3" s="1"/>
  <c r="AB84" i="3"/>
  <c r="AC84" i="3"/>
  <c r="AD84" i="3"/>
  <c r="AE84" i="3"/>
  <c r="AF84" i="3"/>
  <c r="AG84" i="3"/>
  <c r="AH84" i="3"/>
  <c r="AI84" i="3"/>
  <c r="AB85" i="3"/>
  <c r="AC85" i="3"/>
  <c r="AD85" i="3"/>
  <c r="AE85" i="3"/>
  <c r="AF85" i="3"/>
  <c r="AG85" i="3"/>
  <c r="AH85" i="3"/>
  <c r="V85" i="3" s="1"/>
  <c r="AI85" i="3"/>
  <c r="AK85" i="3" s="1"/>
  <c r="W86" i="3"/>
  <c r="X86" i="3"/>
  <c r="Y86" i="3"/>
  <c r="AB86" i="3"/>
  <c r="AC86" i="3"/>
  <c r="AD86" i="3"/>
  <c r="AE86" i="3"/>
  <c r="AF86" i="3"/>
  <c r="AG86" i="3"/>
  <c r="AH86" i="3"/>
  <c r="V86" i="3" s="1"/>
  <c r="AI86" i="3"/>
  <c r="AB87" i="3"/>
  <c r="AC87" i="3"/>
  <c r="AD87" i="3"/>
  <c r="AE87" i="3"/>
  <c r="AF87" i="3"/>
  <c r="AG87" i="3"/>
  <c r="AH87" i="3"/>
  <c r="AI87" i="3"/>
  <c r="AK87" i="3" s="1"/>
  <c r="AB88" i="3"/>
  <c r="AC88" i="3"/>
  <c r="AD88" i="3"/>
  <c r="AE88" i="3"/>
  <c r="AF88" i="3"/>
  <c r="AG88" i="3"/>
  <c r="AH88" i="3"/>
  <c r="AJ88" i="3" s="1"/>
  <c r="AI88" i="3"/>
  <c r="W89" i="3"/>
  <c r="AB89" i="3"/>
  <c r="AC89" i="3"/>
  <c r="AD89" i="3"/>
  <c r="AE89" i="3"/>
  <c r="AF89" i="3"/>
  <c r="AG89" i="3"/>
  <c r="AH89" i="3"/>
  <c r="V89" i="3" s="1"/>
  <c r="AI89" i="3"/>
  <c r="AJ89" i="3"/>
  <c r="W90" i="3"/>
  <c r="X90" i="3"/>
  <c r="Y90" i="3"/>
  <c r="AB90" i="3"/>
  <c r="AC90" i="3"/>
  <c r="AD90" i="3"/>
  <c r="AE90" i="3"/>
  <c r="AF90" i="3"/>
  <c r="AG90" i="3"/>
  <c r="AH90" i="3"/>
  <c r="AI90" i="3"/>
  <c r="AK90" i="3" s="1"/>
  <c r="AB91" i="3"/>
  <c r="AC91" i="3"/>
  <c r="AD91" i="3"/>
  <c r="AE91" i="3"/>
  <c r="AF91" i="3"/>
  <c r="AG91" i="3"/>
  <c r="AH91" i="3"/>
  <c r="AI91" i="3"/>
  <c r="Y91" i="3" s="1"/>
  <c r="AJ91" i="3"/>
  <c r="Y92" i="3"/>
  <c r="AB92" i="3"/>
  <c r="AC92" i="3"/>
  <c r="AD92" i="3"/>
  <c r="AE92" i="3"/>
  <c r="AF92" i="3"/>
  <c r="AG92" i="3"/>
  <c r="AH92" i="3"/>
  <c r="AI92" i="3"/>
  <c r="W93" i="3"/>
  <c r="X93" i="3"/>
  <c r="Y93" i="3"/>
  <c r="AB93" i="3"/>
  <c r="AC93" i="3"/>
  <c r="AD93" i="3"/>
  <c r="AE93" i="3"/>
  <c r="AF93" i="3"/>
  <c r="AG93" i="3"/>
  <c r="AH93" i="3"/>
  <c r="V93" i="3" s="1"/>
  <c r="AI93" i="3"/>
  <c r="AK93" i="3" s="1"/>
  <c r="AB94" i="3"/>
  <c r="AC94" i="3"/>
  <c r="AD94" i="3"/>
  <c r="AE94" i="3"/>
  <c r="AF94" i="3"/>
  <c r="AG94" i="3"/>
  <c r="AH94" i="3"/>
  <c r="V94" i="3" s="1"/>
  <c r="AI94" i="3"/>
  <c r="AB95" i="3"/>
  <c r="AC95" i="3"/>
  <c r="AD95" i="3"/>
  <c r="AE95" i="3"/>
  <c r="AF95" i="3"/>
  <c r="AG95" i="3"/>
  <c r="AH95" i="3"/>
  <c r="AI95" i="3"/>
  <c r="AK95" i="3" s="1"/>
  <c r="AB96" i="3"/>
  <c r="AC96" i="3"/>
  <c r="AD96" i="3"/>
  <c r="AE96" i="3"/>
  <c r="AF96" i="3"/>
  <c r="AG96" i="3"/>
  <c r="AH96" i="3"/>
  <c r="V96" i="3" s="1"/>
  <c r="AI96" i="3"/>
  <c r="AJ96" i="3"/>
  <c r="Y97" i="3"/>
  <c r="AB97" i="3"/>
  <c r="AC97" i="3"/>
  <c r="AD97" i="3"/>
  <c r="AE97" i="3"/>
  <c r="AF97" i="3"/>
  <c r="AG97" i="3"/>
  <c r="AH97" i="3"/>
  <c r="V97" i="3" s="1"/>
  <c r="AI97" i="3"/>
  <c r="AB98" i="3"/>
  <c r="AC98" i="3"/>
  <c r="AD98" i="3"/>
  <c r="AE98" i="3"/>
  <c r="AF98" i="3"/>
  <c r="AG98" i="3"/>
  <c r="AH98" i="3"/>
  <c r="AI98" i="3"/>
  <c r="AK98" i="3" s="1"/>
  <c r="W99" i="3"/>
  <c r="X99" i="3"/>
  <c r="Y99" i="3"/>
  <c r="AB99" i="3"/>
  <c r="AC99" i="3"/>
  <c r="AD99" i="3"/>
  <c r="AE99" i="3"/>
  <c r="AF99" i="3"/>
  <c r="AG99" i="3"/>
  <c r="AH99" i="3"/>
  <c r="V99" i="3" s="1"/>
  <c r="AI99" i="3"/>
  <c r="AK99" i="3" s="1"/>
  <c r="AB100" i="3"/>
  <c r="AC100" i="3"/>
  <c r="AD100" i="3"/>
  <c r="AE100" i="3"/>
  <c r="AF100" i="3"/>
  <c r="AG100" i="3"/>
  <c r="AH100" i="3"/>
  <c r="AJ100" i="3" s="1"/>
  <c r="AI100" i="3"/>
  <c r="Y100" i="3" s="1"/>
  <c r="AB101" i="3"/>
  <c r="AC101" i="3"/>
  <c r="AD101" i="3"/>
  <c r="AE101" i="3"/>
  <c r="AF101" i="3"/>
  <c r="AG101" i="3"/>
  <c r="AH101" i="3"/>
  <c r="V101" i="3" s="1"/>
  <c r="AI101" i="3"/>
  <c r="AJ101" i="3"/>
  <c r="V102" i="3"/>
  <c r="W102" i="3"/>
  <c r="AB102" i="3"/>
  <c r="AC102" i="3"/>
  <c r="AD102" i="3"/>
  <c r="AE102" i="3"/>
  <c r="AF102" i="3"/>
  <c r="AG102" i="3"/>
  <c r="AH102" i="3"/>
  <c r="AI102" i="3"/>
  <c r="AK102" i="3" s="1"/>
  <c r="AJ102" i="3"/>
  <c r="X103" i="3"/>
  <c r="Y103" i="3"/>
  <c r="AB103" i="3"/>
  <c r="AC103" i="3"/>
  <c r="AD103" i="3"/>
  <c r="AE103" i="3"/>
  <c r="AF103" i="3"/>
  <c r="AG103" i="3"/>
  <c r="AH103" i="3"/>
  <c r="AI103" i="3"/>
  <c r="AK103" i="3" s="1"/>
  <c r="V104" i="3"/>
  <c r="W104" i="3"/>
  <c r="X104" i="3"/>
  <c r="AB104" i="3"/>
  <c r="AC104" i="3"/>
  <c r="AD104" i="3"/>
  <c r="AE104" i="3"/>
  <c r="AF104" i="3"/>
  <c r="AG104" i="3"/>
  <c r="AH104" i="3"/>
  <c r="AJ104" i="3" s="1"/>
  <c r="AI104" i="3"/>
  <c r="AB105" i="3"/>
  <c r="AC105" i="3"/>
  <c r="AD105" i="3"/>
  <c r="AE105" i="3"/>
  <c r="AF105" i="3"/>
  <c r="AG105" i="3"/>
  <c r="AH105" i="3"/>
  <c r="V105" i="3" s="1"/>
  <c r="AI105" i="3"/>
  <c r="AK105" i="3" s="1"/>
  <c r="AB106" i="3"/>
  <c r="AC106" i="3"/>
  <c r="AD106" i="3"/>
  <c r="AE106" i="3"/>
  <c r="AF106" i="3"/>
  <c r="AG106" i="3"/>
  <c r="AH106" i="3"/>
  <c r="W106" i="3" s="1"/>
  <c r="AI106" i="3"/>
  <c r="X106" i="3" s="1"/>
  <c r="AK106" i="3"/>
  <c r="X107" i="3"/>
  <c r="AB107" i="3"/>
  <c r="AC107" i="3"/>
  <c r="AD107" i="3"/>
  <c r="AE107" i="3"/>
  <c r="AF107" i="3"/>
  <c r="AG107" i="3"/>
  <c r="AH107" i="3"/>
  <c r="AI107" i="3"/>
  <c r="AK107" i="3"/>
  <c r="X108" i="3"/>
  <c r="Y108" i="3"/>
  <c r="AB108" i="3"/>
  <c r="AC108" i="3"/>
  <c r="AD108" i="3"/>
  <c r="AE108" i="3"/>
  <c r="AF108" i="3"/>
  <c r="AG108" i="3"/>
  <c r="AH108" i="3"/>
  <c r="AJ108" i="3" s="1"/>
  <c r="AI108" i="3"/>
  <c r="AK108" i="3"/>
  <c r="X109" i="3"/>
  <c r="Y109" i="3"/>
  <c r="AB109" i="3"/>
  <c r="AC109" i="3"/>
  <c r="AD109" i="3"/>
  <c r="AE109" i="3"/>
  <c r="AF109" i="3"/>
  <c r="AG109" i="3"/>
  <c r="AH109" i="3"/>
  <c r="AI109" i="3"/>
  <c r="AJ109" i="3"/>
  <c r="AK109" i="3"/>
  <c r="AB110" i="3"/>
  <c r="AC110" i="3"/>
  <c r="AD110" i="3"/>
  <c r="AE110" i="3"/>
  <c r="AF110" i="3"/>
  <c r="AG110" i="3"/>
  <c r="AH110" i="3"/>
  <c r="V110" i="3" s="1"/>
  <c r="AI110" i="3"/>
  <c r="AK110" i="3" s="1"/>
  <c r="AB111" i="3"/>
  <c r="AC111" i="3"/>
  <c r="AD111" i="3"/>
  <c r="AE111" i="3"/>
  <c r="AF111" i="3"/>
  <c r="AG111" i="3"/>
  <c r="AH111" i="3"/>
  <c r="V111" i="3" s="1"/>
  <c r="AI111" i="3"/>
  <c r="X111" i="3" s="1"/>
  <c r="AB112" i="3"/>
  <c r="AC112" i="3"/>
  <c r="AD112" i="3"/>
  <c r="AE112" i="3"/>
  <c r="AF112" i="3"/>
  <c r="AG112" i="3"/>
  <c r="AH112" i="3"/>
  <c r="W112" i="3" s="1"/>
  <c r="AI112" i="3"/>
  <c r="X112" i="3" s="1"/>
  <c r="W113" i="3"/>
  <c r="X113" i="3"/>
  <c r="Y113" i="3"/>
  <c r="AB113" i="3"/>
  <c r="AC113" i="3"/>
  <c r="AD113" i="3"/>
  <c r="AE113" i="3"/>
  <c r="AF113" i="3"/>
  <c r="AG113" i="3"/>
  <c r="AH113" i="3"/>
  <c r="V113" i="3" s="1"/>
  <c r="AI113" i="3"/>
  <c r="AK113" i="3" s="1"/>
  <c r="X114" i="3"/>
  <c r="Y114" i="3"/>
  <c r="AB114" i="3"/>
  <c r="AC114" i="3"/>
  <c r="AD114" i="3"/>
  <c r="AE114" i="3"/>
  <c r="AF114" i="3"/>
  <c r="AG114" i="3"/>
  <c r="AH114" i="3"/>
  <c r="V114" i="3" s="1"/>
  <c r="AI114" i="3"/>
  <c r="AK114" i="3" s="1"/>
  <c r="X115" i="3"/>
  <c r="Y115" i="3"/>
  <c r="AB115" i="3"/>
  <c r="AC115" i="3"/>
  <c r="AD115" i="3"/>
  <c r="AE115" i="3"/>
  <c r="AF115" i="3"/>
  <c r="AG115" i="3"/>
  <c r="AH115" i="3"/>
  <c r="AI115" i="3"/>
  <c r="AK115" i="3" s="1"/>
  <c r="AB116" i="3"/>
  <c r="AC116" i="3"/>
  <c r="AD116" i="3"/>
  <c r="AE116" i="3"/>
  <c r="AF116" i="3"/>
  <c r="AG116" i="3"/>
  <c r="AH116" i="3"/>
  <c r="AI116" i="3"/>
  <c r="X116" i="3" s="1"/>
  <c r="AJ116" i="3"/>
  <c r="AB117" i="3"/>
  <c r="AC117" i="3"/>
  <c r="AD117" i="3"/>
  <c r="AE117" i="3"/>
  <c r="AF117" i="3"/>
  <c r="AG117" i="3"/>
  <c r="AH117" i="3"/>
  <c r="V117" i="3" s="1"/>
  <c r="AI117" i="3"/>
  <c r="X117" i="3" s="1"/>
  <c r="AJ117" i="3"/>
  <c r="AK117" i="3"/>
  <c r="W118" i="3"/>
  <c r="AB118" i="3"/>
  <c r="AC118" i="3"/>
  <c r="AD118" i="3"/>
  <c r="AE118" i="3"/>
  <c r="AF118" i="3"/>
  <c r="AG118" i="3"/>
  <c r="AH118" i="3"/>
  <c r="V118" i="3" s="1"/>
  <c r="AI118" i="3"/>
  <c r="Y118" i="3" s="1"/>
  <c r="AK118" i="3"/>
  <c r="W119" i="3"/>
  <c r="X119" i="3"/>
  <c r="AB119" i="3"/>
  <c r="AC119" i="3"/>
  <c r="AD119" i="3"/>
  <c r="AE119" i="3"/>
  <c r="AF119" i="3"/>
  <c r="AG119" i="3"/>
  <c r="AH119" i="3"/>
  <c r="V119" i="3" s="1"/>
  <c r="AI119" i="3"/>
  <c r="AJ119" i="3"/>
  <c r="AK119" i="3"/>
  <c r="X120" i="3"/>
  <c r="Y120" i="3"/>
  <c r="AB120" i="3"/>
  <c r="AC120" i="3"/>
  <c r="AD120" i="3"/>
  <c r="AE120" i="3"/>
  <c r="AF120" i="3"/>
  <c r="AG120" i="3"/>
  <c r="AH120" i="3"/>
  <c r="V120" i="3" s="1"/>
  <c r="AI120" i="3"/>
  <c r="AK120" i="3" s="1"/>
  <c r="W121" i="3"/>
  <c r="X121" i="3"/>
  <c r="AB121" i="3"/>
  <c r="AC121" i="3"/>
  <c r="AD121" i="3"/>
  <c r="AE121" i="3"/>
  <c r="AF121" i="3"/>
  <c r="AG121" i="3"/>
  <c r="AH121" i="3"/>
  <c r="V121" i="3" s="1"/>
  <c r="AI121" i="3"/>
  <c r="AK121" i="3" s="1"/>
  <c r="AJ121" i="3"/>
  <c r="X122" i="3"/>
  <c r="Y122" i="3"/>
  <c r="AB122" i="3"/>
  <c r="AC122" i="3"/>
  <c r="AD122" i="3"/>
  <c r="AE122" i="3"/>
  <c r="AF122" i="3"/>
  <c r="AG122" i="3"/>
  <c r="AH122" i="3"/>
  <c r="W122" i="3" s="1"/>
  <c r="AI122" i="3"/>
  <c r="AK122" i="3" s="1"/>
  <c r="AB123" i="3"/>
  <c r="AC123" i="3"/>
  <c r="AD123" i="3"/>
  <c r="AE123" i="3"/>
  <c r="AF123" i="3"/>
  <c r="AG123" i="3"/>
  <c r="AH123" i="3"/>
  <c r="AI123" i="3"/>
  <c r="X123" i="3" s="1"/>
  <c r="AB124" i="3"/>
  <c r="AC124" i="3"/>
  <c r="AD124" i="3"/>
  <c r="AE124" i="3"/>
  <c r="AF124" i="3"/>
  <c r="AG124" i="3"/>
  <c r="AH124" i="3"/>
  <c r="AJ124" i="3" s="1"/>
  <c r="AI124" i="3"/>
  <c r="X124" i="3" s="1"/>
  <c r="X125" i="3"/>
  <c r="Y125" i="3"/>
  <c r="AB125" i="3"/>
  <c r="AC125" i="3"/>
  <c r="AD125" i="3"/>
  <c r="AE125" i="3"/>
  <c r="AF125" i="3"/>
  <c r="AG125" i="3"/>
  <c r="AH125" i="3"/>
  <c r="AJ125" i="3" s="1"/>
  <c r="AI125" i="3"/>
  <c r="AK125" i="3"/>
  <c r="X126" i="3"/>
  <c r="AB126" i="3"/>
  <c r="AC126" i="3"/>
  <c r="AD126" i="3"/>
  <c r="AE126" i="3"/>
  <c r="AF126" i="3"/>
  <c r="AG126" i="3"/>
  <c r="AH126" i="3"/>
  <c r="V126" i="3" s="1"/>
  <c r="AI126" i="3"/>
  <c r="Y126" i="3" s="1"/>
  <c r="AJ126" i="3"/>
  <c r="AK126" i="3"/>
  <c r="W127" i="3"/>
  <c r="X127" i="3"/>
  <c r="Y127" i="3"/>
  <c r="AB127" i="3"/>
  <c r="AC127" i="3"/>
  <c r="AD127" i="3"/>
  <c r="AE127" i="3"/>
  <c r="AF127" i="3"/>
  <c r="AG127" i="3"/>
  <c r="AH127" i="3"/>
  <c r="V127" i="3" s="1"/>
  <c r="AI127" i="3"/>
  <c r="AK127" i="3"/>
  <c r="X128" i="3"/>
  <c r="Y128" i="3"/>
  <c r="AB128" i="3"/>
  <c r="AC128" i="3"/>
  <c r="AD128" i="3"/>
  <c r="AE128" i="3"/>
  <c r="AF128" i="3"/>
  <c r="AG128" i="3"/>
  <c r="AH128" i="3"/>
  <c r="W128" i="3" s="1"/>
  <c r="AI128" i="3"/>
  <c r="AK128" i="3"/>
  <c r="AB129" i="3"/>
  <c r="AC129" i="3"/>
  <c r="AD129" i="3"/>
  <c r="AE129" i="3"/>
  <c r="AF129" i="3"/>
  <c r="AG129" i="3"/>
  <c r="AH129" i="3"/>
  <c r="V129" i="3" s="1"/>
  <c r="AI129" i="3"/>
  <c r="X129" i="3" s="1"/>
  <c r="AB130" i="3"/>
  <c r="AC130" i="3"/>
  <c r="AD130" i="3"/>
  <c r="AE130" i="3"/>
  <c r="AF130" i="3"/>
  <c r="AG130" i="3"/>
  <c r="AH130" i="3"/>
  <c r="V130" i="3" s="1"/>
  <c r="AI130" i="3"/>
  <c r="Y130" i="3" s="1"/>
  <c r="Y131" i="3"/>
  <c r="AB131" i="3"/>
  <c r="AC131" i="3"/>
  <c r="AD131" i="3"/>
  <c r="AE131" i="3"/>
  <c r="AF131" i="3"/>
  <c r="AG131" i="3"/>
  <c r="AH131" i="3"/>
  <c r="AI131" i="3"/>
  <c r="AK131" i="3" s="1"/>
  <c r="X132" i="3"/>
  <c r="Y132" i="3"/>
  <c r="AB132" i="3"/>
  <c r="AC132" i="3"/>
  <c r="AD132" i="3"/>
  <c r="AE132" i="3"/>
  <c r="AF132" i="3"/>
  <c r="AG132" i="3"/>
  <c r="AH132" i="3"/>
  <c r="AJ132" i="3" s="1"/>
  <c r="AI132" i="3"/>
  <c r="AK132" i="3" s="1"/>
  <c r="W133" i="3"/>
  <c r="X133" i="3"/>
  <c r="Y133" i="3"/>
  <c r="AB133" i="3"/>
  <c r="AC133" i="3"/>
  <c r="AD133" i="3"/>
  <c r="AE133" i="3"/>
  <c r="AF133" i="3"/>
  <c r="AG133" i="3"/>
  <c r="AH133" i="3"/>
  <c r="V133" i="3" s="1"/>
  <c r="AI133" i="3"/>
  <c r="AK133" i="3" s="1"/>
  <c r="AJ133" i="3"/>
  <c r="AB134" i="3"/>
  <c r="AC134" i="3"/>
  <c r="AD134" i="3"/>
  <c r="AE134" i="3"/>
  <c r="AF134" i="3"/>
  <c r="AG134" i="3"/>
  <c r="AH134" i="3"/>
  <c r="W134" i="3" s="1"/>
  <c r="AI134" i="3"/>
  <c r="AK134" i="3"/>
  <c r="W135" i="3"/>
  <c r="AB135" i="3"/>
  <c r="AC135" i="3"/>
  <c r="AD135" i="3"/>
  <c r="AE135" i="3"/>
  <c r="AF135" i="3"/>
  <c r="AG135" i="3"/>
  <c r="AH135" i="3"/>
  <c r="V135" i="3" s="1"/>
  <c r="AI135" i="3"/>
  <c r="AK135" i="3" s="1"/>
  <c r="AJ135" i="3"/>
  <c r="X136" i="3"/>
  <c r="Y136" i="3"/>
  <c r="AB136" i="3"/>
  <c r="AC136" i="3"/>
  <c r="AD136" i="3"/>
  <c r="AE136" i="3"/>
  <c r="AF136" i="3"/>
  <c r="AG136" i="3"/>
  <c r="AH136" i="3"/>
  <c r="V136" i="3" s="1"/>
  <c r="AI136" i="3"/>
  <c r="AJ136" i="3"/>
  <c r="AK136" i="3"/>
  <c r="X137" i="3"/>
  <c r="Y137" i="3"/>
  <c r="AB137" i="3"/>
  <c r="AC137" i="3"/>
  <c r="AD137" i="3"/>
  <c r="AE137" i="3"/>
  <c r="AF137" i="3"/>
  <c r="AG137" i="3"/>
  <c r="AH137" i="3"/>
  <c r="AI137" i="3"/>
  <c r="AK137" i="3" s="1"/>
  <c r="AB138" i="3"/>
  <c r="AC138" i="3"/>
  <c r="AD138" i="3"/>
  <c r="AE138" i="3"/>
  <c r="AF138" i="3"/>
  <c r="AG138" i="3"/>
  <c r="AH138" i="3"/>
  <c r="AJ138" i="3" s="1"/>
  <c r="AI138" i="3"/>
  <c r="AB139" i="3"/>
  <c r="AC139" i="3"/>
  <c r="AD139" i="3"/>
  <c r="AE139" i="3"/>
  <c r="AF139" i="3"/>
  <c r="AG139" i="3"/>
  <c r="AH139" i="3"/>
  <c r="V139" i="3" s="1"/>
  <c r="AI139" i="3"/>
  <c r="AK139" i="3"/>
  <c r="AB140" i="3"/>
  <c r="AC140" i="3"/>
  <c r="AD140" i="3"/>
  <c r="AE140" i="3"/>
  <c r="AF140" i="3"/>
  <c r="AG140" i="3"/>
  <c r="AH140" i="3"/>
  <c r="V140" i="3" s="1"/>
  <c r="AI140" i="3"/>
  <c r="Y140" i="3" s="1"/>
  <c r="AB141" i="3"/>
  <c r="AC141" i="3"/>
  <c r="AD141" i="3"/>
  <c r="AE141" i="3"/>
  <c r="AF141" i="3"/>
  <c r="AG141" i="3"/>
  <c r="AH141" i="3"/>
  <c r="V141" i="3" s="1"/>
  <c r="AI141" i="3"/>
  <c r="X141" i="3" s="1"/>
  <c r="AK141" i="3"/>
  <c r="X142" i="3"/>
  <c r="Y142" i="3"/>
  <c r="AB142" i="3"/>
  <c r="AC142" i="3"/>
  <c r="AD142" i="3"/>
  <c r="AE142" i="3"/>
  <c r="AF142" i="3"/>
  <c r="AG142" i="3"/>
  <c r="AH142" i="3"/>
  <c r="AI142" i="3"/>
  <c r="AK142" i="3" s="1"/>
  <c r="W143" i="3"/>
  <c r="AB143" i="3"/>
  <c r="AC143" i="3"/>
  <c r="AD143" i="3"/>
  <c r="AE143" i="3"/>
  <c r="AF143" i="3"/>
  <c r="AG143" i="3"/>
  <c r="AH143" i="3"/>
  <c r="V143" i="3" s="1"/>
  <c r="AI143" i="3"/>
  <c r="AK143" i="3" s="1"/>
  <c r="AB144" i="3"/>
  <c r="AC144" i="3"/>
  <c r="AD144" i="3"/>
  <c r="AE144" i="3"/>
  <c r="AF144" i="3"/>
  <c r="AG144" i="3"/>
  <c r="AH144" i="3"/>
  <c r="V144" i="3" s="1"/>
  <c r="AI144" i="3"/>
  <c r="AK144" i="3" s="1"/>
  <c r="AB145" i="3"/>
  <c r="AC145" i="3"/>
  <c r="AD145" i="3"/>
  <c r="AE145" i="3"/>
  <c r="AF145" i="3"/>
  <c r="AG145" i="3"/>
  <c r="AH145" i="3"/>
  <c r="AI145" i="3"/>
  <c r="X145" i="3" s="1"/>
  <c r="AB146" i="3"/>
  <c r="AC146" i="3"/>
  <c r="AD146" i="3"/>
  <c r="AE146" i="3"/>
  <c r="AF146" i="3"/>
  <c r="AG146" i="3"/>
  <c r="AH146" i="3"/>
  <c r="AJ146" i="3" s="1"/>
  <c r="AI146" i="3"/>
  <c r="Y146" i="3" s="1"/>
  <c r="AB147" i="3"/>
  <c r="AC147" i="3"/>
  <c r="AD147" i="3"/>
  <c r="AE147" i="3"/>
  <c r="AF147" i="3"/>
  <c r="AG147" i="3"/>
  <c r="AH147" i="3"/>
  <c r="V147" i="3" s="1"/>
  <c r="AI147" i="3"/>
  <c r="AB148" i="3"/>
  <c r="AC148" i="3"/>
  <c r="AD148" i="3"/>
  <c r="AE148" i="3"/>
  <c r="AF148" i="3"/>
  <c r="AG148" i="3"/>
  <c r="AH148" i="3"/>
  <c r="V148" i="3" s="1"/>
  <c r="AI148" i="3"/>
  <c r="Y148" i="3" s="1"/>
  <c r="AJ148" i="3"/>
  <c r="W149" i="3"/>
  <c r="Y149" i="3"/>
  <c r="AB149" i="3"/>
  <c r="AC149" i="3"/>
  <c r="AD149" i="3"/>
  <c r="AE149" i="3"/>
  <c r="AF149" i="3"/>
  <c r="AG149" i="3"/>
  <c r="AH149" i="3"/>
  <c r="V149" i="3" s="1"/>
  <c r="AI149" i="3"/>
  <c r="AK149" i="3" s="1"/>
  <c r="AJ149" i="3"/>
  <c r="W150" i="3"/>
  <c r="X150" i="3"/>
  <c r="Y150" i="3"/>
  <c r="AB150" i="3"/>
  <c r="AC150" i="3"/>
  <c r="AD150" i="3"/>
  <c r="AE150" i="3"/>
  <c r="AF150" i="3"/>
  <c r="AG150" i="3"/>
  <c r="AH150" i="3"/>
  <c r="AI150" i="3"/>
  <c r="AK150" i="3" s="1"/>
  <c r="W151" i="3"/>
  <c r="X151" i="3"/>
  <c r="Y151" i="3"/>
  <c r="AB151" i="3"/>
  <c r="AC151" i="3"/>
  <c r="AD151" i="3"/>
  <c r="AE151" i="3"/>
  <c r="AF151" i="3"/>
  <c r="AG151" i="3"/>
  <c r="AH151" i="3"/>
  <c r="V151" i="3" s="1"/>
  <c r="AI151" i="3"/>
  <c r="AK151" i="3" s="1"/>
  <c r="AJ151" i="3"/>
  <c r="AB152" i="3"/>
  <c r="AC152" i="3"/>
  <c r="AD152" i="3"/>
  <c r="AE152" i="3"/>
  <c r="AF152" i="3"/>
  <c r="AG152" i="3"/>
  <c r="AH152" i="3"/>
  <c r="V152" i="3" s="1"/>
  <c r="AI152" i="3"/>
  <c r="X152" i="3" s="1"/>
  <c r="AB153" i="3"/>
  <c r="AC153" i="3"/>
  <c r="AD153" i="3"/>
  <c r="AE153" i="3"/>
  <c r="AF153" i="3"/>
  <c r="AG153" i="3"/>
  <c r="AH153" i="3"/>
  <c r="AI153" i="3"/>
  <c r="AK153" i="3" s="1"/>
  <c r="Y154" i="3"/>
  <c r="AB154" i="3"/>
  <c r="AC154" i="3"/>
  <c r="AD154" i="3"/>
  <c r="AE154" i="3"/>
  <c r="AF154" i="3"/>
  <c r="AG154" i="3"/>
  <c r="AH154" i="3"/>
  <c r="AJ154" i="3" s="1"/>
  <c r="AI154" i="3"/>
  <c r="AB155" i="3"/>
  <c r="AC155" i="3"/>
  <c r="AD155" i="3"/>
  <c r="AE155" i="3"/>
  <c r="AF155" i="3"/>
  <c r="AG155" i="3"/>
  <c r="AH155" i="3"/>
  <c r="V155" i="3" s="1"/>
  <c r="AI155" i="3"/>
  <c r="AK155" i="3"/>
  <c r="X156" i="3"/>
  <c r="AB156" i="3"/>
  <c r="AC156" i="3"/>
  <c r="AD156" i="3"/>
  <c r="AE156" i="3"/>
  <c r="AF156" i="3"/>
  <c r="AG156" i="3"/>
  <c r="AH156" i="3"/>
  <c r="V156" i="3" s="1"/>
  <c r="AI156" i="3"/>
  <c r="Y156" i="3" s="1"/>
  <c r="W157" i="3"/>
  <c r="Y157" i="3"/>
  <c r="AB157" i="3"/>
  <c r="AC157" i="3"/>
  <c r="AD157" i="3"/>
  <c r="AE157" i="3"/>
  <c r="AF157" i="3"/>
  <c r="AG157" i="3"/>
  <c r="AH157" i="3"/>
  <c r="V157" i="3" s="1"/>
  <c r="AI157" i="3"/>
  <c r="X157" i="3" s="1"/>
  <c r="AK157" i="3"/>
  <c r="X158" i="3"/>
  <c r="Y158" i="3"/>
  <c r="AB158" i="3"/>
  <c r="AC158" i="3"/>
  <c r="AD158" i="3"/>
  <c r="AE158" i="3"/>
  <c r="AF158" i="3"/>
  <c r="AG158" i="3"/>
  <c r="AH158" i="3"/>
  <c r="W158" i="3" s="1"/>
  <c r="AI158" i="3"/>
  <c r="AK158" i="3" s="1"/>
  <c r="AB159" i="3"/>
  <c r="AC159" i="3"/>
  <c r="AD159" i="3"/>
  <c r="AE159" i="3"/>
  <c r="AF159" i="3"/>
  <c r="AG159" i="3"/>
  <c r="AH159" i="3"/>
  <c r="W159" i="3" s="1"/>
  <c r="AI159" i="3"/>
  <c r="AK159" i="3" s="1"/>
  <c r="AB160" i="3"/>
  <c r="AC160" i="3"/>
  <c r="AD160" i="3"/>
  <c r="AE160" i="3"/>
  <c r="AF160" i="3"/>
  <c r="AG160" i="3"/>
  <c r="AH160" i="3"/>
  <c r="V160" i="3" s="1"/>
  <c r="AI160" i="3"/>
  <c r="AJ160" i="3"/>
  <c r="W161" i="3"/>
  <c r="X161" i="3"/>
  <c r="AB161" i="3"/>
  <c r="AC161" i="3"/>
  <c r="AD161" i="3"/>
  <c r="AE161" i="3"/>
  <c r="AF161" i="3"/>
  <c r="AG161" i="3"/>
  <c r="AH161" i="3"/>
  <c r="V161" i="3" s="1"/>
  <c r="AI161" i="3"/>
  <c r="Y161" i="3" s="1"/>
  <c r="AK161" i="3"/>
  <c r="Y162" i="3"/>
  <c r="AB162" i="3"/>
  <c r="AC162" i="3"/>
  <c r="AD162" i="3"/>
  <c r="AE162" i="3"/>
  <c r="AF162" i="3"/>
  <c r="AG162" i="3"/>
  <c r="AH162" i="3"/>
  <c r="AJ162" i="3" s="1"/>
  <c r="AI162" i="3"/>
  <c r="AK162" i="3" s="1"/>
  <c r="AB163" i="3"/>
  <c r="AC163" i="3"/>
  <c r="AD163" i="3"/>
  <c r="AE163" i="3"/>
  <c r="AF163" i="3"/>
  <c r="AG163" i="3"/>
  <c r="AH163" i="3"/>
  <c r="V163" i="3" s="1"/>
  <c r="AI163" i="3"/>
  <c r="X163" i="3" s="1"/>
  <c r="AB164" i="3"/>
  <c r="AC164" i="3"/>
  <c r="AD164" i="3"/>
  <c r="AE164" i="3"/>
  <c r="AF164" i="3"/>
  <c r="AG164" i="3"/>
  <c r="AH164" i="3"/>
  <c r="V164" i="3" s="1"/>
  <c r="AI164" i="3"/>
  <c r="Y164" i="3" s="1"/>
  <c r="AJ164" i="3"/>
  <c r="AK164" i="3"/>
  <c r="W165" i="3"/>
  <c r="Y165" i="3"/>
  <c r="AB165" i="3"/>
  <c r="AC165" i="3"/>
  <c r="AD165" i="3"/>
  <c r="AE165" i="3"/>
  <c r="AF165" i="3"/>
  <c r="AG165" i="3"/>
  <c r="AH165" i="3"/>
  <c r="V165" i="3" s="1"/>
  <c r="AI165" i="3"/>
  <c r="X165" i="3" s="1"/>
  <c r="AJ165" i="3"/>
  <c r="AK165" i="3"/>
  <c r="V166" i="3"/>
  <c r="W166" i="3"/>
  <c r="X166" i="3"/>
  <c r="AB166" i="3"/>
  <c r="AC166" i="3"/>
  <c r="AD166" i="3"/>
  <c r="AE166" i="3"/>
  <c r="AF166" i="3"/>
  <c r="AG166" i="3"/>
  <c r="AH166" i="3"/>
  <c r="AJ166" i="3" s="1"/>
  <c r="AI166" i="3"/>
  <c r="Y166" i="3" s="1"/>
  <c r="AK166" i="3"/>
  <c r="X167" i="3"/>
  <c r="Y167" i="3"/>
  <c r="AB167" i="3"/>
  <c r="AC167" i="3"/>
  <c r="AD167" i="3"/>
  <c r="AE167" i="3"/>
  <c r="AF167" i="3"/>
  <c r="AG167" i="3"/>
  <c r="AH167" i="3"/>
  <c r="AJ167" i="3" s="1"/>
  <c r="AI167" i="3"/>
  <c r="AK167" i="3"/>
  <c r="AB168" i="3"/>
  <c r="AC168" i="3"/>
  <c r="AD168" i="3"/>
  <c r="AE168" i="3"/>
  <c r="AF168" i="3"/>
  <c r="AG168" i="3"/>
  <c r="AH168" i="3"/>
  <c r="AI168" i="3"/>
  <c r="X168" i="3" s="1"/>
  <c r="V169" i="3"/>
  <c r="W169" i="3"/>
  <c r="AB169" i="3"/>
  <c r="AC169" i="3"/>
  <c r="AD169" i="3"/>
  <c r="AE169" i="3"/>
  <c r="AF169" i="3"/>
  <c r="AG169" i="3"/>
  <c r="AH169" i="3"/>
  <c r="AI169" i="3"/>
  <c r="X169" i="3" s="1"/>
  <c r="AJ169" i="3"/>
  <c r="AB170" i="3"/>
  <c r="AC170" i="3"/>
  <c r="AD170" i="3"/>
  <c r="AE170" i="3"/>
  <c r="AF170" i="3"/>
  <c r="AG170" i="3"/>
  <c r="AH170" i="3"/>
  <c r="AI170" i="3"/>
  <c r="X170" i="3" s="1"/>
  <c r="AJ170" i="3"/>
  <c r="AK170" i="3"/>
  <c r="V171" i="3"/>
  <c r="AB171" i="3"/>
  <c r="AC171" i="3"/>
  <c r="AD171" i="3"/>
  <c r="AE171" i="3"/>
  <c r="AF171" i="3"/>
  <c r="AG171" i="3"/>
  <c r="AH171" i="3"/>
  <c r="AI171" i="3"/>
  <c r="X171" i="3" s="1"/>
  <c r="AK171" i="3"/>
  <c r="V172" i="3"/>
  <c r="W172" i="3"/>
  <c r="X172" i="3"/>
  <c r="Y172" i="3"/>
  <c r="AB172" i="3"/>
  <c r="AC172" i="3"/>
  <c r="AD172" i="3"/>
  <c r="AE172" i="3"/>
  <c r="AF172" i="3"/>
  <c r="AG172" i="3"/>
  <c r="AH172" i="3"/>
  <c r="AI172" i="3"/>
  <c r="AJ172" i="3"/>
  <c r="AK172" i="3"/>
  <c r="W173" i="3"/>
  <c r="X173" i="3"/>
  <c r="Y173" i="3"/>
  <c r="AB173" i="3"/>
  <c r="AC173" i="3"/>
  <c r="AD173" i="3"/>
  <c r="AE173" i="3"/>
  <c r="AF173" i="3"/>
  <c r="AG173" i="3"/>
  <c r="AH173" i="3"/>
  <c r="AJ173" i="3" s="1"/>
  <c r="AI173" i="3"/>
  <c r="AK173" i="3" s="1"/>
  <c r="V174" i="3"/>
  <c r="W174" i="3"/>
  <c r="Y174" i="3"/>
  <c r="AB174" i="3"/>
  <c r="AC174" i="3"/>
  <c r="AD174" i="3"/>
  <c r="AE174" i="3"/>
  <c r="AF174" i="3"/>
  <c r="AG174" i="3"/>
  <c r="AH174" i="3"/>
  <c r="AI174" i="3"/>
  <c r="X174" i="3" s="1"/>
  <c r="AJ174" i="3"/>
  <c r="AK174" i="3"/>
  <c r="V175" i="3"/>
  <c r="X175" i="3"/>
  <c r="Y175" i="3"/>
  <c r="AB175" i="3"/>
  <c r="AC175" i="3"/>
  <c r="AD175" i="3"/>
  <c r="AE175" i="3"/>
  <c r="AF175" i="3"/>
  <c r="AG175" i="3"/>
  <c r="AH175" i="3"/>
  <c r="W175" i="3" s="1"/>
  <c r="AI175" i="3"/>
  <c r="AJ175" i="3"/>
  <c r="AK175" i="3"/>
  <c r="V176" i="3"/>
  <c r="W176" i="3"/>
  <c r="Y176" i="3"/>
  <c r="AB176" i="3"/>
  <c r="AC176" i="3"/>
  <c r="AD176" i="3"/>
  <c r="AE176" i="3"/>
  <c r="AF176" i="3"/>
  <c r="AG176" i="3"/>
  <c r="AH176" i="3"/>
  <c r="AI176" i="3"/>
  <c r="X176" i="3" s="1"/>
  <c r="AJ176" i="3"/>
  <c r="AK176" i="3"/>
  <c r="V177" i="3"/>
  <c r="W177" i="3"/>
  <c r="X177" i="3"/>
  <c r="Y177" i="3"/>
  <c r="AB177" i="3"/>
  <c r="AC177" i="3"/>
  <c r="AD177" i="3"/>
  <c r="AE177" i="3"/>
  <c r="AF177" i="3"/>
  <c r="AG177" i="3"/>
  <c r="AH177" i="3"/>
  <c r="AI177" i="3"/>
  <c r="AJ177" i="3"/>
  <c r="AK177" i="3"/>
  <c r="X178" i="3"/>
  <c r="Y178" i="3"/>
  <c r="AB178" i="3"/>
  <c r="AC178" i="3"/>
  <c r="AD178" i="3"/>
  <c r="AE178" i="3"/>
  <c r="AF178" i="3"/>
  <c r="AG178" i="3"/>
  <c r="AH178" i="3"/>
  <c r="AI178" i="3"/>
  <c r="AK178" i="3" s="1"/>
  <c r="AB179" i="3"/>
  <c r="AC179" i="3"/>
  <c r="AD179" i="3"/>
  <c r="AE179" i="3"/>
  <c r="AF179" i="3"/>
  <c r="AG179" i="3"/>
  <c r="AH179" i="3"/>
  <c r="AI179" i="3"/>
  <c r="AK179" i="3" s="1"/>
  <c r="V180" i="3"/>
  <c r="W180" i="3"/>
  <c r="AB180" i="3"/>
  <c r="AC180" i="3"/>
  <c r="AD180" i="3"/>
  <c r="AE180" i="3"/>
  <c r="AF180" i="3"/>
  <c r="AG180" i="3"/>
  <c r="AH180" i="3"/>
  <c r="AI180" i="3"/>
  <c r="X180" i="3" s="1"/>
  <c r="AJ180" i="3"/>
  <c r="AB181" i="3"/>
  <c r="AC181" i="3"/>
  <c r="AD181" i="3"/>
  <c r="AE181" i="3"/>
  <c r="AF181" i="3"/>
  <c r="AG181" i="3"/>
  <c r="AH181" i="3"/>
  <c r="W181" i="3" s="1"/>
  <c r="AI181" i="3"/>
  <c r="X181" i="3" s="1"/>
  <c r="AK181" i="3"/>
  <c r="V182" i="3"/>
  <c r="W182" i="3"/>
  <c r="X182" i="3"/>
  <c r="Y182" i="3"/>
  <c r="AB182" i="3"/>
  <c r="AC182" i="3"/>
  <c r="AD182" i="3"/>
  <c r="AE182" i="3"/>
  <c r="AF182" i="3"/>
  <c r="AG182" i="3"/>
  <c r="AH182" i="3"/>
  <c r="AI182" i="3"/>
  <c r="AJ182" i="3"/>
  <c r="AK182" i="3"/>
  <c r="W183" i="3"/>
  <c r="X183" i="3"/>
  <c r="Y183" i="3"/>
  <c r="AB183" i="3"/>
  <c r="AC183" i="3"/>
  <c r="AD183" i="3"/>
  <c r="AE183" i="3"/>
  <c r="AF183" i="3"/>
  <c r="AG183" i="3"/>
  <c r="AH183" i="3"/>
  <c r="AJ183" i="3" s="1"/>
  <c r="AI183" i="3"/>
  <c r="AK183" i="3" s="1"/>
  <c r="V184" i="3"/>
  <c r="W184" i="3"/>
  <c r="Y184" i="3"/>
  <c r="AB184" i="3"/>
  <c r="AC184" i="3"/>
  <c r="AD184" i="3"/>
  <c r="AE184" i="3"/>
  <c r="AF184" i="3"/>
  <c r="AG184" i="3"/>
  <c r="AH184" i="3"/>
  <c r="AI184" i="3"/>
  <c r="X184" i="3" s="1"/>
  <c r="AJ184" i="3"/>
  <c r="AK184" i="3"/>
  <c r="V185" i="3"/>
  <c r="X185" i="3"/>
  <c r="Y185" i="3"/>
  <c r="AB185" i="3"/>
  <c r="AC185" i="3"/>
  <c r="AD185" i="3"/>
  <c r="AE185" i="3"/>
  <c r="AF185" i="3"/>
  <c r="AG185" i="3"/>
  <c r="AH185" i="3"/>
  <c r="W185" i="3" s="1"/>
  <c r="AI185" i="3"/>
  <c r="AJ185" i="3"/>
  <c r="AK185" i="3"/>
  <c r="V186" i="3"/>
  <c r="W186" i="3"/>
  <c r="Y186" i="3"/>
  <c r="AB186" i="3"/>
  <c r="AC186" i="3"/>
  <c r="AD186" i="3"/>
  <c r="AE186" i="3"/>
  <c r="AF186" i="3"/>
  <c r="AG186" i="3"/>
  <c r="AH186" i="3"/>
  <c r="AI186" i="3"/>
  <c r="AK186" i="3" s="1"/>
  <c r="AJ186" i="3"/>
  <c r="V187" i="3"/>
  <c r="W187" i="3"/>
  <c r="X187" i="3"/>
  <c r="AB187" i="3"/>
  <c r="AC187" i="3"/>
  <c r="AD187" i="3"/>
  <c r="AE187" i="3"/>
  <c r="AF187" i="3"/>
  <c r="AG187" i="3"/>
  <c r="AH187" i="3"/>
  <c r="AI187" i="3"/>
  <c r="AK187" i="3" s="1"/>
  <c r="AJ187" i="3"/>
  <c r="X188" i="3"/>
  <c r="Y188" i="3"/>
  <c r="AB188" i="3"/>
  <c r="AC188" i="3"/>
  <c r="AD188" i="3"/>
  <c r="AE188" i="3"/>
  <c r="AF188" i="3"/>
  <c r="AG188" i="3"/>
  <c r="AH188" i="3"/>
  <c r="AJ188" i="3" s="1"/>
  <c r="AI188" i="3"/>
  <c r="AK188" i="3"/>
  <c r="AB189" i="3"/>
  <c r="AC189" i="3"/>
  <c r="AD189" i="3"/>
  <c r="AE189" i="3"/>
  <c r="AF189" i="3"/>
  <c r="AG189" i="3"/>
  <c r="AH189" i="3"/>
  <c r="V189" i="3" s="1"/>
  <c r="AI189" i="3"/>
  <c r="X189" i="3" s="1"/>
  <c r="X190" i="3"/>
  <c r="Y190" i="3"/>
  <c r="AB190" i="3"/>
  <c r="AC190" i="3"/>
  <c r="AD190" i="3"/>
  <c r="AE190" i="3"/>
  <c r="AF190" i="3"/>
  <c r="AG190" i="3"/>
  <c r="AH190" i="3"/>
  <c r="V190" i="3" s="1"/>
  <c r="AI190" i="3"/>
  <c r="AJ190" i="3"/>
  <c r="AK190" i="3"/>
  <c r="V191" i="3"/>
  <c r="AB191" i="3"/>
  <c r="AC191" i="3"/>
  <c r="AD191" i="3"/>
  <c r="AE191" i="3"/>
  <c r="AF191" i="3"/>
  <c r="AG191" i="3"/>
  <c r="AH191" i="3"/>
  <c r="AJ191" i="3" s="1"/>
  <c r="AI191" i="3"/>
  <c r="X191" i="3" s="1"/>
  <c r="AK191" i="3"/>
  <c r="V192" i="3"/>
  <c r="W192" i="3"/>
  <c r="AB192" i="3"/>
  <c r="AC192" i="3"/>
  <c r="AD192" i="3"/>
  <c r="AE192" i="3"/>
  <c r="AF192" i="3"/>
  <c r="AG192" i="3"/>
  <c r="AH192" i="3"/>
  <c r="AI192" i="3"/>
  <c r="Y192" i="3" s="1"/>
  <c r="AJ192" i="3"/>
  <c r="AK192" i="3"/>
  <c r="W193" i="3"/>
  <c r="X193" i="3"/>
  <c r="Y193" i="3"/>
  <c r="AB193" i="3"/>
  <c r="AC193" i="3"/>
  <c r="AD193" i="3"/>
  <c r="AE193" i="3"/>
  <c r="AF193" i="3"/>
  <c r="AG193" i="3"/>
  <c r="AH193" i="3"/>
  <c r="AI193" i="3"/>
  <c r="AK193" i="3"/>
  <c r="V194" i="3"/>
  <c r="X194" i="3"/>
  <c r="Y194" i="3"/>
  <c r="AB194" i="3"/>
  <c r="AC194" i="3"/>
  <c r="AD194" i="3"/>
  <c r="AE194" i="3"/>
  <c r="AF194" i="3"/>
  <c r="AG194" i="3"/>
  <c r="AH194" i="3"/>
  <c r="AI194" i="3"/>
  <c r="AK194" i="3" s="1"/>
  <c r="V195" i="3"/>
  <c r="W195" i="3"/>
  <c r="Y195" i="3"/>
  <c r="AB195" i="3"/>
  <c r="AC195" i="3"/>
  <c r="AD195" i="3"/>
  <c r="AE195" i="3"/>
  <c r="AF195" i="3"/>
  <c r="AG195" i="3"/>
  <c r="AH195" i="3"/>
  <c r="AI195" i="3"/>
  <c r="AK195" i="3" s="1"/>
  <c r="AJ195" i="3"/>
  <c r="W196" i="3"/>
  <c r="X196" i="3"/>
  <c r="AB196" i="3"/>
  <c r="AC196" i="3"/>
  <c r="AD196" i="3"/>
  <c r="AE196" i="3"/>
  <c r="AF196" i="3"/>
  <c r="AG196" i="3"/>
  <c r="AH196" i="3"/>
  <c r="V196" i="3" s="1"/>
  <c r="AI196" i="3"/>
  <c r="Y196" i="3" s="1"/>
  <c r="AJ196" i="3"/>
  <c r="AK196" i="3"/>
  <c r="V197" i="3"/>
  <c r="W197" i="3"/>
  <c r="Y197" i="3"/>
  <c r="AB197" i="3"/>
  <c r="AC197" i="3"/>
  <c r="AD197" i="3"/>
  <c r="AE197" i="3"/>
  <c r="AF197" i="3"/>
  <c r="AG197" i="3"/>
  <c r="AH197" i="3"/>
  <c r="AI197" i="3"/>
  <c r="X197" i="3" s="1"/>
  <c r="AJ197" i="3"/>
  <c r="AK197" i="3"/>
  <c r="X198" i="3"/>
  <c r="Y198" i="3"/>
  <c r="AB198" i="3"/>
  <c r="AC198" i="3"/>
  <c r="AD198" i="3"/>
  <c r="AE198" i="3"/>
  <c r="AF198" i="3"/>
  <c r="AG198" i="3"/>
  <c r="AH198" i="3"/>
  <c r="AI198" i="3"/>
  <c r="AK198" i="3"/>
  <c r="AB199" i="3"/>
  <c r="AC199" i="3"/>
  <c r="AD199" i="3"/>
  <c r="AE199" i="3"/>
  <c r="AF199" i="3"/>
  <c r="AG199" i="3"/>
  <c r="AH199" i="3"/>
  <c r="V199" i="3" s="1"/>
  <c r="AI199" i="3"/>
  <c r="X199" i="3" s="1"/>
  <c r="AJ199" i="3"/>
  <c r="X200" i="3"/>
  <c r="Y200" i="3"/>
  <c r="AB200" i="3"/>
  <c r="AC200" i="3"/>
  <c r="AD200" i="3"/>
  <c r="AE200" i="3"/>
  <c r="AF200" i="3"/>
  <c r="AG200" i="3"/>
  <c r="AH200" i="3"/>
  <c r="AI200" i="3"/>
  <c r="AJ200" i="3"/>
  <c r="AK200" i="3"/>
  <c r="V201" i="3"/>
  <c r="AB201" i="3"/>
  <c r="AC201" i="3"/>
  <c r="AD201" i="3"/>
  <c r="AE201" i="3"/>
  <c r="AF201" i="3"/>
  <c r="AG201" i="3"/>
  <c r="AH201" i="3"/>
  <c r="AI201" i="3"/>
  <c r="X201" i="3" s="1"/>
  <c r="AK201" i="3"/>
  <c r="V202" i="3"/>
  <c r="W202" i="3"/>
  <c r="AB202" i="3"/>
  <c r="AC202" i="3"/>
  <c r="AD202" i="3"/>
  <c r="AE202" i="3"/>
  <c r="AF202" i="3"/>
  <c r="AG202" i="3"/>
  <c r="AH202" i="3"/>
  <c r="AI202" i="3"/>
  <c r="Y202" i="3" s="1"/>
  <c r="AJ202" i="3"/>
  <c r="V203" i="3"/>
  <c r="W203" i="3"/>
  <c r="X203" i="3"/>
  <c r="AB203" i="3"/>
  <c r="AC203" i="3"/>
  <c r="AD203" i="3"/>
  <c r="AE203" i="3"/>
  <c r="AF203" i="3"/>
  <c r="AG203" i="3"/>
  <c r="AH203" i="3"/>
  <c r="AI203" i="3"/>
  <c r="AJ203" i="3"/>
  <c r="AK203" i="3"/>
  <c r="W204" i="3"/>
  <c r="X204" i="3"/>
  <c r="Y204" i="3"/>
  <c r="AB204" i="3"/>
  <c r="AC204" i="3"/>
  <c r="AD204" i="3"/>
  <c r="AE204" i="3"/>
  <c r="AF204" i="3"/>
  <c r="AG204" i="3"/>
  <c r="AH204" i="3"/>
  <c r="AJ204" i="3" s="1"/>
  <c r="AI204" i="3"/>
  <c r="AK204" i="3" s="1"/>
  <c r="V205" i="3"/>
  <c r="W205" i="3"/>
  <c r="Y205" i="3"/>
  <c r="AB205" i="3"/>
  <c r="AC205" i="3"/>
  <c r="AD205" i="3"/>
  <c r="AE205" i="3"/>
  <c r="AF205" i="3"/>
  <c r="AG205" i="3"/>
  <c r="AH205" i="3"/>
  <c r="AI205" i="3"/>
  <c r="X205" i="3" s="1"/>
  <c r="AJ205" i="3"/>
  <c r="AK205" i="3"/>
  <c r="V206" i="3"/>
  <c r="X206" i="3"/>
  <c r="Y206" i="3"/>
  <c r="AB206" i="3"/>
  <c r="AC206" i="3"/>
  <c r="AD206" i="3"/>
  <c r="AE206" i="3"/>
  <c r="AF206" i="3"/>
  <c r="AG206" i="3"/>
  <c r="AH206" i="3"/>
  <c r="AJ206" i="3" s="1"/>
  <c r="AI206" i="3"/>
  <c r="AK206" i="3"/>
  <c r="V207" i="3"/>
  <c r="W207" i="3"/>
  <c r="X207" i="3"/>
  <c r="AB207" i="3"/>
  <c r="AC207" i="3"/>
  <c r="AD207" i="3"/>
  <c r="AE207" i="3"/>
  <c r="AF207" i="3"/>
  <c r="AG207" i="3"/>
  <c r="AH207" i="3"/>
  <c r="AI207" i="3"/>
  <c r="AK207" i="3" s="1"/>
  <c r="AJ207" i="3"/>
  <c r="X208" i="3"/>
  <c r="Y208" i="3"/>
  <c r="AB208" i="3"/>
  <c r="AC208" i="3"/>
  <c r="AD208" i="3"/>
  <c r="AE208" i="3"/>
  <c r="AF208" i="3"/>
  <c r="AG208" i="3"/>
  <c r="AH208" i="3"/>
  <c r="AI208" i="3"/>
  <c r="AK208" i="3"/>
  <c r="AB209" i="3"/>
  <c r="AC209" i="3"/>
  <c r="AD209" i="3"/>
  <c r="AE209" i="3"/>
  <c r="AF209" i="3"/>
  <c r="AG209" i="3"/>
  <c r="AH209" i="3"/>
  <c r="AI209" i="3"/>
  <c r="X209" i="3" s="1"/>
  <c r="AK209" i="3"/>
  <c r="X210" i="3"/>
  <c r="AB210" i="3"/>
  <c r="AC210" i="3"/>
  <c r="AD210" i="3"/>
  <c r="AE210" i="3"/>
  <c r="AF210" i="3"/>
  <c r="AG210" i="3"/>
  <c r="AH210" i="3"/>
  <c r="AI210" i="3"/>
  <c r="Y210" i="3" s="1"/>
  <c r="AK210" i="3"/>
  <c r="X211" i="3"/>
  <c r="AB211" i="3"/>
  <c r="AC211" i="3"/>
  <c r="AD211" i="3"/>
  <c r="AE211" i="3"/>
  <c r="AF211" i="3"/>
  <c r="AG211" i="3"/>
  <c r="AH211" i="3"/>
  <c r="AI211" i="3"/>
  <c r="Y211" i="3" s="1"/>
  <c r="AJ211" i="3"/>
  <c r="AK211" i="3"/>
  <c r="S5" i="3"/>
  <c r="T5" i="3"/>
  <c r="U5" i="3"/>
  <c r="S6" i="3"/>
  <c r="T6" i="3"/>
  <c r="U6" i="3"/>
  <c r="S7" i="3"/>
  <c r="T7" i="3"/>
  <c r="U7" i="3"/>
  <c r="S8" i="3"/>
  <c r="T8" i="3"/>
  <c r="U8" i="3"/>
  <c r="S9" i="3"/>
  <c r="T9" i="3"/>
  <c r="U9" i="3"/>
  <c r="S10" i="3"/>
  <c r="T10" i="3"/>
  <c r="U10" i="3"/>
  <c r="S11" i="3"/>
  <c r="T11" i="3"/>
  <c r="U11" i="3"/>
  <c r="S12" i="3"/>
  <c r="T12" i="3"/>
  <c r="U12" i="3"/>
  <c r="S13" i="3"/>
  <c r="T13" i="3"/>
  <c r="U13" i="3"/>
  <c r="S14" i="3"/>
  <c r="T14" i="3"/>
  <c r="U14" i="3"/>
  <c r="S15" i="3"/>
  <c r="T15" i="3"/>
  <c r="U15" i="3"/>
  <c r="S16" i="3"/>
  <c r="T16" i="3"/>
  <c r="U16" i="3"/>
  <c r="S17" i="3"/>
  <c r="T17" i="3"/>
  <c r="U17" i="3"/>
  <c r="S18" i="3"/>
  <c r="T18" i="3"/>
  <c r="U18" i="3"/>
  <c r="S19" i="3"/>
  <c r="T19" i="3"/>
  <c r="U19" i="3"/>
  <c r="S20" i="3"/>
  <c r="T20" i="3"/>
  <c r="U20" i="3"/>
  <c r="S21" i="3"/>
  <c r="T21" i="3"/>
  <c r="U21" i="3"/>
  <c r="S22" i="3"/>
  <c r="T22" i="3"/>
  <c r="U22" i="3"/>
  <c r="S23" i="3"/>
  <c r="T23" i="3"/>
  <c r="U23" i="3"/>
  <c r="S24" i="3"/>
  <c r="T24" i="3"/>
  <c r="U24" i="3"/>
  <c r="S25" i="3"/>
  <c r="T25" i="3"/>
  <c r="U25" i="3"/>
  <c r="S26" i="3"/>
  <c r="T26" i="3"/>
  <c r="U26" i="3"/>
  <c r="S27" i="3"/>
  <c r="T27" i="3"/>
  <c r="U27" i="3"/>
  <c r="S28" i="3"/>
  <c r="T28" i="3"/>
  <c r="U28" i="3"/>
  <c r="S29" i="3"/>
  <c r="T29" i="3"/>
  <c r="U29" i="3"/>
  <c r="S30" i="3"/>
  <c r="T30" i="3"/>
  <c r="U30" i="3"/>
  <c r="S31" i="3"/>
  <c r="T31" i="3"/>
  <c r="U31" i="3"/>
  <c r="S32" i="3"/>
  <c r="T32" i="3"/>
  <c r="U32" i="3"/>
  <c r="S33" i="3"/>
  <c r="T33" i="3"/>
  <c r="U33" i="3"/>
  <c r="S34" i="3"/>
  <c r="T34" i="3"/>
  <c r="U34" i="3"/>
  <c r="S35" i="3"/>
  <c r="T35" i="3"/>
  <c r="U35" i="3"/>
  <c r="S36" i="3"/>
  <c r="T36" i="3"/>
  <c r="U36" i="3"/>
  <c r="S37" i="3"/>
  <c r="T37" i="3"/>
  <c r="U37" i="3"/>
  <c r="S38" i="3"/>
  <c r="T38" i="3"/>
  <c r="U38" i="3"/>
  <c r="S39" i="3"/>
  <c r="T39" i="3"/>
  <c r="U39" i="3"/>
  <c r="S40" i="3"/>
  <c r="T40" i="3"/>
  <c r="U40" i="3"/>
  <c r="S41" i="3"/>
  <c r="T41" i="3"/>
  <c r="U41" i="3"/>
  <c r="S42" i="3"/>
  <c r="T42" i="3"/>
  <c r="U42" i="3"/>
  <c r="S43" i="3"/>
  <c r="T43" i="3"/>
  <c r="U43" i="3"/>
  <c r="S44" i="3"/>
  <c r="T44" i="3"/>
  <c r="U44" i="3"/>
  <c r="S45" i="3"/>
  <c r="T45" i="3"/>
  <c r="U45" i="3"/>
  <c r="S46" i="3"/>
  <c r="T46" i="3"/>
  <c r="U46" i="3"/>
  <c r="S47" i="3"/>
  <c r="T47" i="3"/>
  <c r="U47" i="3"/>
  <c r="S48" i="3"/>
  <c r="T48" i="3"/>
  <c r="U48" i="3"/>
  <c r="S49" i="3"/>
  <c r="T49" i="3"/>
  <c r="U49" i="3"/>
  <c r="S50" i="3"/>
  <c r="T50" i="3"/>
  <c r="U50" i="3"/>
  <c r="S51" i="3"/>
  <c r="T51" i="3"/>
  <c r="U51" i="3"/>
  <c r="S52" i="3"/>
  <c r="T52" i="3"/>
  <c r="U52" i="3"/>
  <c r="S53" i="3"/>
  <c r="T53" i="3"/>
  <c r="U53" i="3"/>
  <c r="S54" i="3"/>
  <c r="T54" i="3"/>
  <c r="U54" i="3"/>
  <c r="S55" i="3"/>
  <c r="T55" i="3"/>
  <c r="U55" i="3"/>
  <c r="S56" i="3"/>
  <c r="T56" i="3"/>
  <c r="U56" i="3"/>
  <c r="S57" i="3"/>
  <c r="T57" i="3"/>
  <c r="U57" i="3"/>
  <c r="S58" i="3"/>
  <c r="T58" i="3"/>
  <c r="U58" i="3"/>
  <c r="S59" i="3"/>
  <c r="T59" i="3"/>
  <c r="U59" i="3"/>
  <c r="S60" i="3"/>
  <c r="T60" i="3"/>
  <c r="U60" i="3"/>
  <c r="S61" i="3"/>
  <c r="T61" i="3"/>
  <c r="U61" i="3"/>
  <c r="S62" i="3"/>
  <c r="T62" i="3"/>
  <c r="U62" i="3"/>
  <c r="S63" i="3"/>
  <c r="T63" i="3"/>
  <c r="U63" i="3"/>
  <c r="S64" i="3"/>
  <c r="T64" i="3"/>
  <c r="U64" i="3"/>
  <c r="S65" i="3"/>
  <c r="T65" i="3"/>
  <c r="U65" i="3"/>
  <c r="S66" i="3"/>
  <c r="T66" i="3"/>
  <c r="U66" i="3"/>
  <c r="S67" i="3"/>
  <c r="T67" i="3"/>
  <c r="U67" i="3"/>
  <c r="S68" i="3"/>
  <c r="T68" i="3"/>
  <c r="U68" i="3"/>
  <c r="S69" i="3"/>
  <c r="T69" i="3"/>
  <c r="U69" i="3"/>
  <c r="S70" i="3"/>
  <c r="T70" i="3"/>
  <c r="U70" i="3"/>
  <c r="S71" i="3"/>
  <c r="T71" i="3"/>
  <c r="U71" i="3"/>
  <c r="S72" i="3"/>
  <c r="T72" i="3"/>
  <c r="U72" i="3"/>
  <c r="S73" i="3"/>
  <c r="T73" i="3"/>
  <c r="U73" i="3"/>
  <c r="S74" i="3"/>
  <c r="T74" i="3"/>
  <c r="U74" i="3"/>
  <c r="S75" i="3"/>
  <c r="T75" i="3"/>
  <c r="U75" i="3"/>
  <c r="S76" i="3"/>
  <c r="T76" i="3"/>
  <c r="U76" i="3"/>
  <c r="S77" i="3"/>
  <c r="T77" i="3"/>
  <c r="U77" i="3"/>
  <c r="S78" i="3"/>
  <c r="T78" i="3"/>
  <c r="U78" i="3"/>
  <c r="S79" i="3"/>
  <c r="T79" i="3"/>
  <c r="U79" i="3"/>
  <c r="S80" i="3"/>
  <c r="T80" i="3"/>
  <c r="U80" i="3"/>
  <c r="S81" i="3"/>
  <c r="T81" i="3"/>
  <c r="U81" i="3"/>
  <c r="S82" i="3"/>
  <c r="T82" i="3"/>
  <c r="U82" i="3"/>
  <c r="S83" i="3"/>
  <c r="T83" i="3"/>
  <c r="U83" i="3"/>
  <c r="S84" i="3"/>
  <c r="T84" i="3"/>
  <c r="U84" i="3"/>
  <c r="S85" i="3"/>
  <c r="T85" i="3"/>
  <c r="U85" i="3"/>
  <c r="S86" i="3"/>
  <c r="T86" i="3"/>
  <c r="U86" i="3"/>
  <c r="S87" i="3"/>
  <c r="T87" i="3"/>
  <c r="U87" i="3"/>
  <c r="S88" i="3"/>
  <c r="T88" i="3"/>
  <c r="U88" i="3"/>
  <c r="S89" i="3"/>
  <c r="T89" i="3"/>
  <c r="U89" i="3"/>
  <c r="S90" i="3"/>
  <c r="T90" i="3"/>
  <c r="U90" i="3"/>
  <c r="S91" i="3"/>
  <c r="T91" i="3"/>
  <c r="U91" i="3"/>
  <c r="S92" i="3"/>
  <c r="T92" i="3"/>
  <c r="U92" i="3"/>
  <c r="S93" i="3"/>
  <c r="T93" i="3"/>
  <c r="U93" i="3"/>
  <c r="S94" i="3"/>
  <c r="T94" i="3"/>
  <c r="U94" i="3"/>
  <c r="S95" i="3"/>
  <c r="T95" i="3"/>
  <c r="U95" i="3"/>
  <c r="S96" i="3"/>
  <c r="T96" i="3"/>
  <c r="U96" i="3"/>
  <c r="S97" i="3"/>
  <c r="T97" i="3"/>
  <c r="U97" i="3"/>
  <c r="S98" i="3"/>
  <c r="T98" i="3"/>
  <c r="U98" i="3"/>
  <c r="S99" i="3"/>
  <c r="T99" i="3"/>
  <c r="U99" i="3"/>
  <c r="S100" i="3"/>
  <c r="T100" i="3"/>
  <c r="U100" i="3"/>
  <c r="S101" i="3"/>
  <c r="T101" i="3"/>
  <c r="U101" i="3"/>
  <c r="S102" i="3"/>
  <c r="T102" i="3"/>
  <c r="U102" i="3"/>
  <c r="S103" i="3"/>
  <c r="T103" i="3"/>
  <c r="U103" i="3"/>
  <c r="S104" i="3"/>
  <c r="T104" i="3"/>
  <c r="U104" i="3"/>
  <c r="S105" i="3"/>
  <c r="T105" i="3"/>
  <c r="U105" i="3"/>
  <c r="S106" i="3"/>
  <c r="T106" i="3"/>
  <c r="U106" i="3"/>
  <c r="S107" i="3"/>
  <c r="T107" i="3"/>
  <c r="U107" i="3"/>
  <c r="S108" i="3"/>
  <c r="T108" i="3"/>
  <c r="U108" i="3"/>
  <c r="S109" i="3"/>
  <c r="T109" i="3"/>
  <c r="U109" i="3"/>
  <c r="S110" i="3"/>
  <c r="T110" i="3"/>
  <c r="U110" i="3"/>
  <c r="S111" i="3"/>
  <c r="T111" i="3"/>
  <c r="U111" i="3"/>
  <c r="S112" i="3"/>
  <c r="T112" i="3"/>
  <c r="U112" i="3"/>
  <c r="S113" i="3"/>
  <c r="T113" i="3"/>
  <c r="U113" i="3"/>
  <c r="S114" i="3"/>
  <c r="T114" i="3"/>
  <c r="U114" i="3"/>
  <c r="S115" i="3"/>
  <c r="T115" i="3"/>
  <c r="U115" i="3"/>
  <c r="S116" i="3"/>
  <c r="T116" i="3"/>
  <c r="U116" i="3"/>
  <c r="S117" i="3"/>
  <c r="T117" i="3"/>
  <c r="U117" i="3"/>
  <c r="S118" i="3"/>
  <c r="T118" i="3"/>
  <c r="U118" i="3"/>
  <c r="S119" i="3"/>
  <c r="T119" i="3"/>
  <c r="U119" i="3"/>
  <c r="S120" i="3"/>
  <c r="T120" i="3"/>
  <c r="U120" i="3"/>
  <c r="S121" i="3"/>
  <c r="T121" i="3"/>
  <c r="U121" i="3"/>
  <c r="S122" i="3"/>
  <c r="T122" i="3"/>
  <c r="U122" i="3"/>
  <c r="S123" i="3"/>
  <c r="T123" i="3"/>
  <c r="U123" i="3"/>
  <c r="S124" i="3"/>
  <c r="T124" i="3"/>
  <c r="U124" i="3"/>
  <c r="S125" i="3"/>
  <c r="T125" i="3"/>
  <c r="U125" i="3"/>
  <c r="S126" i="3"/>
  <c r="T126" i="3"/>
  <c r="U126" i="3"/>
  <c r="S127" i="3"/>
  <c r="T127" i="3"/>
  <c r="U127" i="3"/>
  <c r="S128" i="3"/>
  <c r="T128" i="3"/>
  <c r="U128" i="3"/>
  <c r="S129" i="3"/>
  <c r="T129" i="3"/>
  <c r="U129" i="3"/>
  <c r="S130" i="3"/>
  <c r="T130" i="3"/>
  <c r="U130" i="3"/>
  <c r="S131" i="3"/>
  <c r="T131" i="3"/>
  <c r="U131" i="3"/>
  <c r="S132" i="3"/>
  <c r="T132" i="3"/>
  <c r="U132" i="3"/>
  <c r="S133" i="3"/>
  <c r="T133" i="3"/>
  <c r="U133" i="3"/>
  <c r="S134" i="3"/>
  <c r="T134" i="3"/>
  <c r="U134" i="3"/>
  <c r="S135" i="3"/>
  <c r="T135" i="3"/>
  <c r="U135" i="3"/>
  <c r="S136" i="3"/>
  <c r="T136" i="3"/>
  <c r="U136" i="3"/>
  <c r="S137" i="3"/>
  <c r="T137" i="3"/>
  <c r="U137" i="3"/>
  <c r="S138" i="3"/>
  <c r="T138" i="3"/>
  <c r="U138" i="3"/>
  <c r="S139" i="3"/>
  <c r="T139" i="3"/>
  <c r="U139" i="3"/>
  <c r="S140" i="3"/>
  <c r="T140" i="3"/>
  <c r="U140" i="3"/>
  <c r="S141" i="3"/>
  <c r="T141" i="3"/>
  <c r="U141" i="3"/>
  <c r="S142" i="3"/>
  <c r="T142" i="3"/>
  <c r="U142" i="3"/>
  <c r="S143" i="3"/>
  <c r="T143" i="3"/>
  <c r="U143" i="3"/>
  <c r="S144" i="3"/>
  <c r="T144" i="3"/>
  <c r="U144" i="3"/>
  <c r="S145" i="3"/>
  <c r="T145" i="3"/>
  <c r="U145" i="3"/>
  <c r="S146" i="3"/>
  <c r="T146" i="3"/>
  <c r="U146" i="3"/>
  <c r="S147" i="3"/>
  <c r="T147" i="3"/>
  <c r="U147" i="3"/>
  <c r="S148" i="3"/>
  <c r="T148" i="3"/>
  <c r="U148" i="3"/>
  <c r="S149" i="3"/>
  <c r="T149" i="3"/>
  <c r="U149" i="3"/>
  <c r="S150" i="3"/>
  <c r="T150" i="3"/>
  <c r="U150" i="3"/>
  <c r="S151" i="3"/>
  <c r="T151" i="3"/>
  <c r="U151" i="3"/>
  <c r="S152" i="3"/>
  <c r="T152" i="3"/>
  <c r="U152" i="3"/>
  <c r="S153" i="3"/>
  <c r="T153" i="3"/>
  <c r="U153" i="3"/>
  <c r="S154" i="3"/>
  <c r="T154" i="3"/>
  <c r="U154" i="3"/>
  <c r="S155" i="3"/>
  <c r="T155" i="3"/>
  <c r="U155" i="3"/>
  <c r="S156" i="3"/>
  <c r="T156" i="3"/>
  <c r="U156" i="3"/>
  <c r="S157" i="3"/>
  <c r="T157" i="3"/>
  <c r="U157" i="3"/>
  <c r="S158" i="3"/>
  <c r="T158" i="3"/>
  <c r="U158" i="3"/>
  <c r="S159" i="3"/>
  <c r="T159" i="3"/>
  <c r="U159" i="3"/>
  <c r="S160" i="3"/>
  <c r="T160" i="3"/>
  <c r="U160" i="3"/>
  <c r="S161" i="3"/>
  <c r="T161" i="3"/>
  <c r="U161" i="3"/>
  <c r="S162" i="3"/>
  <c r="T162" i="3"/>
  <c r="U162" i="3"/>
  <c r="S163" i="3"/>
  <c r="T163" i="3"/>
  <c r="U163" i="3"/>
  <c r="S164" i="3"/>
  <c r="T164" i="3"/>
  <c r="U164" i="3"/>
  <c r="S165" i="3"/>
  <c r="T165" i="3"/>
  <c r="U165" i="3"/>
  <c r="S166" i="3"/>
  <c r="T166" i="3"/>
  <c r="U166" i="3"/>
  <c r="S167" i="3"/>
  <c r="T167" i="3"/>
  <c r="U167" i="3"/>
  <c r="S168" i="3"/>
  <c r="T168" i="3"/>
  <c r="U168" i="3"/>
  <c r="S169" i="3"/>
  <c r="T169" i="3"/>
  <c r="U169" i="3"/>
  <c r="S170" i="3"/>
  <c r="T170" i="3"/>
  <c r="U170" i="3"/>
  <c r="S171" i="3"/>
  <c r="T171" i="3"/>
  <c r="U171" i="3"/>
  <c r="S172" i="3"/>
  <c r="T172" i="3"/>
  <c r="U172" i="3"/>
  <c r="S173" i="3"/>
  <c r="T173" i="3"/>
  <c r="U173" i="3"/>
  <c r="S174" i="3"/>
  <c r="T174" i="3"/>
  <c r="U174" i="3"/>
  <c r="S175" i="3"/>
  <c r="T175" i="3"/>
  <c r="U175" i="3"/>
  <c r="S176" i="3"/>
  <c r="T176" i="3"/>
  <c r="U176" i="3"/>
  <c r="S177" i="3"/>
  <c r="T177" i="3"/>
  <c r="U177" i="3"/>
  <c r="S178" i="3"/>
  <c r="T178" i="3"/>
  <c r="U178" i="3"/>
  <c r="S179" i="3"/>
  <c r="T179" i="3"/>
  <c r="U179" i="3"/>
  <c r="S180" i="3"/>
  <c r="T180" i="3"/>
  <c r="U180" i="3"/>
  <c r="S181" i="3"/>
  <c r="T181" i="3"/>
  <c r="U181" i="3"/>
  <c r="S182" i="3"/>
  <c r="T182" i="3"/>
  <c r="U182" i="3"/>
  <c r="S183" i="3"/>
  <c r="T183" i="3"/>
  <c r="U183" i="3"/>
  <c r="S184" i="3"/>
  <c r="T184" i="3"/>
  <c r="U184" i="3"/>
  <c r="S185" i="3"/>
  <c r="T185" i="3"/>
  <c r="U185" i="3"/>
  <c r="S186" i="3"/>
  <c r="T186" i="3"/>
  <c r="U186" i="3"/>
  <c r="S187" i="3"/>
  <c r="T187" i="3"/>
  <c r="U187" i="3"/>
  <c r="S188" i="3"/>
  <c r="T188" i="3"/>
  <c r="U188" i="3"/>
  <c r="S189" i="3"/>
  <c r="T189" i="3"/>
  <c r="U189" i="3"/>
  <c r="S190" i="3"/>
  <c r="T190" i="3"/>
  <c r="U190" i="3"/>
  <c r="S191" i="3"/>
  <c r="T191" i="3"/>
  <c r="U191" i="3"/>
  <c r="S192" i="3"/>
  <c r="T192" i="3"/>
  <c r="U192" i="3"/>
  <c r="S193" i="3"/>
  <c r="T193" i="3"/>
  <c r="U193" i="3"/>
  <c r="S194" i="3"/>
  <c r="T194" i="3"/>
  <c r="U194" i="3"/>
  <c r="S195" i="3"/>
  <c r="T195" i="3"/>
  <c r="U195" i="3"/>
  <c r="S196" i="3"/>
  <c r="T196" i="3"/>
  <c r="U196" i="3"/>
  <c r="S197" i="3"/>
  <c r="T197" i="3"/>
  <c r="U197" i="3"/>
  <c r="S198" i="3"/>
  <c r="T198" i="3"/>
  <c r="U198" i="3"/>
  <c r="S199" i="3"/>
  <c r="T199" i="3"/>
  <c r="U199" i="3"/>
  <c r="S200" i="3"/>
  <c r="T200" i="3"/>
  <c r="U200" i="3"/>
  <c r="S201" i="3"/>
  <c r="T201" i="3"/>
  <c r="U201" i="3"/>
  <c r="S202" i="3"/>
  <c r="T202" i="3"/>
  <c r="U202" i="3"/>
  <c r="S203" i="3"/>
  <c r="T203" i="3"/>
  <c r="U203" i="3"/>
  <c r="S204" i="3"/>
  <c r="T204" i="3"/>
  <c r="U204" i="3"/>
  <c r="S205" i="3"/>
  <c r="T205" i="3"/>
  <c r="U205" i="3"/>
  <c r="S206" i="3"/>
  <c r="T206" i="3"/>
  <c r="U206" i="3"/>
  <c r="S207" i="3"/>
  <c r="T207" i="3"/>
  <c r="U207" i="3"/>
  <c r="S208" i="3"/>
  <c r="T208" i="3"/>
  <c r="U208" i="3"/>
  <c r="S209" i="3"/>
  <c r="T209" i="3"/>
  <c r="U209" i="3"/>
  <c r="S210" i="3"/>
  <c r="T210" i="3"/>
  <c r="U210" i="3"/>
  <c r="S211" i="3"/>
  <c r="T211" i="3"/>
  <c r="U211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34" i="1"/>
  <c r="D135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60" i="1"/>
  <c r="Y203" i="3" l="1"/>
  <c r="X202" i="3"/>
  <c r="W201" i="3"/>
  <c r="AK199" i="3"/>
  <c r="X192" i="3"/>
  <c r="W191" i="3"/>
  <c r="AK189" i="3"/>
  <c r="V181" i="3"/>
  <c r="AJ179" i="3"/>
  <c r="W171" i="3"/>
  <c r="V170" i="3"/>
  <c r="AK168" i="3"/>
  <c r="AK152" i="3"/>
  <c r="W148" i="3"/>
  <c r="AJ144" i="3"/>
  <c r="AJ140" i="3"/>
  <c r="X130" i="3"/>
  <c r="AK123" i="3"/>
  <c r="Y119" i="3"/>
  <c r="X118" i="3"/>
  <c r="W117" i="3"/>
  <c r="AK111" i="3"/>
  <c r="AJ110" i="3"/>
  <c r="Y107" i="3"/>
  <c r="AJ105" i="3"/>
  <c r="X102" i="3"/>
  <c r="X95" i="3"/>
  <c r="W85" i="3"/>
  <c r="Y74" i="3"/>
  <c r="AJ70" i="3"/>
  <c r="X64" i="3"/>
  <c r="Y58" i="3"/>
  <c r="X52" i="3"/>
  <c r="Y47" i="3"/>
  <c r="W36" i="3"/>
  <c r="W33" i="3"/>
  <c r="X25" i="3"/>
  <c r="AJ23" i="3"/>
  <c r="AJ189" i="3"/>
  <c r="AK180" i="3"/>
  <c r="AK169" i="3"/>
  <c r="AJ168" i="3"/>
  <c r="AJ152" i="3"/>
  <c r="AJ147" i="3"/>
  <c r="AK129" i="3"/>
  <c r="AK116" i="3"/>
  <c r="AJ111" i="3"/>
  <c r="AJ94" i="3"/>
  <c r="AJ63" i="3"/>
  <c r="AJ60" i="3"/>
  <c r="AJ35" i="3"/>
  <c r="AJ32" i="3"/>
  <c r="V204" i="3"/>
  <c r="AK202" i="3"/>
  <c r="AJ201" i="3"/>
  <c r="X195" i="3"/>
  <c r="W194" i="3"/>
  <c r="V193" i="3"/>
  <c r="V183" i="3"/>
  <c r="AJ181" i="3"/>
  <c r="V173" i="3"/>
  <c r="AJ171" i="3"/>
  <c r="W164" i="3"/>
  <c r="AJ155" i="3"/>
  <c r="X149" i="3"/>
  <c r="AK145" i="3"/>
  <c r="AJ141" i="3"/>
  <c r="X131" i="3"/>
  <c r="AK124" i="3"/>
  <c r="Y121" i="3"/>
  <c r="W120" i="3"/>
  <c r="AJ118" i="3"/>
  <c r="AK112" i="3"/>
  <c r="AJ85" i="3"/>
  <c r="W77" i="3"/>
  <c r="X65" i="3"/>
  <c r="AJ49" i="3"/>
  <c r="X37" i="3"/>
  <c r="AJ29" i="3"/>
  <c r="W26" i="3"/>
  <c r="X18" i="3"/>
  <c r="X17" i="3"/>
  <c r="X16" i="3"/>
  <c r="X15" i="3"/>
  <c r="X14" i="3"/>
  <c r="X13" i="3"/>
  <c r="X12" i="3"/>
  <c r="X11" i="3"/>
  <c r="X10" i="3"/>
  <c r="X9" i="3"/>
  <c r="X8" i="3"/>
  <c r="X7" i="3"/>
  <c r="X6" i="3"/>
  <c r="AK130" i="3"/>
  <c r="AJ210" i="3"/>
  <c r="Y207" i="3"/>
  <c r="W206" i="3"/>
  <c r="AJ193" i="3"/>
  <c r="Y187" i="3"/>
  <c r="X186" i="3"/>
  <c r="AK156" i="3"/>
  <c r="AJ86" i="3"/>
  <c r="AJ5" i="3"/>
  <c r="AJ194" i="3"/>
  <c r="AJ156" i="3"/>
  <c r="AJ77" i="3"/>
  <c r="AJ40" i="3"/>
  <c r="AJ26" i="3"/>
  <c r="Y199" i="3"/>
  <c r="W198" i="3"/>
  <c r="Y189" i="3"/>
  <c r="W188" i="3"/>
  <c r="Y179" i="3"/>
  <c r="Y168" i="3"/>
  <c r="W167" i="3"/>
  <c r="Y144" i="3"/>
  <c r="X140" i="3"/>
  <c r="Y123" i="3"/>
  <c r="Y110" i="3"/>
  <c r="W97" i="3"/>
  <c r="W81" i="3"/>
  <c r="Y70" i="3"/>
  <c r="W35" i="3"/>
  <c r="Y23" i="3"/>
  <c r="V208" i="3"/>
  <c r="V198" i="3"/>
  <c r="V188" i="3"/>
  <c r="Y180" i="3"/>
  <c r="X179" i="3"/>
  <c r="W178" i="3"/>
  <c r="V167" i="3"/>
  <c r="X162" i="3"/>
  <c r="AJ157" i="3"/>
  <c r="X144" i="3"/>
  <c r="Y134" i="3"/>
  <c r="Y129" i="3"/>
  <c r="AJ127" i="3"/>
  <c r="X110" i="3"/>
  <c r="Y105" i="3"/>
  <c r="W94" i="3"/>
  <c r="AJ80" i="3"/>
  <c r="Y60" i="3"/>
  <c r="W42" i="3"/>
  <c r="AJ34" i="3"/>
  <c r="Y32" i="3"/>
  <c r="AJ27" i="3"/>
  <c r="X23" i="3"/>
  <c r="V22" i="3"/>
  <c r="Y209" i="3"/>
  <c r="W199" i="3"/>
  <c r="W189" i="3"/>
  <c r="W179" i="3"/>
  <c r="V178" i="3"/>
  <c r="Y169" i="3"/>
  <c r="W168" i="3"/>
  <c r="X159" i="3"/>
  <c r="Y152" i="3"/>
  <c r="W144" i="3"/>
  <c r="X134" i="3"/>
  <c r="Y111" i="3"/>
  <c r="X105" i="3"/>
  <c r="AJ93" i="3"/>
  <c r="W70" i="3"/>
  <c r="X60" i="3"/>
  <c r="X57" i="3"/>
  <c r="X39" i="3"/>
  <c r="X32" i="3"/>
  <c r="Y24" i="3"/>
  <c r="W23" i="3"/>
  <c r="Y181" i="3"/>
  <c r="V179" i="3"/>
  <c r="Y170" i="3"/>
  <c r="V168" i="3"/>
  <c r="AJ161" i="3"/>
  <c r="W129" i="3"/>
  <c r="Y116" i="3"/>
  <c r="Y106" i="3"/>
  <c r="W105" i="3"/>
  <c r="W101" i="3"/>
  <c r="Y98" i="3"/>
  <c r="Y82" i="3"/>
  <c r="AJ78" i="3"/>
  <c r="W73" i="3"/>
  <c r="X49" i="3"/>
  <c r="W39" i="3"/>
  <c r="W32" i="3"/>
  <c r="W29" i="3"/>
  <c r="X24" i="3"/>
  <c r="V23" i="3"/>
  <c r="Y201" i="3"/>
  <c r="W200" i="3"/>
  <c r="Y191" i="3"/>
  <c r="W190" i="3"/>
  <c r="Y171" i="3"/>
  <c r="Y145" i="3"/>
  <c r="Y141" i="3"/>
  <c r="Y124" i="3"/>
  <c r="Y117" i="3"/>
  <c r="Y112" i="3"/>
  <c r="W111" i="3"/>
  <c r="X98" i="3"/>
  <c r="Y85" i="3"/>
  <c r="X82" i="3"/>
  <c r="Y67" i="3"/>
  <c r="AJ38" i="3"/>
  <c r="AJ31" i="3"/>
  <c r="AJ28" i="3"/>
  <c r="W24" i="3"/>
  <c r="AJ22" i="3"/>
  <c r="W208" i="3"/>
  <c r="AJ208" i="3"/>
  <c r="V200" i="3"/>
  <c r="AJ198" i="3"/>
  <c r="AJ178" i="3"/>
  <c r="W170" i="3"/>
  <c r="W141" i="3"/>
  <c r="Y102" i="3"/>
  <c r="AJ97" i="3"/>
  <c r="Y95" i="3"/>
  <c r="X85" i="3"/>
  <c r="AJ81" i="3"/>
  <c r="X67" i="3"/>
  <c r="Y64" i="3"/>
  <c r="AJ42" i="3"/>
  <c r="X36" i="3"/>
  <c r="X33" i="3"/>
  <c r="Y25" i="3"/>
  <c r="V24" i="3"/>
  <c r="V142" i="3"/>
  <c r="AJ142" i="3"/>
  <c r="V137" i="3"/>
  <c r="AJ137" i="3"/>
  <c r="W137" i="3"/>
  <c r="V123" i="3"/>
  <c r="AJ123" i="3"/>
  <c r="W123" i="3"/>
  <c r="V107" i="3"/>
  <c r="AJ107" i="3"/>
  <c r="W107" i="3"/>
  <c r="V75" i="3"/>
  <c r="W75" i="3"/>
  <c r="AJ75" i="3"/>
  <c r="V159" i="3"/>
  <c r="AJ159" i="3"/>
  <c r="AK154" i="3"/>
  <c r="X154" i="3"/>
  <c r="AK148" i="3"/>
  <c r="X147" i="3"/>
  <c r="Y147" i="3"/>
  <c r="W139" i="3"/>
  <c r="AK91" i="3"/>
  <c r="X91" i="3"/>
  <c r="AK84" i="3"/>
  <c r="X84" i="3"/>
  <c r="Y84" i="3"/>
  <c r="V154" i="3"/>
  <c r="W154" i="3"/>
  <c r="V131" i="3"/>
  <c r="W131" i="3"/>
  <c r="AJ131" i="3"/>
  <c r="V115" i="3"/>
  <c r="W115" i="3"/>
  <c r="AJ115" i="3"/>
  <c r="V98" i="3"/>
  <c r="AJ98" i="3"/>
  <c r="W98" i="3"/>
  <c r="V91" i="3"/>
  <c r="W91" i="3"/>
  <c r="V84" i="3"/>
  <c r="W84" i="3"/>
  <c r="AJ84" i="3"/>
  <c r="AK35" i="3"/>
  <c r="X35" i="3"/>
  <c r="Y35" i="3"/>
  <c r="AK138" i="3"/>
  <c r="X138" i="3"/>
  <c r="V124" i="3"/>
  <c r="W124" i="3"/>
  <c r="V108" i="3"/>
  <c r="W108" i="3"/>
  <c r="V138" i="3"/>
  <c r="W138" i="3"/>
  <c r="V116" i="3"/>
  <c r="W116" i="3"/>
  <c r="V109" i="3"/>
  <c r="W109" i="3"/>
  <c r="V88" i="3"/>
  <c r="AK79" i="3"/>
  <c r="X79" i="3"/>
  <c r="Y79" i="3"/>
  <c r="Y163" i="3"/>
  <c r="X155" i="3"/>
  <c r="Y155" i="3"/>
  <c r="Y135" i="3"/>
  <c r="V132" i="3"/>
  <c r="W132" i="3"/>
  <c r="V125" i="3"/>
  <c r="W125" i="3"/>
  <c r="W210" i="3"/>
  <c r="V209" i="3"/>
  <c r="X164" i="3"/>
  <c r="AJ139" i="3"/>
  <c r="X135" i="3"/>
  <c r="AJ103" i="3"/>
  <c r="V103" i="3"/>
  <c r="W103" i="3"/>
  <c r="W163" i="3"/>
  <c r="W211" i="3"/>
  <c r="V210" i="3"/>
  <c r="Y153" i="3"/>
  <c r="W152" i="3"/>
  <c r="X139" i="3"/>
  <c r="Y139" i="3"/>
  <c r="V92" i="3"/>
  <c r="W92" i="3"/>
  <c r="AJ92" i="3"/>
  <c r="AK43" i="3"/>
  <c r="X43" i="3"/>
  <c r="Y43" i="3"/>
  <c r="AK71" i="3"/>
  <c r="X71" i="3"/>
  <c r="Y71" i="3"/>
  <c r="AK160" i="3"/>
  <c r="W209" i="3"/>
  <c r="V211" i="3"/>
  <c r="AK163" i="3"/>
  <c r="X153" i="3"/>
  <c r="V150" i="3"/>
  <c r="AJ150" i="3"/>
  <c r="AJ209" i="3"/>
  <c r="AJ163" i="3"/>
  <c r="V162" i="3"/>
  <c r="W162" i="3"/>
  <c r="Y159" i="3"/>
  <c r="AK140" i="3"/>
  <c r="W136" i="3"/>
  <c r="AK89" i="3"/>
  <c r="X89" i="3"/>
  <c r="Y89" i="3"/>
  <c r="V145" i="3"/>
  <c r="W145" i="3"/>
  <c r="AJ145" i="3"/>
  <c r="V134" i="3"/>
  <c r="AJ134" i="3"/>
  <c r="AK100" i="3"/>
  <c r="X100" i="3"/>
  <c r="V83" i="3"/>
  <c r="AJ83" i="3"/>
  <c r="W83" i="3"/>
  <c r="W147" i="3"/>
  <c r="Y143" i="3"/>
  <c r="W142" i="3"/>
  <c r="W130" i="3"/>
  <c r="V128" i="3"/>
  <c r="AJ128" i="3"/>
  <c r="W114" i="3"/>
  <c r="V112" i="3"/>
  <c r="AJ112" i="3"/>
  <c r="V100" i="3"/>
  <c r="W100" i="3"/>
  <c r="X143" i="3"/>
  <c r="W88" i="3"/>
  <c r="Y160" i="3"/>
  <c r="X148" i="3"/>
  <c r="X146" i="3"/>
  <c r="AK146" i="3"/>
  <c r="Y138" i="3"/>
  <c r="V122" i="3"/>
  <c r="AJ122" i="3"/>
  <c r="V106" i="3"/>
  <c r="AJ106" i="3"/>
  <c r="V153" i="3"/>
  <c r="AJ153" i="3"/>
  <c r="W153" i="3"/>
  <c r="AJ114" i="3"/>
  <c r="X160" i="3"/>
  <c r="V158" i="3"/>
  <c r="AJ158" i="3"/>
  <c r="V146" i="3"/>
  <c r="W146" i="3"/>
  <c r="AJ130" i="3"/>
  <c r="W160" i="3"/>
  <c r="W155" i="3"/>
  <c r="AK147" i="3"/>
  <c r="AK94" i="3"/>
  <c r="X94" i="3"/>
  <c r="Y94" i="3"/>
  <c r="AK75" i="3"/>
  <c r="X75" i="3"/>
  <c r="Y75" i="3"/>
  <c r="AK97" i="3"/>
  <c r="X97" i="3"/>
  <c r="AK88" i="3"/>
  <c r="X88" i="3"/>
  <c r="Y88" i="3"/>
  <c r="V79" i="3"/>
  <c r="AJ79" i="3"/>
  <c r="W79" i="3"/>
  <c r="V74" i="3"/>
  <c r="AJ74" i="3"/>
  <c r="AK70" i="3"/>
  <c r="AK54" i="3"/>
  <c r="X54" i="3"/>
  <c r="Y54" i="3"/>
  <c r="V43" i="3"/>
  <c r="W43" i="3"/>
  <c r="AK62" i="3"/>
  <c r="X62" i="3"/>
  <c r="Y62" i="3"/>
  <c r="V58" i="3"/>
  <c r="AJ58" i="3"/>
  <c r="AK51" i="3"/>
  <c r="X51" i="3"/>
  <c r="V66" i="3"/>
  <c r="AJ66" i="3"/>
  <c r="V51" i="3"/>
  <c r="W51" i="3"/>
  <c r="V48" i="3"/>
  <c r="W48" i="3"/>
  <c r="AK80" i="3"/>
  <c r="X80" i="3"/>
  <c r="Y80" i="3"/>
  <c r="V71" i="3"/>
  <c r="AJ71" i="3"/>
  <c r="W71" i="3"/>
  <c r="AJ120" i="3"/>
  <c r="AK104" i="3"/>
  <c r="AJ99" i="3"/>
  <c r="Y87" i="3"/>
  <c r="Y78" i="3"/>
  <c r="AK63" i="3"/>
  <c r="Y61" i="3"/>
  <c r="V55" i="3"/>
  <c r="AJ55" i="3"/>
  <c r="W96" i="3"/>
  <c r="X87" i="3"/>
  <c r="AK76" i="3"/>
  <c r="X76" i="3"/>
  <c r="V67" i="3"/>
  <c r="W67" i="3"/>
  <c r="X61" i="3"/>
  <c r="AK59" i="3"/>
  <c r="X59" i="3"/>
  <c r="V45" i="3"/>
  <c r="V76" i="3"/>
  <c r="W76" i="3"/>
  <c r="AJ72" i="3"/>
  <c r="V59" i="3"/>
  <c r="W59" i="3"/>
  <c r="W156" i="3"/>
  <c r="W140" i="3"/>
  <c r="W126" i="3"/>
  <c r="W110" i="3"/>
  <c r="V95" i="3"/>
  <c r="AJ95" i="3"/>
  <c r="W95" i="3"/>
  <c r="V90" i="3"/>
  <c r="AJ90" i="3"/>
  <c r="AK86" i="3"/>
  <c r="AK81" i="3"/>
  <c r="X81" i="3"/>
  <c r="AK72" i="3"/>
  <c r="X72" i="3"/>
  <c r="Y72" i="3"/>
  <c r="AK68" i="3"/>
  <c r="X68" i="3"/>
  <c r="Y68" i="3"/>
  <c r="V64" i="3"/>
  <c r="W64" i="3"/>
  <c r="V56" i="3"/>
  <c r="W56" i="3"/>
  <c r="Y51" i="3"/>
  <c r="AK46" i="3"/>
  <c r="X46" i="3"/>
  <c r="Y46" i="3"/>
  <c r="AK34" i="3"/>
  <c r="AK30" i="3"/>
  <c r="X30" i="3"/>
  <c r="Y30" i="3"/>
  <c r="V68" i="3"/>
  <c r="W68" i="3"/>
  <c r="W58" i="3"/>
  <c r="V53" i="3"/>
  <c r="AJ53" i="3"/>
  <c r="AK50" i="3"/>
  <c r="Y48" i="3"/>
  <c r="AK96" i="3"/>
  <c r="X96" i="3"/>
  <c r="Y96" i="3"/>
  <c r="V87" i="3"/>
  <c r="AJ87" i="3"/>
  <c r="W87" i="3"/>
  <c r="V82" i="3"/>
  <c r="AJ82" i="3"/>
  <c r="AK78" i="3"/>
  <c r="AK73" i="3"/>
  <c r="X73" i="3"/>
  <c r="W66" i="3"/>
  <c r="V50" i="3"/>
  <c r="AJ50" i="3"/>
  <c r="X48" i="3"/>
  <c r="Y40" i="3"/>
  <c r="AK38" i="3"/>
  <c r="X38" i="3"/>
  <c r="Y38" i="3"/>
  <c r="AK101" i="3"/>
  <c r="Y101" i="3"/>
  <c r="X101" i="3"/>
  <c r="V61" i="3"/>
  <c r="X40" i="3"/>
  <c r="AJ143" i="3"/>
  <c r="AJ129" i="3"/>
  <c r="AJ113" i="3"/>
  <c r="Y104" i="3"/>
  <c r="AK92" i="3"/>
  <c r="X92" i="3"/>
  <c r="W80" i="3"/>
  <c r="X63" i="3"/>
  <c r="W55" i="3"/>
  <c r="Y45" i="3"/>
  <c r="AJ43" i="3"/>
  <c r="V60" i="3"/>
  <c r="Y52" i="3"/>
  <c r="V44" i="3"/>
  <c r="Y36" i="3"/>
  <c r="V62" i="3"/>
  <c r="V46" i="3"/>
  <c r="Y65" i="3"/>
  <c r="V57" i="3"/>
  <c r="Y49" i="3"/>
  <c r="Y33" i="3"/>
  <c r="V52" i="3"/>
  <c r="V63" i="3"/>
  <c r="Y55" i="3"/>
  <c r="V47" i="3"/>
  <c r="Y39" i="3"/>
  <c r="Y29" i="3"/>
  <c r="X29" i="3"/>
  <c r="V54" i="3"/>
  <c r="V65" i="3"/>
  <c r="Y57" i="3"/>
  <c r="V49" i="3"/>
  <c r="Y41" i="3"/>
  <c r="AK5" i="3"/>
  <c r="Y5" i="3"/>
  <c r="W5" i="3"/>
  <c r="D43" i="1"/>
  <c r="D30" i="1"/>
  <c r="D21" i="1"/>
  <c r="D8" i="1"/>
  <c r="D12" i="1"/>
  <c r="D13" i="1"/>
  <c r="D14" i="1"/>
  <c r="D15" i="1"/>
  <c r="D16" i="1"/>
  <c r="D17" i="1"/>
  <c r="D18" i="1"/>
  <c r="D19" i="1"/>
  <c r="D20" i="1"/>
  <c r="D22" i="1"/>
  <c r="D23" i="1"/>
  <c r="D24" i="1"/>
  <c r="D25" i="1"/>
  <c r="D26" i="1"/>
  <c r="D27" i="1"/>
  <c r="D28" i="1"/>
  <c r="D29" i="1"/>
  <c r="D31" i="1"/>
  <c r="D32" i="1"/>
  <c r="D33" i="1"/>
  <c r="D34" i="1"/>
  <c r="D35" i="1"/>
  <c r="D36" i="1"/>
  <c r="D37" i="1"/>
  <c r="D38" i="1"/>
  <c r="D39" i="1"/>
  <c r="D40" i="1"/>
  <c r="D41" i="1"/>
  <c r="D42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" i="1"/>
  <c r="D7" i="1"/>
  <c r="D9" i="1"/>
  <c r="D10" i="1"/>
  <c r="D11" i="1"/>
  <c r="D4" i="1"/>
  <c r="D5" i="1"/>
  <c r="D3" i="1"/>
  <c r="AI4" i="3" l="1"/>
  <c r="AK4" i="3" s="1"/>
  <c r="AH4" i="3"/>
  <c r="AD4" i="3"/>
  <c r="AC4" i="3"/>
  <c r="AB4" i="3"/>
  <c r="U4" i="3"/>
  <c r="AE4" i="3" s="1"/>
  <c r="T4" i="3"/>
  <c r="AF4" i="3" s="1"/>
  <c r="S4" i="3"/>
  <c r="AG4" i="3" s="1"/>
  <c r="A4" i="3"/>
  <c r="AI3" i="3"/>
  <c r="AK3" i="3" s="1"/>
  <c r="AH3" i="3"/>
  <c r="AD3" i="3"/>
  <c r="AC3" i="3"/>
  <c r="AB3" i="3"/>
  <c r="U3" i="3"/>
  <c r="AE3" i="3" s="1"/>
  <c r="T3" i="3"/>
  <c r="AF3" i="3" s="1"/>
  <c r="S3" i="3"/>
  <c r="AG3" i="3" s="1"/>
  <c r="A3" i="3"/>
  <c r="V3" i="3" l="1"/>
  <c r="W3" i="3"/>
  <c r="AJ4" i="3"/>
  <c r="W4" i="3"/>
  <c r="V4" i="3"/>
  <c r="AJ3" i="3"/>
  <c r="X3" i="3"/>
  <c r="X4" i="3"/>
  <c r="Y3" i="3"/>
  <c r="Y4" i="3"/>
</calcChain>
</file>

<file path=xl/sharedStrings.xml><?xml version="1.0" encoding="utf-8"?>
<sst xmlns="http://schemas.openxmlformats.org/spreadsheetml/2006/main" count="2647" uniqueCount="541">
  <si>
    <t>ID</t>
  </si>
  <si>
    <t>Type</t>
  </si>
  <si>
    <t>Shape</t>
  </si>
  <si>
    <t>Name</t>
  </si>
  <si>
    <t>Area</t>
  </si>
  <si>
    <t>Asy</t>
  </si>
  <si>
    <t>Asz</t>
  </si>
  <si>
    <t>Ixx</t>
  </si>
  <si>
    <t>Iyy</t>
  </si>
  <si>
    <t>Izz</t>
  </si>
  <si>
    <t>Cyp</t>
  </si>
  <si>
    <t>Cym</t>
  </si>
  <si>
    <t>Czp</t>
  </si>
  <si>
    <t>Czm</t>
  </si>
  <si>
    <t>Qyb</t>
  </si>
  <si>
    <t>Qzb</t>
  </si>
  <si>
    <t>Peri</t>
  </si>
  <si>
    <t>Per</t>
  </si>
  <si>
    <r>
      <t>S</t>
    </r>
    <r>
      <rPr>
        <b/>
        <sz val="12"/>
        <color rgb="FF000000"/>
        <rFont val="Times New Roman"/>
        <family val="2"/>
      </rPr>
      <t>2L</t>
    </r>
  </si>
  <si>
    <r>
      <t>S</t>
    </r>
    <r>
      <rPr>
        <b/>
        <sz val="12"/>
        <color rgb="FF000000"/>
        <rFont val="Times New Roman"/>
        <family val="2"/>
      </rPr>
      <t>2R</t>
    </r>
  </si>
  <si>
    <r>
      <t>S</t>
    </r>
    <r>
      <rPr>
        <b/>
        <sz val="12"/>
        <color rgb="FF000000"/>
        <rFont val="Times New Roman"/>
        <family val="2"/>
      </rPr>
      <t>3T</t>
    </r>
  </si>
  <si>
    <r>
      <t>S</t>
    </r>
    <r>
      <rPr>
        <b/>
        <sz val="12"/>
        <color rgb="FF000000"/>
        <rFont val="Times New Roman"/>
        <family val="2"/>
      </rPr>
      <t>3B</t>
    </r>
  </si>
  <si>
    <r>
      <t>R</t>
    </r>
    <r>
      <rPr>
        <b/>
        <sz val="12"/>
        <color rgb="FF000000"/>
        <rFont val="Times New Roman"/>
        <family val="2"/>
      </rPr>
      <t>22</t>
    </r>
  </si>
  <si>
    <r>
      <t>R</t>
    </r>
    <r>
      <rPr>
        <b/>
        <sz val="12"/>
        <color rgb="FF000000"/>
        <rFont val="Times New Roman"/>
        <family val="2"/>
      </rPr>
      <t>33</t>
    </r>
  </si>
  <si>
    <r>
      <t>t</t>
    </r>
    <r>
      <rPr>
        <b/>
        <sz val="12"/>
        <color rgb="FF000000"/>
        <rFont val="Times New Roman"/>
        <family val="2"/>
      </rPr>
      <t>3</t>
    </r>
  </si>
  <si>
    <r>
      <t>t</t>
    </r>
    <r>
      <rPr>
        <b/>
        <sz val="12"/>
        <color rgb="FF000000"/>
        <rFont val="Times New Roman"/>
        <family val="2"/>
      </rPr>
      <t>2</t>
    </r>
  </si>
  <si>
    <t>TorsConst</t>
  </si>
  <si>
    <r>
      <t>AS</t>
    </r>
    <r>
      <rPr>
        <b/>
        <sz val="12"/>
        <color rgb="FF000000"/>
        <rFont val="Times New Roman"/>
        <family val="2"/>
      </rPr>
      <t>2</t>
    </r>
  </si>
  <si>
    <r>
      <t>AS</t>
    </r>
    <r>
      <rPr>
        <b/>
        <sz val="12"/>
        <color rgb="FF000000"/>
        <rFont val="Times New Roman"/>
        <family val="2"/>
      </rPr>
      <t>3</t>
    </r>
  </si>
  <si>
    <r>
      <t>I</t>
    </r>
    <r>
      <rPr>
        <b/>
        <sz val="12"/>
        <color rgb="FF000000"/>
        <rFont val="Times New Roman"/>
        <family val="2"/>
      </rPr>
      <t>22</t>
    </r>
  </si>
  <si>
    <r>
      <t>I</t>
    </r>
    <r>
      <rPr>
        <b/>
        <sz val="12"/>
        <color rgb="FF000000"/>
        <rFont val="Times New Roman"/>
        <family val="2"/>
      </rPr>
      <t>33</t>
    </r>
  </si>
  <si>
    <r>
      <t>Z</t>
    </r>
    <r>
      <rPr>
        <b/>
        <sz val="12"/>
        <color rgb="FF000000"/>
        <rFont val="Times New Roman"/>
        <family val="2"/>
      </rPr>
      <t>22</t>
    </r>
  </si>
  <si>
    <r>
      <t>Z</t>
    </r>
    <r>
      <rPr>
        <b/>
        <sz val="12"/>
        <color rgb="FF000000"/>
        <rFont val="Times New Roman"/>
        <family val="2"/>
      </rPr>
      <t>33</t>
    </r>
  </si>
  <si>
    <t>[-]</t>
  </si>
  <si>
    <t>[mm2]</t>
  </si>
  <si>
    <t>[mm4]</t>
  </si>
  <si>
    <t>[mm]</t>
  </si>
  <si>
    <r>
      <t>m</t>
    </r>
    <r>
      <rPr>
        <b/>
        <sz val="12"/>
        <color rgb="FF000000"/>
        <rFont val="Times New Roman"/>
        <family val="2"/>
      </rPr>
      <t>3</t>
    </r>
  </si>
  <si>
    <t>m</t>
  </si>
  <si>
    <r>
      <t>m</t>
    </r>
    <r>
      <rPr>
        <b/>
        <sz val="12"/>
        <color rgb="FF000000"/>
        <rFont val="Times New Roman"/>
        <family val="2"/>
      </rPr>
      <t>2</t>
    </r>
  </si>
  <si>
    <r>
      <t>m</t>
    </r>
    <r>
      <rPr>
        <b/>
        <sz val="12"/>
        <color rgb="FF000000"/>
        <rFont val="Times New Roman"/>
        <family val="2"/>
      </rPr>
      <t>4</t>
    </r>
  </si>
  <si>
    <t>Steel Girder B</t>
  </si>
  <si>
    <t>STLB</t>
  </si>
  <si>
    <t>H/H/H</t>
  </si>
  <si>
    <t>B/B/B1</t>
  </si>
  <si>
    <t>/tw/B2</t>
  </si>
  <si>
    <t>/tf/t</t>
  </si>
  <si>
    <t>//R</t>
  </si>
  <si>
    <t>Tee</t>
  </si>
  <si>
    <t>Flat</t>
  </si>
  <si>
    <r>
      <rPr>
        <b/>
        <sz val="12"/>
        <color rgb="FF000000"/>
        <rFont val="Microsoft JhengHei"/>
        <family val="2"/>
      </rPr>
      <t>編號</t>
    </r>
  </si>
  <si>
    <t>Ref_top</t>
  </si>
  <si>
    <t>Ref_bot</t>
  </si>
  <si>
    <t>B1</t>
  </si>
  <si>
    <t>B2</t>
  </si>
  <si>
    <t>B3</t>
  </si>
  <si>
    <t>B4</t>
  </si>
  <si>
    <t>B5</t>
  </si>
  <si>
    <t>B6</t>
  </si>
  <si>
    <t>H</t>
  </si>
  <si>
    <t>t1</t>
  </si>
  <si>
    <t>t2</t>
  </si>
  <si>
    <t>tw1</t>
  </si>
  <si>
    <t>tw2</t>
  </si>
  <si>
    <t>Top-Flange (Left-type)</t>
  </si>
  <si>
    <t>Top-Flange (Left-spacing)</t>
  </si>
  <si>
    <t>Top-Flange (Center-type)</t>
  </si>
  <si>
    <t>Top-Flange (Center-spacing)</t>
  </si>
  <si>
    <t>Top-Flange (Right-type)</t>
  </si>
  <si>
    <t>Top-Flange (Right-spacing)</t>
  </si>
  <si>
    <t>Bottom-Flange (Left-type)</t>
  </si>
  <si>
    <t>Bottom-Flange (Left-spacing)</t>
  </si>
  <si>
    <t>Bottom-Flange (Center-type)</t>
  </si>
  <si>
    <t>Bottom-Flange (Center-spacing)</t>
  </si>
  <si>
    <t>Bottom-Flange (Right-type)</t>
  </si>
  <si>
    <t>Bottom-Flange (Right-spacing)</t>
  </si>
  <si>
    <t>370,280,300,300,300</t>
  </si>
  <si>
    <t>T_rib</t>
  </si>
  <si>
    <t>T_rib</t>
    <phoneticPr fontId="9" type="noConversion"/>
  </si>
  <si>
    <t>F_rib</t>
  </si>
  <si>
    <t>F_rib</t>
    <phoneticPr fontId="9" type="noConversion"/>
  </si>
  <si>
    <t>GA101</t>
  </si>
  <si>
    <t>200,300,300,300,300,300,300,300,300</t>
  </si>
  <si>
    <t>200,300,300,300,300,300,300,300,300</t>
    <phoneticPr fontId="9" type="noConversion"/>
  </si>
  <si>
    <t>200,300,280,280,280,280,280,280,250,254.5</t>
    <phoneticPr fontId="9" type="noConversion"/>
  </si>
  <si>
    <t>466.666666666667,466.666666666667,466.666666666667,466.666666666667,466.666666666667</t>
    <phoneticPr fontId="9" type="noConversion"/>
  </si>
  <si>
    <t>GA102</t>
  </si>
  <si>
    <t>GA103</t>
  </si>
  <si>
    <t>GA104</t>
  </si>
  <si>
    <t>GA105</t>
  </si>
  <si>
    <t>GA106</t>
  </si>
  <si>
    <t>GA107</t>
  </si>
  <si>
    <t>GA108</t>
  </si>
  <si>
    <t>GA109</t>
  </si>
  <si>
    <t>200,300,280,280,280,280,280,280,250,232</t>
    <phoneticPr fontId="9" type="noConversion"/>
  </si>
  <si>
    <t>200,300,280,280,280,280,280,280,230,217</t>
    <phoneticPr fontId="9" type="noConversion"/>
  </si>
  <si>
    <t>GA110</t>
  </si>
  <si>
    <t>GA111</t>
  </si>
  <si>
    <t>GA112</t>
  </si>
  <si>
    <t>GA113</t>
  </si>
  <si>
    <t>GA114</t>
  </si>
  <si>
    <t>GA115</t>
  </si>
  <si>
    <t>GA116</t>
  </si>
  <si>
    <t>GA117</t>
  </si>
  <si>
    <t>GA118</t>
  </si>
  <si>
    <t>GA119</t>
  </si>
  <si>
    <t>GA120</t>
  </si>
  <si>
    <t>GA121</t>
  </si>
  <si>
    <t>GA122</t>
  </si>
  <si>
    <t>GA123</t>
  </si>
  <si>
    <t>GA124</t>
  </si>
  <si>
    <t>GA125</t>
  </si>
  <si>
    <t>GA126</t>
  </si>
  <si>
    <t>GA127</t>
  </si>
  <si>
    <t>GA128</t>
  </si>
  <si>
    <t>GA129</t>
  </si>
  <si>
    <t>GA130</t>
  </si>
  <si>
    <t>GA131</t>
  </si>
  <si>
    <t>GA132</t>
  </si>
  <si>
    <t>GA133</t>
  </si>
  <si>
    <t>GA134</t>
  </si>
  <si>
    <t>GA135</t>
  </si>
  <si>
    <t>GA136</t>
  </si>
  <si>
    <t>GA137</t>
  </si>
  <si>
    <t>GA138</t>
  </si>
  <si>
    <t>GA139</t>
  </si>
  <si>
    <t>GA140</t>
  </si>
  <si>
    <t>GA141</t>
  </si>
  <si>
    <t>GA142</t>
  </si>
  <si>
    <t>GA143</t>
  </si>
  <si>
    <t>GA144</t>
  </si>
  <si>
    <t>GA145</t>
  </si>
  <si>
    <t>GA146</t>
  </si>
  <si>
    <t>GA147</t>
  </si>
  <si>
    <t>GA148</t>
  </si>
  <si>
    <t>GA149</t>
  </si>
  <si>
    <t>GA150</t>
  </si>
  <si>
    <t>GA151</t>
  </si>
  <si>
    <t>GA152</t>
  </si>
  <si>
    <t>GA153</t>
  </si>
  <si>
    <t>GA154</t>
  </si>
  <si>
    <t>GA155</t>
  </si>
  <si>
    <t>GA156</t>
  </si>
  <si>
    <t>GA157</t>
  </si>
  <si>
    <t>200,300,280,280,280,280,280,280,301</t>
    <phoneticPr fontId="9" type="noConversion"/>
  </si>
  <si>
    <t>200,300,280,280,280,280,280,280,201</t>
    <phoneticPr fontId="9" type="noConversion"/>
  </si>
  <si>
    <t>GA201</t>
  </si>
  <si>
    <t>200,300,280,280,280,280,280</t>
  </si>
  <si>
    <t>200,300,280,280,280,280,280</t>
    <phoneticPr fontId="9" type="noConversion"/>
  </si>
  <si>
    <t>200,300,280,280,280,280,273</t>
    <phoneticPr fontId="9" type="noConversion"/>
  </si>
  <si>
    <t>200,300,280,280,280,280,265</t>
    <phoneticPr fontId="9" type="noConversion"/>
  </si>
  <si>
    <t>200,300,280,280,280,280,258</t>
    <phoneticPr fontId="9" type="noConversion"/>
  </si>
  <si>
    <t>200,300,280,280,280,280,250</t>
    <phoneticPr fontId="9" type="noConversion"/>
  </si>
  <si>
    <t>200,300,280,280,280,280,237</t>
    <phoneticPr fontId="9" type="noConversion"/>
  </si>
  <si>
    <t>200,300,280,280,280,280,225</t>
    <phoneticPr fontId="9" type="noConversion"/>
  </si>
  <si>
    <t>200,300,280,280,280,280,212</t>
    <phoneticPr fontId="9" type="noConversion"/>
  </si>
  <si>
    <t>200,300,280,280,280,280,200</t>
    <phoneticPr fontId="9" type="noConversion"/>
  </si>
  <si>
    <t>200,300,280,280,280,280</t>
  </si>
  <si>
    <t>200,300,280,280,280,280</t>
    <phoneticPr fontId="9" type="noConversion"/>
  </si>
  <si>
    <t>GA202</t>
  </si>
  <si>
    <t>GA203</t>
  </si>
  <si>
    <t>GA204</t>
  </si>
  <si>
    <t>GA205</t>
  </si>
  <si>
    <t>GA206</t>
  </si>
  <si>
    <t>GA207</t>
  </si>
  <si>
    <t>GA208</t>
  </si>
  <si>
    <t>GA209</t>
  </si>
  <si>
    <t>GA210</t>
  </si>
  <si>
    <t>GA211</t>
  </si>
  <si>
    <t>GA212</t>
  </si>
  <si>
    <t>GA213</t>
  </si>
  <si>
    <t>GA214</t>
  </si>
  <si>
    <t>GA215</t>
  </si>
  <si>
    <t>GA216</t>
  </si>
  <si>
    <t>GA217</t>
  </si>
  <si>
    <t>GA218</t>
  </si>
  <si>
    <t>GA219</t>
  </si>
  <si>
    <t>GA220</t>
  </si>
  <si>
    <t>GA221</t>
  </si>
  <si>
    <t>GA222</t>
  </si>
  <si>
    <t>GA223</t>
  </si>
  <si>
    <t>GA224</t>
  </si>
  <si>
    <t>GA225</t>
  </si>
  <si>
    <t>GA226</t>
  </si>
  <si>
    <t>GA227</t>
  </si>
  <si>
    <t>GA228</t>
  </si>
  <si>
    <t>GA229</t>
  </si>
  <si>
    <t>GA230</t>
  </si>
  <si>
    <t>GA231</t>
  </si>
  <si>
    <t>GA232</t>
  </si>
  <si>
    <t>GA233</t>
  </si>
  <si>
    <t>GA234</t>
  </si>
  <si>
    <t>GA235</t>
  </si>
  <si>
    <t>GA236</t>
  </si>
  <si>
    <t>GA237</t>
  </si>
  <si>
    <t>GA238</t>
  </si>
  <si>
    <t>GA239</t>
  </si>
  <si>
    <t>GA240</t>
  </si>
  <si>
    <t>GA241</t>
  </si>
  <si>
    <t>GA242</t>
  </si>
  <si>
    <t>GA243</t>
  </si>
  <si>
    <t>GA244</t>
  </si>
  <si>
    <t>GA245</t>
  </si>
  <si>
    <t>GA246</t>
  </si>
  <si>
    <t>GA247</t>
  </si>
  <si>
    <t>GA248</t>
  </si>
  <si>
    <t>GA249</t>
  </si>
  <si>
    <t>GA250</t>
  </si>
  <si>
    <t>GA251</t>
  </si>
  <si>
    <t>GA252</t>
  </si>
  <si>
    <t>GA253</t>
  </si>
  <si>
    <t>GA254</t>
  </si>
  <si>
    <t>GA255</t>
  </si>
  <si>
    <t>GA256</t>
  </si>
  <si>
    <t>GA257</t>
  </si>
  <si>
    <t>GA258</t>
  </si>
  <si>
    <t>GA259</t>
  </si>
  <si>
    <t>GA260</t>
  </si>
  <si>
    <t>GA261</t>
  </si>
  <si>
    <t>GA262</t>
  </si>
  <si>
    <t>GA263</t>
  </si>
  <si>
    <t>GA264</t>
  </si>
  <si>
    <t>GA265</t>
  </si>
  <si>
    <t>GA266</t>
  </si>
  <si>
    <t>GA267</t>
  </si>
  <si>
    <t>GA268</t>
  </si>
  <si>
    <t>GA269</t>
  </si>
  <si>
    <t>GA270</t>
  </si>
  <si>
    <t>GA271</t>
  </si>
  <si>
    <t>GA272</t>
  </si>
  <si>
    <t>GA273</t>
  </si>
  <si>
    <t>GA274</t>
  </si>
  <si>
    <t>GA301</t>
  </si>
  <si>
    <t>GA302</t>
  </si>
  <si>
    <t>GA303</t>
  </si>
  <si>
    <t>GA304</t>
  </si>
  <si>
    <t>GA305</t>
  </si>
  <si>
    <t>GA306</t>
  </si>
  <si>
    <t>GA307</t>
  </si>
  <si>
    <t>GA308</t>
  </si>
  <si>
    <t>GA309</t>
  </si>
  <si>
    <t>GA310</t>
  </si>
  <si>
    <t>GA311</t>
  </si>
  <si>
    <t>GA312</t>
  </si>
  <si>
    <t>GA313</t>
  </si>
  <si>
    <t>GA314</t>
  </si>
  <si>
    <t>GA315</t>
  </si>
  <si>
    <t>GA316</t>
  </si>
  <si>
    <t>GA317</t>
  </si>
  <si>
    <t>GA318</t>
  </si>
  <si>
    <t>GA319</t>
  </si>
  <si>
    <t>GA320</t>
  </si>
  <si>
    <t>GA321</t>
  </si>
  <si>
    <t>GA322</t>
  </si>
  <si>
    <t>GA323</t>
  </si>
  <si>
    <t>GA324</t>
  </si>
  <si>
    <t>GA325</t>
  </si>
  <si>
    <t>GA326</t>
  </si>
  <si>
    <t>GA327</t>
  </si>
  <si>
    <t>GA328</t>
  </si>
  <si>
    <t>GA329</t>
  </si>
  <si>
    <t>GA330</t>
  </si>
  <si>
    <t>GA331</t>
  </si>
  <si>
    <t>GA332</t>
  </si>
  <si>
    <t>GA333</t>
  </si>
  <si>
    <t>GA334</t>
  </si>
  <si>
    <t>GA335</t>
  </si>
  <si>
    <t>GA336</t>
  </si>
  <si>
    <t>GA337</t>
  </si>
  <si>
    <t>GA338</t>
  </si>
  <si>
    <t>GA339</t>
  </si>
  <si>
    <t>GA340</t>
  </si>
  <si>
    <t>GA341</t>
  </si>
  <si>
    <t>GA342</t>
  </si>
  <si>
    <t>GA343</t>
  </si>
  <si>
    <t>GA344</t>
  </si>
  <si>
    <t>GA345</t>
  </si>
  <si>
    <t>GA346</t>
  </si>
  <si>
    <t>GA347</t>
  </si>
  <si>
    <t>GA348</t>
  </si>
  <si>
    <t>GA349</t>
  </si>
  <si>
    <t>GA401</t>
  </si>
  <si>
    <t>GA402</t>
  </si>
  <si>
    <t>GA403</t>
  </si>
  <si>
    <t>GA404</t>
  </si>
  <si>
    <t>GA405</t>
  </si>
  <si>
    <t>GA406</t>
  </si>
  <si>
    <t>GA407</t>
  </si>
  <si>
    <t>GA408</t>
  </si>
  <si>
    <t>GA409</t>
  </si>
  <si>
    <t>GA410</t>
  </si>
  <si>
    <t>GA411</t>
  </si>
  <si>
    <t>GA412</t>
  </si>
  <si>
    <t>GA413</t>
  </si>
  <si>
    <t>GA414</t>
  </si>
  <si>
    <t>GA415</t>
  </si>
  <si>
    <t>GA416</t>
  </si>
  <si>
    <t>GA417</t>
  </si>
  <si>
    <t>GA418</t>
  </si>
  <si>
    <t>GA419</t>
  </si>
  <si>
    <t>GA420</t>
  </si>
  <si>
    <t>GA421</t>
  </si>
  <si>
    <t>GA422</t>
  </si>
  <si>
    <t>GA423</t>
  </si>
  <si>
    <t>GA424</t>
  </si>
  <si>
    <t>GA425</t>
  </si>
  <si>
    <t>GA426</t>
  </si>
  <si>
    <t>GA427</t>
  </si>
  <si>
    <t>GA428</t>
  </si>
  <si>
    <t>GA429</t>
  </si>
  <si>
    <t>200,300,280,280,280,280,280,280,215,208</t>
    <phoneticPr fontId="9" type="noConversion"/>
  </si>
  <si>
    <t>200,300,280,280,280,280,280,280,200,201</t>
    <phoneticPr fontId="9" type="noConversion"/>
  </si>
  <si>
    <t>200,300,280,280,280,280,280,280,401</t>
    <phoneticPr fontId="9" type="noConversion"/>
  </si>
  <si>
    <t>200,300,280,280,280,280,280,280,376</t>
    <phoneticPr fontId="9" type="noConversion"/>
  </si>
  <si>
    <t>200,300,280,280,280,280,280,280,351</t>
    <phoneticPr fontId="9" type="noConversion"/>
  </si>
  <si>
    <t>200,300,280,280,280,280,280,280,326</t>
    <phoneticPr fontId="9" type="noConversion"/>
  </si>
  <si>
    <t>200,300,280,280,280,280,280,280,276</t>
    <phoneticPr fontId="9" type="noConversion"/>
  </si>
  <si>
    <t>200,300,280,280,280,280,280,280,251</t>
    <phoneticPr fontId="9" type="noConversion"/>
  </si>
  <si>
    <t>200,300,280,280,280,280,280,280,226</t>
    <phoneticPr fontId="9" type="noConversion"/>
  </si>
  <si>
    <t>200,300,280,280,280,280,280,260,196</t>
    <phoneticPr fontId="9" type="noConversion"/>
  </si>
  <si>
    <t>200,300,280,280,280,280,280,240,191</t>
    <phoneticPr fontId="9" type="noConversion"/>
  </si>
  <si>
    <t>200,300,280,280,280,280,280,220,186</t>
    <phoneticPr fontId="9" type="noConversion"/>
  </si>
  <si>
    <t>200,300,280,280,280,280,280,200,181</t>
    <phoneticPr fontId="9" type="noConversion"/>
  </si>
  <si>
    <t>200,300,280,280,280,280,280,381</t>
    <phoneticPr fontId="9" type="noConversion"/>
  </si>
  <si>
    <t>200,300,280,280,280,280,280,356</t>
    <phoneticPr fontId="9" type="noConversion"/>
  </si>
  <si>
    <t>200,300,280,280,280,280,280,331</t>
    <phoneticPr fontId="9" type="noConversion"/>
  </si>
  <si>
    <t>200,300,280,280,280,280,280,306</t>
    <phoneticPr fontId="9" type="noConversion"/>
  </si>
  <si>
    <t>200,300,280,280,280,280,280,281</t>
    <phoneticPr fontId="9" type="noConversion"/>
  </si>
  <si>
    <t>200,300,280,280,280,280,280,256</t>
    <phoneticPr fontId="9" type="noConversion"/>
  </si>
  <si>
    <t>200,300,280,280,280,280,280,231</t>
    <phoneticPr fontId="9" type="noConversion"/>
  </si>
  <si>
    <t>200,300,280,280,280,280,280,206</t>
    <phoneticPr fontId="9" type="noConversion"/>
  </si>
  <si>
    <t>200,300,280,280,280,280,280,181</t>
    <phoneticPr fontId="9" type="noConversion"/>
  </si>
  <si>
    <t>GB101</t>
  </si>
  <si>
    <t>GB102</t>
  </si>
  <si>
    <t>GB103</t>
  </si>
  <si>
    <t>GB104</t>
  </si>
  <si>
    <t>GB105</t>
  </si>
  <si>
    <t>GB106</t>
  </si>
  <si>
    <t>GB107</t>
  </si>
  <si>
    <t>GB108</t>
  </si>
  <si>
    <t>GB109</t>
  </si>
  <si>
    <t>GB110</t>
  </si>
  <si>
    <t>GB111</t>
  </si>
  <si>
    <t>GB112</t>
  </si>
  <si>
    <t>GB113</t>
  </si>
  <si>
    <t>GB114</t>
  </si>
  <si>
    <t>GB115</t>
  </si>
  <si>
    <t>GB116</t>
  </si>
  <si>
    <t>GB117</t>
  </si>
  <si>
    <t>GB118</t>
  </si>
  <si>
    <t>GB119</t>
  </si>
  <si>
    <t>GB120</t>
  </si>
  <si>
    <t>GB121</t>
  </si>
  <si>
    <t>GB122</t>
  </si>
  <si>
    <t>GB123</t>
  </si>
  <si>
    <t>GB124</t>
  </si>
  <si>
    <t>GB125</t>
  </si>
  <si>
    <t>GB126</t>
  </si>
  <si>
    <t>GB127</t>
  </si>
  <si>
    <t>GB128</t>
  </si>
  <si>
    <t>GB129</t>
  </si>
  <si>
    <t>GB130</t>
  </si>
  <si>
    <t>GB131</t>
  </si>
  <si>
    <t>GB132</t>
  </si>
  <si>
    <t>GB133</t>
  </si>
  <si>
    <t>GB134</t>
  </si>
  <si>
    <t>GB135</t>
  </si>
  <si>
    <t>GB136</t>
  </si>
  <si>
    <t>GB137</t>
  </si>
  <si>
    <t>GB138</t>
  </si>
  <si>
    <t>GB139</t>
  </si>
  <si>
    <t>GB140</t>
  </si>
  <si>
    <t>GB141</t>
  </si>
  <si>
    <t>GB142</t>
  </si>
  <si>
    <t>GB143</t>
  </si>
  <si>
    <t>GB144</t>
  </si>
  <si>
    <t>GB145</t>
  </si>
  <si>
    <t>GB146</t>
  </si>
  <si>
    <t>GB147</t>
  </si>
  <si>
    <t>GB148</t>
  </si>
  <si>
    <t>GB149</t>
  </si>
  <si>
    <t>GB150</t>
  </si>
  <si>
    <t>GB151</t>
  </si>
  <si>
    <t>GB152</t>
  </si>
  <si>
    <t>GB153</t>
  </si>
  <si>
    <t>GB154</t>
  </si>
  <si>
    <t>GB155</t>
  </si>
  <si>
    <t>GB156</t>
  </si>
  <si>
    <t>GB157</t>
  </si>
  <si>
    <t>GB201</t>
  </si>
  <si>
    <t>GB202</t>
  </si>
  <si>
    <t>GB203</t>
  </si>
  <si>
    <t>GB204</t>
  </si>
  <si>
    <t>GB205</t>
  </si>
  <si>
    <t>GB206</t>
  </si>
  <si>
    <t>GB207</t>
  </si>
  <si>
    <t>GB208</t>
  </si>
  <si>
    <t>GB209</t>
  </si>
  <si>
    <t>GB210</t>
  </si>
  <si>
    <t>GB211</t>
  </si>
  <si>
    <t>GB212</t>
  </si>
  <si>
    <t>GB213</t>
  </si>
  <si>
    <t>GB214</t>
  </si>
  <si>
    <t>GB215</t>
  </si>
  <si>
    <t>GB216</t>
  </si>
  <si>
    <t>GB217</t>
  </si>
  <si>
    <t>GB218</t>
  </si>
  <si>
    <t>GB219</t>
  </si>
  <si>
    <t>GB220</t>
  </si>
  <si>
    <t>GB221</t>
  </si>
  <si>
    <t>GB222</t>
  </si>
  <si>
    <t>GB223</t>
  </si>
  <si>
    <t>GB224</t>
  </si>
  <si>
    <t>GB225</t>
  </si>
  <si>
    <t>GB226</t>
  </si>
  <si>
    <t>GB227</t>
  </si>
  <si>
    <t>GB228</t>
  </si>
  <si>
    <t>GB229</t>
  </si>
  <si>
    <t>GB230</t>
  </si>
  <si>
    <t>GB231</t>
  </si>
  <si>
    <t>GB232</t>
  </si>
  <si>
    <t>GB233</t>
  </si>
  <si>
    <t>GB234</t>
  </si>
  <si>
    <t>GB235</t>
  </si>
  <si>
    <t>GB236</t>
  </si>
  <si>
    <t>GB237</t>
  </si>
  <si>
    <t>GB238</t>
  </si>
  <si>
    <t>GB239</t>
  </si>
  <si>
    <t>GB240</t>
  </si>
  <si>
    <t>GB241</t>
  </si>
  <si>
    <t>GB242</t>
  </si>
  <si>
    <t>GB243</t>
  </si>
  <si>
    <t>GB244</t>
  </si>
  <si>
    <t>GB245</t>
  </si>
  <si>
    <t>GB246</t>
  </si>
  <si>
    <t>GB247</t>
  </si>
  <si>
    <t>GB248</t>
  </si>
  <si>
    <t>GB249</t>
  </si>
  <si>
    <t>GB250</t>
  </si>
  <si>
    <t>GB251</t>
  </si>
  <si>
    <t>GB252</t>
  </si>
  <si>
    <t>GB253</t>
  </si>
  <si>
    <t>GB254</t>
  </si>
  <si>
    <t>GB255</t>
  </si>
  <si>
    <t>GB256</t>
  </si>
  <si>
    <t>GB257</t>
  </si>
  <si>
    <t>GB258</t>
  </si>
  <si>
    <t>GB259</t>
  </si>
  <si>
    <t>GB260</t>
  </si>
  <si>
    <t>GB261</t>
  </si>
  <si>
    <t>GB262</t>
  </si>
  <si>
    <t>GB263</t>
  </si>
  <si>
    <t>GB264</t>
  </si>
  <si>
    <t>GB265</t>
  </si>
  <si>
    <t>GB266</t>
  </si>
  <si>
    <t>GB267</t>
  </si>
  <si>
    <t>GB268</t>
  </si>
  <si>
    <t>GB269</t>
  </si>
  <si>
    <t>GB270</t>
  </si>
  <si>
    <t>GB271</t>
  </si>
  <si>
    <t>GB272</t>
  </si>
  <si>
    <t>GB273</t>
  </si>
  <si>
    <t>GB274</t>
  </si>
  <si>
    <t>GB301</t>
  </si>
  <si>
    <t>GB302</t>
  </si>
  <si>
    <t>GB303</t>
  </si>
  <si>
    <t>GB304</t>
  </si>
  <si>
    <t>GB305</t>
  </si>
  <si>
    <t>GB306</t>
  </si>
  <si>
    <t>GB307</t>
  </si>
  <si>
    <t>GB308</t>
  </si>
  <si>
    <t>GB309</t>
  </si>
  <si>
    <t>GB310</t>
  </si>
  <si>
    <t>GB311</t>
  </si>
  <si>
    <t>GB312</t>
  </si>
  <si>
    <t>GB313</t>
  </si>
  <si>
    <t>GB314</t>
  </si>
  <si>
    <t>GB315</t>
  </si>
  <si>
    <t>GB316</t>
  </si>
  <si>
    <t>GB317</t>
  </si>
  <si>
    <t>GB318</t>
  </si>
  <si>
    <t>GB319</t>
  </si>
  <si>
    <t>GB320</t>
  </si>
  <si>
    <t>GB321</t>
  </si>
  <si>
    <t>GB322</t>
  </si>
  <si>
    <t>GB323</t>
  </si>
  <si>
    <t>GB324</t>
  </si>
  <si>
    <t>GB325</t>
  </si>
  <si>
    <t>GB326</t>
  </si>
  <si>
    <t>GB327</t>
  </si>
  <si>
    <t>GB328</t>
  </si>
  <si>
    <t>GB329</t>
  </si>
  <si>
    <t>GB330</t>
  </si>
  <si>
    <t>GB331</t>
  </si>
  <si>
    <t>GB332</t>
  </si>
  <si>
    <t>GB333</t>
  </si>
  <si>
    <t>GB334</t>
  </si>
  <si>
    <t>GB335</t>
  </si>
  <si>
    <t>GB336</t>
  </si>
  <si>
    <t>GB337</t>
  </si>
  <si>
    <t>GB338</t>
  </si>
  <si>
    <t>GB339</t>
  </si>
  <si>
    <t>GB340</t>
  </si>
  <si>
    <t>GB341</t>
  </si>
  <si>
    <t>GB342</t>
  </si>
  <si>
    <t>GB343</t>
  </si>
  <si>
    <t>GB344</t>
  </si>
  <si>
    <t>GB345</t>
  </si>
  <si>
    <t>GB346</t>
  </si>
  <si>
    <t>GB347</t>
  </si>
  <si>
    <t>GB348</t>
  </si>
  <si>
    <t>GB349</t>
  </si>
  <si>
    <t>GB401</t>
  </si>
  <si>
    <t>GB402</t>
  </si>
  <si>
    <t>GB403</t>
  </si>
  <si>
    <t>GB404</t>
  </si>
  <si>
    <t>GB405</t>
  </si>
  <si>
    <t>GB406</t>
  </si>
  <si>
    <t>GB407</t>
  </si>
  <si>
    <t>GB408</t>
  </si>
  <si>
    <t>GB409</t>
  </si>
  <si>
    <t>GB410</t>
  </si>
  <si>
    <t>GB411</t>
  </si>
  <si>
    <t>GB412</t>
  </si>
  <si>
    <t>GB413</t>
  </si>
  <si>
    <t>GB414</t>
  </si>
  <si>
    <t>GB415</t>
  </si>
  <si>
    <t>GB416</t>
  </si>
  <si>
    <t>GB417</t>
  </si>
  <si>
    <t>GB418</t>
  </si>
  <si>
    <t>GB419</t>
  </si>
  <si>
    <t>GB420</t>
  </si>
  <si>
    <t>GB421</t>
  </si>
  <si>
    <t>GB422</t>
  </si>
  <si>
    <t>GB423</t>
  </si>
  <si>
    <t>GB424</t>
  </si>
  <si>
    <t>GB425</t>
  </si>
  <si>
    <t>GB426</t>
  </si>
  <si>
    <t>GB427</t>
  </si>
  <si>
    <t>GB428</t>
  </si>
  <si>
    <t>GB429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</si>
</sst>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#,##0.000000000"/>
    <numFmt numFmtId="177" formatCode="0.0_);[Red]\(0.0\)"/>
  </numFmts>
  <fonts count="14">
    <font>
      <sz val="11"/>
      <color theme="1"/>
      <name val="新細明體"/>
      <family val="2"/>
      <scheme val="minor"/>
    </font>
    <font>
      <sz val="12"/>
      <color rgb="FF000000"/>
      <name val="Consolas"/>
      <family val="2"/>
    </font>
    <font>
      <b/>
      <sz val="12"/>
      <color rgb="FF000000"/>
      <name val="Times New Roman"/>
      <family val="2"/>
    </font>
    <font>
      <b/>
      <sz val="8"/>
      <color rgb="FF000000"/>
      <name val="Times New Roman"/>
      <family val="2"/>
    </font>
    <font>
      <sz val="12"/>
      <color rgb="FF0000FF"/>
      <name val="Consolas"/>
      <family val="2"/>
    </font>
    <font>
      <sz val="12"/>
      <color rgb="FFFF0000"/>
      <name val="Consolas"/>
      <family val="2"/>
    </font>
    <font>
      <sz val="12"/>
      <color rgb="FFFF0000"/>
      <name val="Times New Roman"/>
      <family val="2"/>
    </font>
    <font>
      <b/>
      <sz val="12"/>
      <color rgb="FF000000"/>
      <name val="Consolas"/>
      <family val="2"/>
    </font>
    <font>
      <b/>
      <sz val="12"/>
      <color rgb="FF000000"/>
      <name val="Microsoft JhengHei"/>
      <family val="2"/>
    </font>
    <font>
      <sz val="9"/>
      <name val="新細明體"/>
      <family val="3"/>
      <charset val="136"/>
      <scheme val="minor"/>
    </font>
    <font>
      <sz val="12"/>
      <name val="Consolas"/>
      <family val="2"/>
    </font>
    <font>
      <sz val="12"/>
      <color rgb="FF000000"/>
      <name val="Consolas"/>
      <family val="3"/>
    </font>
    <font>
      <sz val="12"/>
      <color theme="1"/>
      <name val="Consolas"/>
      <family val="3"/>
    </font>
    <font>
      <sz val="11"/>
      <color rgb="FF000000"/>
      <name val="新細明體"/>
      <family val="1"/>
      <charset val="136"/>
    </font>
  </fonts>
  <fills count="9">
    <fill>
      <patternFill patternType="none"/>
    </fill>
    <fill>
      <patternFill patternType="gray125"/>
    </fill>
    <fill>
      <patternFill patternType="solid">
        <fgColor rgb="FFD9F2D0"/>
      </patternFill>
    </fill>
    <fill>
      <patternFill patternType="solid">
        <fgColor rgb="FFCAEEFB"/>
      </patternFill>
    </fill>
    <fill>
      <patternFill patternType="solid">
        <fgColor rgb="FFFBE3D6"/>
      </patternFill>
    </fill>
    <fill>
      <patternFill patternType="solid">
        <fgColor rgb="FFFFFF00"/>
      </patternFill>
    </fill>
    <fill>
      <patternFill patternType="solid">
        <fgColor rgb="FFF2CFEE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3" fontId="1" fillId="3" borderId="1" xfId="0" applyNumberFormat="1" applyFont="1" applyFill="1" applyBorder="1" applyAlignment="1">
      <alignment horizontal="center"/>
    </xf>
    <xf numFmtId="4" fontId="1" fillId="3" borderId="1" xfId="0" applyNumberFormat="1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/>
    </xf>
    <xf numFmtId="3" fontId="4" fillId="0" borderId="2" xfId="0" applyNumberFormat="1" applyFont="1" applyBorder="1" applyAlignment="1">
      <alignment horizontal="center"/>
    </xf>
    <xf numFmtId="3" fontId="1" fillId="0" borderId="2" xfId="0" applyNumberFormat="1" applyFont="1" applyBorder="1" applyAlignment="1">
      <alignment horizontal="center"/>
    </xf>
    <xf numFmtId="4" fontId="1" fillId="0" borderId="2" xfId="0" applyNumberFormat="1" applyFont="1" applyBorder="1" applyAlignment="1">
      <alignment horizontal="center"/>
    </xf>
    <xf numFmtId="176" fontId="4" fillId="0" borderId="2" xfId="0" applyNumberFormat="1" applyFont="1" applyBorder="1" applyAlignment="1">
      <alignment horizontal="center"/>
    </xf>
    <xf numFmtId="176" fontId="1" fillId="0" borderId="2" xfId="0" applyNumberFormat="1" applyFont="1" applyBorder="1" applyAlignment="1">
      <alignment horizontal="center"/>
    </xf>
    <xf numFmtId="4" fontId="5" fillId="0" borderId="2" xfId="0" applyNumberFormat="1" applyFont="1" applyBorder="1" applyAlignment="1">
      <alignment horizontal="center"/>
    </xf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0" fontId="2" fillId="6" borderId="1" xfId="0" applyFont="1" applyFill="1" applyBorder="1" applyAlignment="1">
      <alignment horizontal="center"/>
    </xf>
    <xf numFmtId="3" fontId="2" fillId="6" borderId="1" xfId="0" applyNumberFormat="1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3" fontId="6" fillId="0" borderId="1" xfId="0" applyNumberFormat="1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3" fontId="0" fillId="0" borderId="0" xfId="0" applyNumberFormat="1" applyAlignment="1">
      <alignment horizontal="right"/>
    </xf>
    <xf numFmtId="49" fontId="0" fillId="0" borderId="0" xfId="0" applyNumberFormat="1"/>
    <xf numFmtId="3" fontId="7" fillId="0" borderId="3" xfId="0" applyNumberFormat="1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49" fontId="5" fillId="0" borderId="3" xfId="0" applyNumberFormat="1" applyFont="1" applyBorder="1" applyAlignment="1">
      <alignment horizontal="center"/>
    </xf>
    <xf numFmtId="177" fontId="5" fillId="0" borderId="3" xfId="0" applyNumberFormat="1" applyFont="1" applyBorder="1" applyAlignment="1">
      <alignment horizontal="center"/>
    </xf>
    <xf numFmtId="177" fontId="10" fillId="0" borderId="3" xfId="0" applyNumberFormat="1" applyFont="1" applyBorder="1" applyAlignment="1">
      <alignment horizontal="center"/>
    </xf>
    <xf numFmtId="49" fontId="7" fillId="0" borderId="3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5" fillId="7" borderId="3" xfId="0" applyFont="1" applyFill="1" applyBorder="1" applyAlignment="1">
      <alignment horizontal="center"/>
    </xf>
    <xf numFmtId="0" fontId="5" fillId="8" borderId="3" xfId="0" applyFont="1" applyFill="1" applyBorder="1" applyAlignment="1">
      <alignment horizontal="center"/>
    </xf>
    <xf numFmtId="177" fontId="10" fillId="7" borderId="3" xfId="0" applyNumberFormat="1" applyFont="1" applyFill="1" applyBorder="1" applyAlignment="1">
      <alignment horizontal="center"/>
    </xf>
    <xf numFmtId="177" fontId="5" fillId="7" borderId="3" xfId="0" applyNumberFormat="1" applyFont="1" applyFill="1" applyBorder="1" applyAlignment="1">
      <alignment horizontal="center"/>
    </xf>
    <xf numFmtId="49" fontId="5" fillId="7" borderId="3" xfId="0" applyNumberFormat="1" applyFont="1" applyFill="1" applyBorder="1" applyAlignment="1">
      <alignment horizontal="center"/>
    </xf>
    <xf numFmtId="177" fontId="10" fillId="8" borderId="3" xfId="0" applyNumberFormat="1" applyFont="1" applyFill="1" applyBorder="1" applyAlignment="1">
      <alignment horizontal="center"/>
    </xf>
    <xf numFmtId="177" fontId="5" fillId="8" borderId="3" xfId="0" applyNumberFormat="1" applyFont="1" applyFill="1" applyBorder="1" applyAlignment="1">
      <alignment horizontal="center"/>
    </xf>
    <xf numFmtId="49" fontId="5" fillId="8" borderId="3" xfId="0" applyNumberFormat="1" applyFont="1" applyFill="1" applyBorder="1" applyAlignment="1">
      <alignment horizontal="center"/>
    </xf>
    <xf numFmtId="3" fontId="4" fillId="7" borderId="3" xfId="0" applyNumberFormat="1" applyFont="1" applyFill="1" applyBorder="1" applyAlignment="1">
      <alignment horizontal="center"/>
    </xf>
    <xf numFmtId="3" fontId="4" fillId="8" borderId="3" xfId="0" applyNumberFormat="1" applyFont="1" applyFill="1" applyBorder="1" applyAlignment="1">
      <alignment horizontal="center"/>
    </xf>
    <xf numFmtId="3" fontId="4" fillId="0" borderId="3" xfId="0" applyNumberFormat="1" applyFont="1" applyBorder="1" applyAlignment="1">
      <alignment horizontal="center"/>
    </xf>
    <xf numFmtId="0" fontId="0" fillId="8" borderId="0" xfId="0" applyFill="1"/>
    <xf numFmtId="0" fontId="11" fillId="0" borderId="2" xfId="0" applyFont="1" applyBorder="1" applyAlignment="1">
      <alignment horizontal="center"/>
    </xf>
    <xf numFmtId="3" fontId="11" fillId="0" borderId="2" xfId="0" applyNumberFormat="1" applyFont="1" applyBorder="1" applyAlignment="1">
      <alignment horizontal="center"/>
    </xf>
    <xf numFmtId="4" fontId="11" fillId="0" borderId="2" xfId="0" applyNumberFormat="1" applyFont="1" applyBorder="1" applyAlignment="1">
      <alignment horizontal="center"/>
    </xf>
    <xf numFmtId="0" fontId="12" fillId="0" borderId="0" xfId="0" applyFont="1" applyAlignment="1">
      <alignment horizontal="center"/>
    </xf>
    <xf numFmtId="3" fontId="12" fillId="0" borderId="0" xfId="0" applyNumberFormat="1" applyFont="1" applyAlignment="1">
      <alignment horizontal="center"/>
    </xf>
    <xf numFmtId="4" fontId="12" fillId="0" borderId="0" xfId="0" applyNumberFormat="1" applyFont="1" applyAlignment="1">
      <alignment horizontal="center"/>
    </xf>
  </cellXfs>
  <cellStyles count="1">
    <cellStyle name="一般" xfId="0" builtinId="0"/>
  </cellStyles>
  <dxfs count="0"/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226220</xdr:colOff>
          <xdr:row>7</xdr:row>
          <xdr:rowOff>129885</xdr:rowOff>
        </xdr:from>
        <xdr:to>
          <xdr:col>3</xdr:col>
          <xdr:colOff>32472</xdr:colOff>
          <xdr:row>18</xdr:row>
          <xdr:rowOff>103716</xdr:rowOff>
        </xdr:to>
        <xdr:grpSp>
          <xdr:nvGrpSpPr>
            <xdr:cNvPr id="3" name="群組 2">
              <a:extLst>
                <a:ext uri="{FF2B5EF4-FFF2-40B4-BE49-F238E27FC236}">
                  <a16:creationId xmlns:a16="http://schemas.microsoft.com/office/drawing/2014/main" id="{0C3CDB95-4412-4F38-839E-E0A1BF0B8488}"/>
                </a:ext>
              </a:extLst>
            </xdr:cNvPr>
            <xdr:cNvGrpSpPr/>
          </xdr:nvGrpSpPr>
          <xdr:grpSpPr>
            <a:xfrm>
              <a:off x="666751" y="1975354"/>
              <a:ext cx="1282627" cy="2640831"/>
              <a:chOff x="11207" y="3283322"/>
              <a:chExt cx="721680" cy="2176767"/>
            </a:xfrm>
            <a:noFill/>
          </xdr:grpSpPr>
          <xdr:sp macro="" textlink="">
            <xdr:nvSpPr>
              <xdr:cNvPr id="2087" name="Button 39" hidden="1">
                <a:extLst>
                  <a:ext uri="{63B3BB69-23CF-44E3-9099-C40C66FF867C}">
                    <a14:compatExt spid="_x0000_s2087"/>
                  </a:ext>
                  <a:ext uri="{FF2B5EF4-FFF2-40B4-BE49-F238E27FC236}">
                    <a16:creationId xmlns:a16="http://schemas.microsoft.com/office/drawing/2014/main" id="{00000000-0008-0000-0000-000027080000}"/>
                  </a:ext>
                </a:extLst>
              </xdr:cNvPr>
              <xdr:cNvSpPr/>
            </xdr:nvSpPr>
            <xdr:spPr bwMode="auto">
              <a:xfrm>
                <a:off x="11207" y="3283322"/>
                <a:ext cx="720000" cy="720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zh-TW" altLang="en-US" sz="11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</a:rPr>
                  <a:t>斷面參數</a:t>
                </a:r>
              </a:p>
            </xdr:txBody>
          </xdr:sp>
          <xdr:sp macro="" textlink="">
            <xdr:nvSpPr>
              <xdr:cNvPr id="2088" name="Button 40" hidden="1">
                <a:extLst>
                  <a:ext uri="{63B3BB69-23CF-44E3-9099-C40C66FF867C}">
                    <a14:compatExt spid="_x0000_s2088"/>
                  </a:ext>
                  <a:ext uri="{FF2B5EF4-FFF2-40B4-BE49-F238E27FC236}">
                    <a16:creationId xmlns:a16="http://schemas.microsoft.com/office/drawing/2014/main" id="{00000000-0008-0000-0000-000028080000}"/>
                  </a:ext>
                </a:extLst>
              </xdr:cNvPr>
              <xdr:cNvSpPr/>
            </xdr:nvSpPr>
            <xdr:spPr bwMode="auto">
              <a:xfrm>
                <a:off x="12885" y="4011705"/>
                <a:ext cx="720000" cy="720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zh-TW" altLang="en-US" sz="11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</a:rPr>
                  <a:t>頂鈑</a:t>
                </a:r>
              </a:p>
            </xdr:txBody>
          </xdr:sp>
          <xdr:sp macro="" textlink="">
            <xdr:nvSpPr>
              <xdr:cNvPr id="2089" name="Button 41" hidden="1">
                <a:extLst>
                  <a:ext uri="{63B3BB69-23CF-44E3-9099-C40C66FF867C}">
                    <a14:compatExt spid="_x0000_s2089"/>
                  </a:ext>
                  <a:ext uri="{FF2B5EF4-FFF2-40B4-BE49-F238E27FC236}">
                    <a16:creationId xmlns:a16="http://schemas.microsoft.com/office/drawing/2014/main" id="{00000000-0008-0000-0000-000029080000}"/>
                  </a:ext>
                </a:extLst>
              </xdr:cNvPr>
              <xdr:cNvSpPr/>
            </xdr:nvSpPr>
            <xdr:spPr bwMode="auto">
              <a:xfrm>
                <a:off x="12887" y="4740089"/>
                <a:ext cx="720000" cy="720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zh-TW" altLang="en-US" sz="1100" b="0" i="0" u="none" strike="noStrike" baseline="0">
                    <a:solidFill>
                      <a:srgbClr val="000000"/>
                    </a:solidFill>
                    <a:latin typeface="新細明體"/>
                    <a:ea typeface="新細明體"/>
                  </a:rPr>
                  <a:t>底版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>
    <tabColor theme="5" tint="0.79998168889431442"/>
    <outlinePr summaryBelow="0"/>
  </sheetPr>
  <dimension ref="A1:AB211"/>
  <sheetViews>
    <sheetView tabSelected="1" zoomScale="80" zoomScaleNormal="80" workbookViewId="0">
      <pane ySplit="1" topLeftCell="A171" activePane="bottomLeft" state="frozen"/>
      <selection pane="bottomLeft" activeCell="P180" sqref="P180"/>
    </sheetView>
  </sheetViews>
  <sheetFormatPr defaultRowHeight="15.75"/>
  <cols>
    <col min="1" max="1" width="6.5703125" style="22" bestFit="1" customWidth="1"/>
    <col min="2" max="2" width="11" bestFit="1" customWidth="1"/>
    <col min="3" max="3" width="11" style="22" customWidth="1"/>
    <col min="4" max="7" width="13.140625" style="22" customWidth="1"/>
    <col min="8" max="8" width="10" style="22" customWidth="1"/>
    <col min="9" max="9" width="13.140625" style="22" customWidth="1"/>
    <col min="10" max="10" width="11.5703125" style="22" customWidth="1"/>
    <col min="11" max="11" width="13.140625" style="22" customWidth="1"/>
    <col min="12" max="15" width="10" style="22" customWidth="1"/>
    <col min="16" max="16" width="32.7109375" style="23" customWidth="1"/>
    <col min="17" max="17" width="57.28515625" style="23" customWidth="1"/>
    <col min="18" max="18" width="35.7109375" style="23" customWidth="1"/>
    <col min="19" max="19" width="51.5703125" style="23" customWidth="1"/>
    <col min="20" max="20" width="34.140625" style="23" customWidth="1"/>
    <col min="21" max="21" width="63.85546875" style="23" bestFit="1" customWidth="1"/>
    <col min="22" max="22" width="37.140625" style="23" customWidth="1"/>
    <col min="23" max="23" width="41.42578125" style="23" customWidth="1"/>
    <col min="24" max="24" width="40" style="31" customWidth="1"/>
    <col min="25" max="25" width="130.28515625" style="23" customWidth="1"/>
    <col min="26" max="26" width="38.5703125" style="23" customWidth="1"/>
    <col min="27" max="27" width="42.85546875" style="23" customWidth="1"/>
    <col min="28" max="28" width="12.42578125" bestFit="1" customWidth="1"/>
  </cols>
  <sheetData>
    <row r="1" spans="1:28" ht="21.75" customHeight="1">
      <c r="A1" s="24" t="s">
        <v>50</v>
      </c>
      <c r="B1" s="25" t="s">
        <v>3</v>
      </c>
      <c r="C1" s="24" t="s">
        <v>51</v>
      </c>
      <c r="D1" s="24" t="s">
        <v>52</v>
      </c>
      <c r="E1" s="24" t="s">
        <v>53</v>
      </c>
      <c r="F1" s="24" t="s">
        <v>54</v>
      </c>
      <c r="G1" s="24" t="s">
        <v>55</v>
      </c>
      <c r="H1" s="24" t="s">
        <v>56</v>
      </c>
      <c r="I1" s="24" t="s">
        <v>57</v>
      </c>
      <c r="J1" s="24" t="s">
        <v>58</v>
      </c>
      <c r="K1" s="24" t="s">
        <v>59</v>
      </c>
      <c r="L1" s="24" t="s">
        <v>60</v>
      </c>
      <c r="M1" s="24" t="s">
        <v>61</v>
      </c>
      <c r="N1" s="24" t="s">
        <v>62</v>
      </c>
      <c r="O1" s="24" t="s">
        <v>63</v>
      </c>
      <c r="P1" s="30" t="s">
        <v>64</v>
      </c>
      <c r="Q1" s="30" t="s">
        <v>65</v>
      </c>
      <c r="R1" s="30" t="s">
        <v>66</v>
      </c>
      <c r="S1" s="30" t="s">
        <v>67</v>
      </c>
      <c r="T1" s="30" t="s">
        <v>68</v>
      </c>
      <c r="U1" s="30" t="s">
        <v>69</v>
      </c>
      <c r="V1" s="30" t="s">
        <v>70</v>
      </c>
      <c r="W1" s="30" t="s">
        <v>71</v>
      </c>
      <c r="X1" s="30" t="s">
        <v>72</v>
      </c>
      <c r="Y1" s="30" t="s">
        <v>73</v>
      </c>
      <c r="Z1" s="30" t="s">
        <v>74</v>
      </c>
      <c r="AA1" s="30" t="s">
        <v>75</v>
      </c>
      <c r="AB1" s="21"/>
    </row>
    <row r="2" spans="1:28" ht="20.25" customHeight="1">
      <c r="A2" s="24" t="s">
        <v>33</v>
      </c>
      <c r="B2" s="25" t="s">
        <v>33</v>
      </c>
      <c r="C2" s="24" t="s">
        <v>36</v>
      </c>
      <c r="D2" s="24" t="s">
        <v>36</v>
      </c>
      <c r="E2" s="24" t="s">
        <v>36</v>
      </c>
      <c r="F2" s="24" t="s">
        <v>36</v>
      </c>
      <c r="G2" s="24" t="s">
        <v>36</v>
      </c>
      <c r="H2" s="24" t="s">
        <v>36</v>
      </c>
      <c r="I2" s="24" t="s">
        <v>36</v>
      </c>
      <c r="J2" s="24" t="s">
        <v>36</v>
      </c>
      <c r="K2" s="24" t="s">
        <v>36</v>
      </c>
      <c r="L2" s="24" t="s">
        <v>36</v>
      </c>
      <c r="M2" s="24" t="s">
        <v>36</v>
      </c>
      <c r="N2" s="24" t="s">
        <v>36</v>
      </c>
      <c r="O2" s="24" t="s">
        <v>36</v>
      </c>
      <c r="P2" s="30" t="s">
        <v>33</v>
      </c>
      <c r="Q2" s="30" t="s">
        <v>36</v>
      </c>
      <c r="R2" s="30" t="s">
        <v>33</v>
      </c>
      <c r="S2" s="30" t="s">
        <v>36</v>
      </c>
      <c r="T2" s="30" t="s">
        <v>33</v>
      </c>
      <c r="U2" s="30" t="s">
        <v>36</v>
      </c>
      <c r="V2" s="30" t="s">
        <v>33</v>
      </c>
      <c r="W2" s="30" t="s">
        <v>36</v>
      </c>
      <c r="X2" s="30" t="s">
        <v>33</v>
      </c>
      <c r="Y2" s="30" t="s">
        <v>36</v>
      </c>
      <c r="Z2" s="30" t="s">
        <v>33</v>
      </c>
      <c r="AA2" s="30" t="s">
        <v>36</v>
      </c>
      <c r="AB2" s="21"/>
    </row>
    <row r="3" spans="1:28" ht="20.25" customHeight="1">
      <c r="A3" s="40">
        <v>1</v>
      </c>
      <c r="B3" s="32" t="s">
        <v>332</v>
      </c>
      <c r="C3" s="34">
        <v>0</v>
      </c>
      <c r="D3" s="34">
        <f>E3-H3</f>
        <v>1730</v>
      </c>
      <c r="E3" s="35">
        <v>1750</v>
      </c>
      <c r="F3" s="35">
        <v>2800</v>
      </c>
      <c r="G3" s="35">
        <v>2884.5</v>
      </c>
      <c r="H3" s="35">
        <v>20</v>
      </c>
      <c r="I3" s="35">
        <v>2800</v>
      </c>
      <c r="J3" s="35">
        <v>120</v>
      </c>
      <c r="K3" s="35">
        <v>2800</v>
      </c>
      <c r="L3" s="35">
        <v>16</v>
      </c>
      <c r="M3" s="35">
        <v>20</v>
      </c>
      <c r="N3" s="35">
        <v>20</v>
      </c>
      <c r="O3" s="35">
        <v>20</v>
      </c>
      <c r="P3" s="36" t="s">
        <v>77</v>
      </c>
      <c r="Q3" s="36" t="s">
        <v>76</v>
      </c>
      <c r="R3" s="36" t="s">
        <v>77</v>
      </c>
      <c r="S3" s="36" t="s">
        <v>83</v>
      </c>
      <c r="T3" s="36" t="s">
        <v>77</v>
      </c>
      <c r="U3" s="36" t="s">
        <v>84</v>
      </c>
      <c r="V3" s="27"/>
      <c r="W3" s="27"/>
      <c r="X3" s="27" t="s">
        <v>79</v>
      </c>
      <c r="Y3" s="27" t="s">
        <v>85</v>
      </c>
      <c r="Z3" s="27"/>
      <c r="AA3" s="27"/>
    </row>
    <row r="4" spans="1:28" ht="20.25" customHeight="1">
      <c r="A4" s="41">
        <v>2</v>
      </c>
      <c r="B4" s="33" t="s">
        <v>333</v>
      </c>
      <c r="C4" s="37">
        <v>0</v>
      </c>
      <c r="D4" s="37">
        <f t="shared" ref="D4:D11" si="0">E4-H4</f>
        <v>1730</v>
      </c>
      <c r="E4" s="38">
        <v>1750</v>
      </c>
      <c r="F4" s="38">
        <v>2800</v>
      </c>
      <c r="G4" s="38">
        <v>2862</v>
      </c>
      <c r="H4" s="38">
        <v>20</v>
      </c>
      <c r="I4" s="38">
        <v>2800</v>
      </c>
      <c r="J4" s="38">
        <v>120</v>
      </c>
      <c r="K4" s="38">
        <v>2800</v>
      </c>
      <c r="L4" s="38">
        <v>16</v>
      </c>
      <c r="M4" s="38">
        <v>20</v>
      </c>
      <c r="N4" s="38">
        <v>20</v>
      </c>
      <c r="O4" s="38">
        <v>20</v>
      </c>
      <c r="P4" s="39" t="s">
        <v>77</v>
      </c>
      <c r="Q4" s="39" t="s">
        <v>76</v>
      </c>
      <c r="R4" s="39" t="s">
        <v>77</v>
      </c>
      <c r="S4" s="39" t="s">
        <v>83</v>
      </c>
      <c r="T4" s="39" t="s">
        <v>77</v>
      </c>
      <c r="U4" s="39" t="s">
        <v>94</v>
      </c>
      <c r="V4" s="27"/>
      <c r="W4" s="27"/>
      <c r="X4" s="27" t="s">
        <v>79</v>
      </c>
      <c r="Y4" s="27" t="s">
        <v>85</v>
      </c>
      <c r="Z4" s="27"/>
      <c r="AA4" s="27"/>
    </row>
    <row r="5" spans="1:28" ht="20.25" customHeight="1">
      <c r="A5" s="42">
        <v>3</v>
      </c>
      <c r="B5" s="26" t="s">
        <v>334</v>
      </c>
      <c r="C5" s="29">
        <v>0</v>
      </c>
      <c r="D5" s="29">
        <f t="shared" si="0"/>
        <v>1730</v>
      </c>
      <c r="E5" s="28">
        <v>1750</v>
      </c>
      <c r="F5" s="28">
        <v>2800</v>
      </c>
      <c r="G5" s="28">
        <v>2827</v>
      </c>
      <c r="H5" s="28">
        <v>20</v>
      </c>
      <c r="I5" s="28">
        <v>2800</v>
      </c>
      <c r="J5" s="28">
        <v>120</v>
      </c>
      <c r="K5" s="28">
        <v>3192</v>
      </c>
      <c r="L5" s="28">
        <v>16</v>
      </c>
      <c r="M5" s="28">
        <v>20</v>
      </c>
      <c r="N5" s="28">
        <v>20</v>
      </c>
      <c r="O5" s="28">
        <v>20</v>
      </c>
      <c r="P5" s="27" t="s">
        <v>77</v>
      </c>
      <c r="Q5" s="27" t="s">
        <v>76</v>
      </c>
      <c r="R5" s="27" t="s">
        <v>77</v>
      </c>
      <c r="S5" s="27" t="s">
        <v>83</v>
      </c>
      <c r="T5" s="27" t="s">
        <v>77</v>
      </c>
      <c r="U5" s="27" t="s">
        <v>95</v>
      </c>
      <c r="V5" s="27"/>
      <c r="W5" s="27"/>
      <c r="X5" s="27" t="s">
        <v>79</v>
      </c>
      <c r="Y5" s="27" t="s">
        <v>85</v>
      </c>
      <c r="Z5" s="27"/>
      <c r="AA5" s="27"/>
    </row>
    <row r="6" spans="1:28" ht="20.25" customHeight="1">
      <c r="A6" s="42">
        <v>4</v>
      </c>
      <c r="B6" s="26" t="s">
        <v>335</v>
      </c>
      <c r="C6" s="29">
        <v>0</v>
      </c>
      <c r="D6" s="29">
        <f t="shared" si="0"/>
        <v>1730</v>
      </c>
      <c r="E6" s="28">
        <v>1750</v>
      </c>
      <c r="F6" s="28">
        <v>2800</v>
      </c>
      <c r="G6" s="28">
        <v>2804</v>
      </c>
      <c r="H6" s="28">
        <v>20</v>
      </c>
      <c r="I6" s="28">
        <v>2800</v>
      </c>
      <c r="J6" s="28">
        <v>120</v>
      </c>
      <c r="K6" s="28">
        <v>3615</v>
      </c>
      <c r="L6" s="28">
        <v>16</v>
      </c>
      <c r="M6" s="28">
        <v>20</v>
      </c>
      <c r="N6" s="28">
        <v>20</v>
      </c>
      <c r="O6" s="28">
        <v>20</v>
      </c>
      <c r="P6" s="27" t="s">
        <v>77</v>
      </c>
      <c r="Q6" s="27" t="s">
        <v>76</v>
      </c>
      <c r="R6" s="27" t="s">
        <v>77</v>
      </c>
      <c r="S6" s="27" t="s">
        <v>83</v>
      </c>
      <c r="T6" s="27" t="s">
        <v>77</v>
      </c>
      <c r="U6" s="27" t="s">
        <v>310</v>
      </c>
      <c r="V6" s="27"/>
      <c r="W6" s="27"/>
      <c r="X6" s="27" t="s">
        <v>79</v>
      </c>
      <c r="Y6" s="27" t="s">
        <v>85</v>
      </c>
      <c r="Z6" s="27"/>
      <c r="AA6" s="27"/>
    </row>
    <row r="7" spans="1:28" ht="20.25" customHeight="1">
      <c r="A7" s="41">
        <v>5</v>
      </c>
      <c r="B7" s="33" t="s">
        <v>336</v>
      </c>
      <c r="C7" s="37">
        <v>0</v>
      </c>
      <c r="D7" s="37">
        <f t="shared" si="0"/>
        <v>1730</v>
      </c>
      <c r="E7" s="38">
        <v>1750</v>
      </c>
      <c r="F7" s="38">
        <v>2800</v>
      </c>
      <c r="G7" s="38">
        <v>2782</v>
      </c>
      <c r="H7" s="38">
        <v>20</v>
      </c>
      <c r="I7" s="38">
        <v>2800</v>
      </c>
      <c r="J7" s="38">
        <v>120</v>
      </c>
      <c r="K7" s="38">
        <v>4000</v>
      </c>
      <c r="L7" s="38">
        <v>16</v>
      </c>
      <c r="M7" s="38">
        <v>20</v>
      </c>
      <c r="N7" s="38">
        <v>20</v>
      </c>
      <c r="O7" s="38">
        <v>20</v>
      </c>
      <c r="P7" s="39" t="s">
        <v>77</v>
      </c>
      <c r="Q7" s="39" t="s">
        <v>76</v>
      </c>
      <c r="R7" s="39" t="s">
        <v>77</v>
      </c>
      <c r="S7" s="39" t="s">
        <v>83</v>
      </c>
      <c r="T7" s="39" t="s">
        <v>77</v>
      </c>
      <c r="U7" s="39" t="s">
        <v>311</v>
      </c>
      <c r="V7" s="27"/>
      <c r="W7" s="27"/>
      <c r="X7" s="27" t="s">
        <v>79</v>
      </c>
      <c r="Y7" s="27" t="s">
        <v>85</v>
      </c>
      <c r="Z7" s="27"/>
      <c r="AA7" s="27"/>
    </row>
    <row r="8" spans="1:28" ht="20.25" customHeight="1">
      <c r="A8" s="41">
        <v>6</v>
      </c>
      <c r="B8" s="33" t="s">
        <v>337</v>
      </c>
      <c r="C8" s="37">
        <v>0</v>
      </c>
      <c r="D8" s="37">
        <f t="shared" ref="D8" si="1">E8-H8</f>
        <v>1730</v>
      </c>
      <c r="E8" s="38">
        <v>1750</v>
      </c>
      <c r="F8" s="38">
        <v>2800</v>
      </c>
      <c r="G8" s="38">
        <v>2782</v>
      </c>
      <c r="H8" s="38">
        <v>20</v>
      </c>
      <c r="I8" s="38">
        <v>2800</v>
      </c>
      <c r="J8" s="38">
        <v>120</v>
      </c>
      <c r="K8" s="38">
        <v>4000</v>
      </c>
      <c r="L8" s="38">
        <v>16</v>
      </c>
      <c r="M8" s="38">
        <v>20</v>
      </c>
      <c r="N8" s="38">
        <v>20</v>
      </c>
      <c r="O8" s="38">
        <v>20</v>
      </c>
      <c r="P8" s="39" t="s">
        <v>77</v>
      </c>
      <c r="Q8" s="39" t="s">
        <v>76</v>
      </c>
      <c r="R8" s="39" t="s">
        <v>77</v>
      </c>
      <c r="S8" s="39" t="s">
        <v>83</v>
      </c>
      <c r="T8" s="39" t="s">
        <v>77</v>
      </c>
      <c r="U8" s="39" t="s">
        <v>312</v>
      </c>
      <c r="V8" s="27"/>
      <c r="W8" s="27"/>
      <c r="X8" s="27" t="s">
        <v>79</v>
      </c>
      <c r="Y8" s="27" t="s">
        <v>85</v>
      </c>
      <c r="Z8" s="27"/>
      <c r="AA8" s="27"/>
    </row>
    <row r="9" spans="1:28" ht="20.25" customHeight="1">
      <c r="A9" s="42">
        <v>7</v>
      </c>
      <c r="B9" s="26" t="s">
        <v>338</v>
      </c>
      <c r="C9" s="29">
        <v>0</v>
      </c>
      <c r="D9" s="29">
        <f t="shared" si="0"/>
        <v>1730</v>
      </c>
      <c r="E9" s="28">
        <v>1750</v>
      </c>
      <c r="F9" s="28">
        <v>2800</v>
      </c>
      <c r="G9" s="28">
        <v>2757</v>
      </c>
      <c r="H9" s="28">
        <v>20</v>
      </c>
      <c r="I9" s="28">
        <v>2800</v>
      </c>
      <c r="J9" s="28">
        <v>120</v>
      </c>
      <c r="K9" s="28">
        <v>4000</v>
      </c>
      <c r="L9" s="28">
        <v>16</v>
      </c>
      <c r="M9" s="28">
        <v>20</v>
      </c>
      <c r="N9" s="28">
        <v>20</v>
      </c>
      <c r="O9" s="28">
        <v>20</v>
      </c>
      <c r="P9" s="27" t="s">
        <v>77</v>
      </c>
      <c r="Q9" s="27" t="s">
        <v>76</v>
      </c>
      <c r="R9" s="27" t="s">
        <v>77</v>
      </c>
      <c r="S9" s="27" t="s">
        <v>83</v>
      </c>
      <c r="T9" s="27" t="s">
        <v>77</v>
      </c>
      <c r="U9" s="27" t="s">
        <v>313</v>
      </c>
      <c r="V9" s="27"/>
      <c r="W9" s="27"/>
      <c r="X9" s="27" t="s">
        <v>79</v>
      </c>
      <c r="Y9" s="27" t="s">
        <v>85</v>
      </c>
      <c r="Z9" s="27"/>
      <c r="AA9" s="27"/>
    </row>
    <row r="10" spans="1:28" ht="20.25" customHeight="1">
      <c r="A10" s="42">
        <v>8</v>
      </c>
      <c r="B10" s="26" t="s">
        <v>339</v>
      </c>
      <c r="C10" s="29">
        <v>0</v>
      </c>
      <c r="D10" s="29">
        <f t="shared" si="0"/>
        <v>1730</v>
      </c>
      <c r="E10" s="28">
        <v>1750</v>
      </c>
      <c r="F10" s="28">
        <v>2800</v>
      </c>
      <c r="G10" s="28">
        <v>2732</v>
      </c>
      <c r="H10" s="28">
        <v>20</v>
      </c>
      <c r="I10" s="28">
        <v>2800</v>
      </c>
      <c r="J10" s="28">
        <v>120</v>
      </c>
      <c r="K10" s="28">
        <v>4000</v>
      </c>
      <c r="L10" s="28">
        <v>16</v>
      </c>
      <c r="M10" s="28">
        <v>20</v>
      </c>
      <c r="N10" s="28">
        <v>20</v>
      </c>
      <c r="O10" s="28">
        <v>20</v>
      </c>
      <c r="P10" s="27" t="s">
        <v>77</v>
      </c>
      <c r="Q10" s="27" t="s">
        <v>76</v>
      </c>
      <c r="R10" s="27" t="s">
        <v>77</v>
      </c>
      <c r="S10" s="27" t="s">
        <v>83</v>
      </c>
      <c r="T10" s="27" t="s">
        <v>77</v>
      </c>
      <c r="U10" s="27" t="s">
        <v>314</v>
      </c>
      <c r="V10" s="27"/>
      <c r="W10" s="27"/>
      <c r="X10" s="27" t="s">
        <v>79</v>
      </c>
      <c r="Y10" s="27" t="s">
        <v>85</v>
      </c>
      <c r="Z10" s="27"/>
      <c r="AA10" s="27"/>
    </row>
    <row r="11" spans="1:28" ht="20.25" customHeight="1">
      <c r="A11" s="42">
        <v>9</v>
      </c>
      <c r="B11" s="26" t="s">
        <v>340</v>
      </c>
      <c r="C11" s="29">
        <v>0</v>
      </c>
      <c r="D11" s="29">
        <f t="shared" si="0"/>
        <v>1730</v>
      </c>
      <c r="E11" s="28">
        <v>1750</v>
      </c>
      <c r="F11" s="28">
        <v>2800</v>
      </c>
      <c r="G11" s="28">
        <v>2707</v>
      </c>
      <c r="H11" s="28">
        <v>20</v>
      </c>
      <c r="I11" s="28">
        <v>2800</v>
      </c>
      <c r="J11" s="28">
        <v>120</v>
      </c>
      <c r="K11" s="28">
        <v>4000</v>
      </c>
      <c r="L11" s="28">
        <v>16</v>
      </c>
      <c r="M11" s="28">
        <v>20</v>
      </c>
      <c r="N11" s="28">
        <v>20</v>
      </c>
      <c r="O11" s="28">
        <v>20</v>
      </c>
      <c r="P11" s="27" t="s">
        <v>77</v>
      </c>
      <c r="Q11" s="27" t="s">
        <v>76</v>
      </c>
      <c r="R11" s="27" t="s">
        <v>77</v>
      </c>
      <c r="S11" s="27" t="s">
        <v>83</v>
      </c>
      <c r="T11" s="27" t="s">
        <v>77</v>
      </c>
      <c r="U11" s="27" t="s">
        <v>315</v>
      </c>
      <c r="V11" s="27"/>
      <c r="W11" s="27"/>
      <c r="X11" s="27" t="s">
        <v>79</v>
      </c>
      <c r="Y11" s="27" t="s">
        <v>85</v>
      </c>
      <c r="Z11" s="27"/>
      <c r="AA11" s="27"/>
    </row>
    <row r="12" spans="1:28" ht="20.25" customHeight="1">
      <c r="A12" s="41">
        <v>10</v>
      </c>
      <c r="B12" s="33" t="s">
        <v>341</v>
      </c>
      <c r="C12" s="37">
        <v>0</v>
      </c>
      <c r="D12" s="37">
        <f t="shared" ref="D12:D59" si="2">E12-H12</f>
        <v>1730</v>
      </c>
      <c r="E12" s="38">
        <v>1750</v>
      </c>
      <c r="F12" s="38">
        <v>2800</v>
      </c>
      <c r="G12" s="38">
        <v>2682</v>
      </c>
      <c r="H12" s="38">
        <v>20</v>
      </c>
      <c r="I12" s="38">
        <v>2800</v>
      </c>
      <c r="J12" s="38">
        <v>120</v>
      </c>
      <c r="K12" s="38">
        <v>4000</v>
      </c>
      <c r="L12" s="38">
        <v>16</v>
      </c>
      <c r="M12" s="38">
        <v>20</v>
      </c>
      <c r="N12" s="38">
        <v>20</v>
      </c>
      <c r="O12" s="38">
        <v>20</v>
      </c>
      <c r="P12" s="39" t="s">
        <v>77</v>
      </c>
      <c r="Q12" s="39" t="s">
        <v>76</v>
      </c>
      <c r="R12" s="39" t="s">
        <v>77</v>
      </c>
      <c r="S12" s="39" t="s">
        <v>83</v>
      </c>
      <c r="T12" s="39" t="s">
        <v>77</v>
      </c>
      <c r="U12" s="39" t="s">
        <v>144</v>
      </c>
      <c r="V12" s="27"/>
      <c r="W12" s="27"/>
      <c r="X12" s="27" t="s">
        <v>79</v>
      </c>
      <c r="Y12" s="27" t="s">
        <v>85</v>
      </c>
      <c r="Z12" s="27"/>
      <c r="AA12" s="27"/>
    </row>
    <row r="13" spans="1:28" ht="19.5" customHeight="1">
      <c r="A13" s="42">
        <v>11</v>
      </c>
      <c r="B13" s="26" t="s">
        <v>342</v>
      </c>
      <c r="C13" s="29">
        <v>0</v>
      </c>
      <c r="D13" s="29">
        <f t="shared" si="2"/>
        <v>1730</v>
      </c>
      <c r="E13" s="28">
        <v>1750</v>
      </c>
      <c r="F13" s="28">
        <v>2800</v>
      </c>
      <c r="G13" s="28">
        <v>2657</v>
      </c>
      <c r="H13" s="28">
        <v>20</v>
      </c>
      <c r="I13" s="28">
        <v>2800</v>
      </c>
      <c r="J13" s="28">
        <v>120</v>
      </c>
      <c r="K13" s="28">
        <v>4000</v>
      </c>
      <c r="L13" s="28">
        <v>16</v>
      </c>
      <c r="M13" s="28">
        <v>20</v>
      </c>
      <c r="N13" s="28">
        <v>20</v>
      </c>
      <c r="O13" s="28">
        <v>20</v>
      </c>
      <c r="P13" s="27" t="s">
        <v>77</v>
      </c>
      <c r="Q13" s="27" t="s">
        <v>76</v>
      </c>
      <c r="R13" s="27" t="s">
        <v>77</v>
      </c>
      <c r="S13" s="27" t="s">
        <v>83</v>
      </c>
      <c r="T13" s="27" t="s">
        <v>77</v>
      </c>
      <c r="U13" s="27" t="s">
        <v>316</v>
      </c>
      <c r="V13" s="27"/>
      <c r="W13" s="27"/>
      <c r="X13" s="27" t="s">
        <v>79</v>
      </c>
      <c r="Y13" s="27" t="s">
        <v>85</v>
      </c>
      <c r="Z13" s="27"/>
      <c r="AA13" s="27"/>
    </row>
    <row r="14" spans="1:28" ht="19.5" customHeight="1">
      <c r="A14" s="42">
        <v>12</v>
      </c>
      <c r="B14" s="26" t="s">
        <v>343</v>
      </c>
      <c r="C14" s="29">
        <v>0</v>
      </c>
      <c r="D14" s="29">
        <f t="shared" si="2"/>
        <v>1730</v>
      </c>
      <c r="E14" s="28">
        <v>1750</v>
      </c>
      <c r="F14" s="28">
        <v>2800</v>
      </c>
      <c r="G14" s="28">
        <v>2632</v>
      </c>
      <c r="H14" s="28">
        <v>20</v>
      </c>
      <c r="I14" s="28">
        <v>2800</v>
      </c>
      <c r="J14" s="28">
        <v>120</v>
      </c>
      <c r="K14" s="28">
        <v>4000</v>
      </c>
      <c r="L14" s="28">
        <v>16</v>
      </c>
      <c r="M14" s="28">
        <v>20</v>
      </c>
      <c r="N14" s="28">
        <v>20</v>
      </c>
      <c r="O14" s="28">
        <v>20</v>
      </c>
      <c r="P14" s="27" t="s">
        <v>77</v>
      </c>
      <c r="Q14" s="27" t="s">
        <v>76</v>
      </c>
      <c r="R14" s="27" t="s">
        <v>77</v>
      </c>
      <c r="S14" s="27" t="s">
        <v>83</v>
      </c>
      <c r="T14" s="27" t="s">
        <v>77</v>
      </c>
      <c r="U14" s="27" t="s">
        <v>317</v>
      </c>
      <c r="V14" s="27"/>
      <c r="W14" s="27"/>
      <c r="X14" s="27" t="s">
        <v>79</v>
      </c>
      <c r="Y14" s="27" t="s">
        <v>85</v>
      </c>
      <c r="Z14" s="27"/>
      <c r="AA14" s="27"/>
    </row>
    <row r="15" spans="1:28" ht="19.5" customHeight="1">
      <c r="A15" s="42">
        <v>13</v>
      </c>
      <c r="B15" s="26" t="s">
        <v>344</v>
      </c>
      <c r="C15" s="29">
        <v>0</v>
      </c>
      <c r="D15" s="29">
        <f t="shared" si="2"/>
        <v>1730</v>
      </c>
      <c r="E15" s="28">
        <v>1750</v>
      </c>
      <c r="F15" s="28">
        <v>2800</v>
      </c>
      <c r="G15" s="28">
        <v>2607</v>
      </c>
      <c r="H15" s="28">
        <v>20</v>
      </c>
      <c r="I15" s="28">
        <v>2800</v>
      </c>
      <c r="J15" s="28">
        <v>120</v>
      </c>
      <c r="K15" s="28">
        <v>4000</v>
      </c>
      <c r="L15" s="28">
        <v>16</v>
      </c>
      <c r="M15" s="28">
        <v>20</v>
      </c>
      <c r="N15" s="28">
        <v>20</v>
      </c>
      <c r="O15" s="28">
        <v>20</v>
      </c>
      <c r="P15" s="27" t="s">
        <v>77</v>
      </c>
      <c r="Q15" s="27" t="s">
        <v>76</v>
      </c>
      <c r="R15" s="27" t="s">
        <v>77</v>
      </c>
      <c r="S15" s="27" t="s">
        <v>83</v>
      </c>
      <c r="T15" s="27" t="s">
        <v>77</v>
      </c>
      <c r="U15" s="27" t="s">
        <v>318</v>
      </c>
      <c r="V15" s="27"/>
      <c r="W15" s="27"/>
      <c r="X15" s="27" t="s">
        <v>79</v>
      </c>
      <c r="Y15" s="27" t="s">
        <v>85</v>
      </c>
      <c r="Z15" s="27"/>
      <c r="AA15" s="27"/>
    </row>
    <row r="16" spans="1:28">
      <c r="A16" s="41">
        <v>14</v>
      </c>
      <c r="B16" s="33" t="s">
        <v>345</v>
      </c>
      <c r="C16" s="37">
        <v>0</v>
      </c>
      <c r="D16" s="37">
        <f t="shared" si="2"/>
        <v>1730</v>
      </c>
      <c r="E16" s="38">
        <v>1750</v>
      </c>
      <c r="F16" s="38">
        <v>2800</v>
      </c>
      <c r="G16" s="38">
        <v>2582</v>
      </c>
      <c r="H16" s="38">
        <v>20</v>
      </c>
      <c r="I16" s="38">
        <v>2800</v>
      </c>
      <c r="J16" s="38">
        <v>120</v>
      </c>
      <c r="K16" s="38">
        <v>4000</v>
      </c>
      <c r="L16" s="38">
        <v>16</v>
      </c>
      <c r="M16" s="38">
        <v>20</v>
      </c>
      <c r="N16" s="38">
        <v>20</v>
      </c>
      <c r="O16" s="38">
        <v>20</v>
      </c>
      <c r="P16" s="39" t="s">
        <v>77</v>
      </c>
      <c r="Q16" s="39" t="s">
        <v>76</v>
      </c>
      <c r="R16" s="39" t="s">
        <v>77</v>
      </c>
      <c r="S16" s="39" t="s">
        <v>83</v>
      </c>
      <c r="T16" s="39" t="s">
        <v>77</v>
      </c>
      <c r="U16" s="39" t="s">
        <v>145</v>
      </c>
      <c r="V16" s="27"/>
      <c r="W16" s="27"/>
      <c r="X16" s="27" t="s">
        <v>79</v>
      </c>
      <c r="Y16" s="27" t="s">
        <v>85</v>
      </c>
      <c r="Z16" s="27"/>
      <c r="AA16" s="27"/>
    </row>
    <row r="17" spans="1:27">
      <c r="A17" s="42">
        <v>15</v>
      </c>
      <c r="B17" s="26" t="s">
        <v>346</v>
      </c>
      <c r="C17" s="29">
        <v>0</v>
      </c>
      <c r="D17" s="29">
        <f t="shared" si="2"/>
        <v>1730</v>
      </c>
      <c r="E17" s="28">
        <v>1750</v>
      </c>
      <c r="F17" s="28">
        <v>2800</v>
      </c>
      <c r="G17" s="28">
        <v>2557</v>
      </c>
      <c r="H17" s="28">
        <v>20</v>
      </c>
      <c r="I17" s="28">
        <v>2800</v>
      </c>
      <c r="J17" s="28">
        <v>120</v>
      </c>
      <c r="K17" s="28">
        <v>4000</v>
      </c>
      <c r="L17" s="28">
        <v>16</v>
      </c>
      <c r="M17" s="28">
        <v>20</v>
      </c>
      <c r="N17" s="28">
        <v>20</v>
      </c>
      <c r="O17" s="28">
        <v>20</v>
      </c>
      <c r="P17" s="27" t="s">
        <v>77</v>
      </c>
      <c r="Q17" s="27" t="s">
        <v>76</v>
      </c>
      <c r="R17" s="27" t="s">
        <v>77</v>
      </c>
      <c r="S17" s="27" t="s">
        <v>83</v>
      </c>
      <c r="T17" s="27" t="s">
        <v>77</v>
      </c>
      <c r="U17" s="27" t="s">
        <v>319</v>
      </c>
      <c r="V17" s="27"/>
      <c r="W17" s="27"/>
      <c r="X17" s="27" t="s">
        <v>79</v>
      </c>
      <c r="Y17" s="27" t="s">
        <v>85</v>
      </c>
      <c r="Z17" s="27"/>
      <c r="AA17" s="27"/>
    </row>
    <row r="18" spans="1:27">
      <c r="A18" s="42">
        <v>16</v>
      </c>
      <c r="B18" s="26" t="s">
        <v>347</v>
      </c>
      <c r="C18" s="29">
        <v>0</v>
      </c>
      <c r="D18" s="29">
        <f t="shared" si="2"/>
        <v>1730</v>
      </c>
      <c r="E18" s="28">
        <v>1750</v>
      </c>
      <c r="F18" s="28">
        <v>2800</v>
      </c>
      <c r="G18" s="28">
        <v>2532</v>
      </c>
      <c r="H18" s="28">
        <v>20</v>
      </c>
      <c r="I18" s="28">
        <v>2800</v>
      </c>
      <c r="J18" s="28">
        <v>120</v>
      </c>
      <c r="K18" s="28">
        <v>4000</v>
      </c>
      <c r="L18" s="28">
        <v>16</v>
      </c>
      <c r="M18" s="28">
        <v>20</v>
      </c>
      <c r="N18" s="28">
        <v>20</v>
      </c>
      <c r="O18" s="28">
        <v>20</v>
      </c>
      <c r="P18" s="27" t="s">
        <v>77</v>
      </c>
      <c r="Q18" s="27" t="s">
        <v>76</v>
      </c>
      <c r="R18" s="27" t="s">
        <v>77</v>
      </c>
      <c r="S18" s="27" t="s">
        <v>83</v>
      </c>
      <c r="T18" s="27" t="s">
        <v>77</v>
      </c>
      <c r="U18" s="27" t="s">
        <v>320</v>
      </c>
      <c r="V18" s="27"/>
      <c r="W18" s="27"/>
      <c r="X18" s="27" t="s">
        <v>79</v>
      </c>
      <c r="Y18" s="27" t="s">
        <v>85</v>
      </c>
      <c r="Z18" s="27"/>
      <c r="AA18" s="27"/>
    </row>
    <row r="19" spans="1:27">
      <c r="A19" s="42">
        <v>17</v>
      </c>
      <c r="B19" s="26" t="s">
        <v>348</v>
      </c>
      <c r="C19" s="29">
        <v>0</v>
      </c>
      <c r="D19" s="29">
        <f t="shared" si="2"/>
        <v>1730</v>
      </c>
      <c r="E19" s="28">
        <v>1750</v>
      </c>
      <c r="F19" s="28">
        <v>2800</v>
      </c>
      <c r="G19" s="28">
        <v>2507</v>
      </c>
      <c r="H19" s="28">
        <v>20</v>
      </c>
      <c r="I19" s="28">
        <v>2800</v>
      </c>
      <c r="J19" s="28">
        <v>120</v>
      </c>
      <c r="K19" s="28">
        <v>4000</v>
      </c>
      <c r="L19" s="28">
        <v>16</v>
      </c>
      <c r="M19" s="28">
        <v>20</v>
      </c>
      <c r="N19" s="28">
        <v>20</v>
      </c>
      <c r="O19" s="28">
        <v>20</v>
      </c>
      <c r="P19" s="27" t="s">
        <v>77</v>
      </c>
      <c r="Q19" s="27" t="s">
        <v>76</v>
      </c>
      <c r="R19" s="27" t="s">
        <v>77</v>
      </c>
      <c r="S19" s="27" t="s">
        <v>83</v>
      </c>
      <c r="T19" s="27" t="s">
        <v>77</v>
      </c>
      <c r="U19" s="27" t="s">
        <v>321</v>
      </c>
      <c r="V19" s="27"/>
      <c r="W19" s="27"/>
      <c r="X19" s="27" t="s">
        <v>79</v>
      </c>
      <c r="Y19" s="27" t="s">
        <v>85</v>
      </c>
      <c r="Z19" s="27"/>
      <c r="AA19" s="27"/>
    </row>
    <row r="20" spans="1:27">
      <c r="A20" s="41">
        <v>18</v>
      </c>
      <c r="B20" s="33" t="s">
        <v>349</v>
      </c>
      <c r="C20" s="37">
        <v>0</v>
      </c>
      <c r="D20" s="37">
        <f t="shared" si="2"/>
        <v>1730</v>
      </c>
      <c r="E20" s="38">
        <v>1750</v>
      </c>
      <c r="F20" s="38">
        <v>2800</v>
      </c>
      <c r="G20" s="38">
        <v>2482</v>
      </c>
      <c r="H20" s="38">
        <v>20</v>
      </c>
      <c r="I20" s="38">
        <v>2800</v>
      </c>
      <c r="J20" s="38">
        <v>120</v>
      </c>
      <c r="K20" s="38">
        <v>4002</v>
      </c>
      <c r="L20" s="38">
        <v>16</v>
      </c>
      <c r="M20" s="38">
        <v>20</v>
      </c>
      <c r="N20" s="38">
        <v>20</v>
      </c>
      <c r="O20" s="38">
        <v>20</v>
      </c>
      <c r="P20" s="39" t="s">
        <v>77</v>
      </c>
      <c r="Q20" s="39" t="s">
        <v>76</v>
      </c>
      <c r="R20" s="39" t="s">
        <v>77</v>
      </c>
      <c r="S20" s="39" t="s">
        <v>83</v>
      </c>
      <c r="T20" s="39" t="s">
        <v>77</v>
      </c>
      <c r="U20" s="39" t="s">
        <v>322</v>
      </c>
      <c r="V20" s="27"/>
      <c r="W20" s="27"/>
      <c r="X20" s="27" t="s">
        <v>79</v>
      </c>
      <c r="Y20" s="27" t="s">
        <v>85</v>
      </c>
      <c r="Z20" s="27"/>
      <c r="AA20" s="27"/>
    </row>
    <row r="21" spans="1:27">
      <c r="A21" s="41">
        <v>19</v>
      </c>
      <c r="B21" s="33" t="s">
        <v>350</v>
      </c>
      <c r="C21" s="37">
        <v>0</v>
      </c>
      <c r="D21" s="37">
        <f t="shared" ref="D21" si="3">E21-H21</f>
        <v>1730</v>
      </c>
      <c r="E21" s="38">
        <v>1750</v>
      </c>
      <c r="F21" s="38">
        <v>2800</v>
      </c>
      <c r="G21" s="38">
        <v>2482</v>
      </c>
      <c r="H21" s="38">
        <v>20</v>
      </c>
      <c r="I21" s="38">
        <v>2800</v>
      </c>
      <c r="J21" s="38">
        <v>120</v>
      </c>
      <c r="K21" s="38">
        <v>4002</v>
      </c>
      <c r="L21" s="38">
        <v>16</v>
      </c>
      <c r="M21" s="38">
        <v>20</v>
      </c>
      <c r="N21" s="38">
        <v>20</v>
      </c>
      <c r="O21" s="38">
        <v>20</v>
      </c>
      <c r="P21" s="39" t="s">
        <v>77</v>
      </c>
      <c r="Q21" s="39" t="s">
        <v>76</v>
      </c>
      <c r="R21" s="39" t="s">
        <v>77</v>
      </c>
      <c r="S21" s="39" t="s">
        <v>83</v>
      </c>
      <c r="T21" s="39" t="s">
        <v>77</v>
      </c>
      <c r="U21" s="39" t="s">
        <v>323</v>
      </c>
      <c r="V21" s="27"/>
      <c r="W21" s="27"/>
      <c r="X21" s="27" t="s">
        <v>79</v>
      </c>
      <c r="Y21" s="27" t="s">
        <v>85</v>
      </c>
      <c r="Z21" s="27"/>
      <c r="AA21" s="27"/>
    </row>
    <row r="22" spans="1:27">
      <c r="A22" s="42">
        <v>20</v>
      </c>
      <c r="B22" s="26" t="s">
        <v>351</v>
      </c>
      <c r="C22" s="29">
        <v>0</v>
      </c>
      <c r="D22" s="29">
        <f t="shared" si="2"/>
        <v>1730</v>
      </c>
      <c r="E22" s="28">
        <v>1750</v>
      </c>
      <c r="F22" s="28">
        <v>2800</v>
      </c>
      <c r="G22" s="28">
        <v>2457</v>
      </c>
      <c r="H22" s="28">
        <v>20</v>
      </c>
      <c r="I22" s="28">
        <v>2800</v>
      </c>
      <c r="J22" s="28">
        <v>120</v>
      </c>
      <c r="K22" s="28">
        <v>4008</v>
      </c>
      <c r="L22" s="28">
        <v>16</v>
      </c>
      <c r="M22" s="28">
        <v>20</v>
      </c>
      <c r="N22" s="28">
        <v>20</v>
      </c>
      <c r="O22" s="28">
        <v>20</v>
      </c>
      <c r="P22" s="27" t="s">
        <v>77</v>
      </c>
      <c r="Q22" s="27" t="s">
        <v>76</v>
      </c>
      <c r="R22" s="27" t="s">
        <v>77</v>
      </c>
      <c r="S22" s="27" t="s">
        <v>83</v>
      </c>
      <c r="T22" s="27" t="s">
        <v>77</v>
      </c>
      <c r="U22" s="27" t="s">
        <v>324</v>
      </c>
      <c r="V22" s="27"/>
      <c r="W22" s="27"/>
      <c r="X22" s="27" t="s">
        <v>79</v>
      </c>
      <c r="Y22" s="27" t="s">
        <v>85</v>
      </c>
      <c r="Z22" s="27"/>
      <c r="AA22" s="27"/>
    </row>
    <row r="23" spans="1:27">
      <c r="A23" s="42">
        <v>21</v>
      </c>
      <c r="B23" s="26" t="s">
        <v>352</v>
      </c>
      <c r="C23" s="29">
        <v>0</v>
      </c>
      <c r="D23" s="29">
        <f t="shared" si="2"/>
        <v>1730</v>
      </c>
      <c r="E23" s="28">
        <v>1750</v>
      </c>
      <c r="F23" s="28">
        <v>2800</v>
      </c>
      <c r="G23" s="28">
        <v>2432</v>
      </c>
      <c r="H23" s="28">
        <v>20</v>
      </c>
      <c r="I23" s="28">
        <v>2800</v>
      </c>
      <c r="J23" s="28">
        <v>120</v>
      </c>
      <c r="K23" s="28">
        <v>4018</v>
      </c>
      <c r="L23" s="28">
        <v>16</v>
      </c>
      <c r="M23" s="28">
        <v>20</v>
      </c>
      <c r="N23" s="28">
        <v>20</v>
      </c>
      <c r="O23" s="28">
        <v>20</v>
      </c>
      <c r="P23" s="27" t="s">
        <v>77</v>
      </c>
      <c r="Q23" s="27" t="s">
        <v>76</v>
      </c>
      <c r="R23" s="27" t="s">
        <v>77</v>
      </c>
      <c r="S23" s="27" t="s">
        <v>83</v>
      </c>
      <c r="T23" s="27" t="s">
        <v>77</v>
      </c>
      <c r="U23" s="27" t="s">
        <v>325</v>
      </c>
      <c r="V23" s="27"/>
      <c r="W23" s="27"/>
      <c r="X23" s="27" t="s">
        <v>79</v>
      </c>
      <c r="Y23" s="27" t="s">
        <v>85</v>
      </c>
      <c r="Z23" s="27"/>
      <c r="AA23" s="27"/>
    </row>
    <row r="24" spans="1:27">
      <c r="A24" s="42">
        <v>22</v>
      </c>
      <c r="B24" s="26" t="s">
        <v>353</v>
      </c>
      <c r="C24" s="29">
        <v>0</v>
      </c>
      <c r="D24" s="29">
        <f t="shared" si="2"/>
        <v>1730</v>
      </c>
      <c r="E24" s="28">
        <v>1750</v>
      </c>
      <c r="F24" s="28">
        <v>2800</v>
      </c>
      <c r="G24" s="28">
        <v>2407</v>
      </c>
      <c r="H24" s="28">
        <v>20</v>
      </c>
      <c r="I24" s="28">
        <v>2800</v>
      </c>
      <c r="J24" s="28">
        <v>120</v>
      </c>
      <c r="K24" s="28">
        <v>4032</v>
      </c>
      <c r="L24" s="28">
        <v>16</v>
      </c>
      <c r="M24" s="28">
        <v>20</v>
      </c>
      <c r="N24" s="28">
        <v>20</v>
      </c>
      <c r="O24" s="28">
        <v>20</v>
      </c>
      <c r="P24" s="27" t="s">
        <v>77</v>
      </c>
      <c r="Q24" s="27" t="s">
        <v>76</v>
      </c>
      <c r="R24" s="27" t="s">
        <v>77</v>
      </c>
      <c r="S24" s="27" t="s">
        <v>83</v>
      </c>
      <c r="T24" s="27" t="s">
        <v>77</v>
      </c>
      <c r="U24" s="27" t="s">
        <v>326</v>
      </c>
      <c r="V24" s="27"/>
      <c r="W24" s="27"/>
      <c r="X24" s="27" t="s">
        <v>79</v>
      </c>
      <c r="Y24" s="27" t="s">
        <v>85</v>
      </c>
      <c r="Z24" s="27"/>
      <c r="AA24" s="27"/>
    </row>
    <row r="25" spans="1:27">
      <c r="A25" s="41">
        <v>23</v>
      </c>
      <c r="B25" s="33" t="s">
        <v>354</v>
      </c>
      <c r="C25" s="37">
        <v>0</v>
      </c>
      <c r="D25" s="37">
        <f t="shared" si="2"/>
        <v>1730</v>
      </c>
      <c r="E25" s="38">
        <v>1750</v>
      </c>
      <c r="F25" s="38">
        <v>2800</v>
      </c>
      <c r="G25" s="38">
        <v>2382</v>
      </c>
      <c r="H25" s="38">
        <v>20</v>
      </c>
      <c r="I25" s="38">
        <v>2800</v>
      </c>
      <c r="J25" s="38">
        <v>120</v>
      </c>
      <c r="K25" s="38">
        <v>4049</v>
      </c>
      <c r="L25" s="38">
        <v>16</v>
      </c>
      <c r="M25" s="38">
        <v>20</v>
      </c>
      <c r="N25" s="38">
        <v>20</v>
      </c>
      <c r="O25" s="38">
        <v>20</v>
      </c>
      <c r="P25" s="39" t="s">
        <v>77</v>
      </c>
      <c r="Q25" s="39" t="s">
        <v>76</v>
      </c>
      <c r="R25" s="39" t="s">
        <v>77</v>
      </c>
      <c r="S25" s="39" t="s">
        <v>83</v>
      </c>
      <c r="T25" s="39" t="s">
        <v>77</v>
      </c>
      <c r="U25" s="39" t="s">
        <v>327</v>
      </c>
      <c r="V25" s="27"/>
      <c r="W25" s="27"/>
      <c r="X25" s="27" t="s">
        <v>79</v>
      </c>
      <c r="Y25" s="27" t="s">
        <v>85</v>
      </c>
      <c r="Z25" s="27"/>
      <c r="AA25" s="27"/>
    </row>
    <row r="26" spans="1:27">
      <c r="A26" s="42">
        <v>24</v>
      </c>
      <c r="B26" s="26" t="s">
        <v>355</v>
      </c>
      <c r="C26" s="29">
        <v>0</v>
      </c>
      <c r="D26" s="29">
        <f t="shared" si="2"/>
        <v>1730</v>
      </c>
      <c r="E26" s="28">
        <v>1750</v>
      </c>
      <c r="F26" s="28">
        <v>2800</v>
      </c>
      <c r="G26" s="28">
        <v>2357</v>
      </c>
      <c r="H26" s="28">
        <v>20</v>
      </c>
      <c r="I26" s="28">
        <v>2800</v>
      </c>
      <c r="J26" s="28">
        <v>120</v>
      </c>
      <c r="K26" s="28">
        <v>4071</v>
      </c>
      <c r="L26" s="28">
        <v>16</v>
      </c>
      <c r="M26" s="28">
        <v>20</v>
      </c>
      <c r="N26" s="28">
        <v>20</v>
      </c>
      <c r="O26" s="28">
        <v>20</v>
      </c>
      <c r="P26" s="27" t="s">
        <v>77</v>
      </c>
      <c r="Q26" s="27" t="s">
        <v>76</v>
      </c>
      <c r="R26" s="27" t="s">
        <v>77</v>
      </c>
      <c r="S26" s="27" t="s">
        <v>83</v>
      </c>
      <c r="T26" s="27" t="s">
        <v>77</v>
      </c>
      <c r="U26" s="27" t="s">
        <v>328</v>
      </c>
      <c r="V26" s="27"/>
      <c r="W26" s="27"/>
      <c r="X26" s="27" t="s">
        <v>79</v>
      </c>
      <c r="Y26" s="27" t="s">
        <v>85</v>
      </c>
      <c r="Z26" s="27"/>
      <c r="AA26" s="27"/>
    </row>
    <row r="27" spans="1:27">
      <c r="A27" s="42">
        <v>25</v>
      </c>
      <c r="B27" s="26" t="s">
        <v>356</v>
      </c>
      <c r="C27" s="29">
        <v>0</v>
      </c>
      <c r="D27" s="29">
        <f t="shared" si="2"/>
        <v>1730</v>
      </c>
      <c r="E27" s="28">
        <v>1750</v>
      </c>
      <c r="F27" s="28">
        <v>2800</v>
      </c>
      <c r="G27" s="28">
        <v>2332</v>
      </c>
      <c r="H27" s="28">
        <v>20</v>
      </c>
      <c r="I27" s="28">
        <v>2800</v>
      </c>
      <c r="J27" s="28">
        <v>120</v>
      </c>
      <c r="K27" s="28">
        <v>4097</v>
      </c>
      <c r="L27" s="28">
        <v>16</v>
      </c>
      <c r="M27" s="28">
        <v>20</v>
      </c>
      <c r="N27" s="28">
        <v>20</v>
      </c>
      <c r="O27" s="28">
        <v>20</v>
      </c>
      <c r="P27" s="27" t="s">
        <v>77</v>
      </c>
      <c r="Q27" s="27" t="s">
        <v>76</v>
      </c>
      <c r="R27" s="27" t="s">
        <v>77</v>
      </c>
      <c r="S27" s="27" t="s">
        <v>83</v>
      </c>
      <c r="T27" s="27" t="s">
        <v>77</v>
      </c>
      <c r="U27" s="27" t="s">
        <v>329</v>
      </c>
      <c r="V27" s="27"/>
      <c r="W27" s="27"/>
      <c r="X27" s="27" t="s">
        <v>79</v>
      </c>
      <c r="Y27" s="27" t="s">
        <v>85</v>
      </c>
      <c r="Z27" s="27"/>
      <c r="AA27" s="27"/>
    </row>
    <row r="28" spans="1:27">
      <c r="A28" s="42">
        <v>26</v>
      </c>
      <c r="B28" s="26" t="s">
        <v>357</v>
      </c>
      <c r="C28" s="29">
        <v>0</v>
      </c>
      <c r="D28" s="29">
        <f t="shared" si="2"/>
        <v>1730</v>
      </c>
      <c r="E28" s="28">
        <v>1750</v>
      </c>
      <c r="F28" s="28">
        <v>2800</v>
      </c>
      <c r="G28" s="28">
        <v>2307</v>
      </c>
      <c r="H28" s="28">
        <v>20</v>
      </c>
      <c r="I28" s="28">
        <v>2800</v>
      </c>
      <c r="J28" s="28">
        <v>120</v>
      </c>
      <c r="K28" s="28">
        <v>4126</v>
      </c>
      <c r="L28" s="28">
        <v>16</v>
      </c>
      <c r="M28" s="28">
        <v>20</v>
      </c>
      <c r="N28" s="28">
        <v>20</v>
      </c>
      <c r="O28" s="28">
        <v>20</v>
      </c>
      <c r="P28" s="27" t="s">
        <v>77</v>
      </c>
      <c r="Q28" s="27" t="s">
        <v>76</v>
      </c>
      <c r="R28" s="27" t="s">
        <v>77</v>
      </c>
      <c r="S28" s="27" t="s">
        <v>83</v>
      </c>
      <c r="T28" s="27" t="s">
        <v>77</v>
      </c>
      <c r="U28" s="27" t="s">
        <v>330</v>
      </c>
      <c r="V28" s="27"/>
      <c r="W28" s="27"/>
      <c r="X28" s="27" t="s">
        <v>79</v>
      </c>
      <c r="Y28" s="27" t="s">
        <v>85</v>
      </c>
      <c r="Z28" s="27"/>
      <c r="AA28" s="27"/>
    </row>
    <row r="29" spans="1:27">
      <c r="A29" s="41">
        <v>27</v>
      </c>
      <c r="B29" s="33" t="s">
        <v>358</v>
      </c>
      <c r="C29" s="37">
        <v>0</v>
      </c>
      <c r="D29" s="37">
        <f t="shared" si="2"/>
        <v>1730</v>
      </c>
      <c r="E29" s="38">
        <v>1750</v>
      </c>
      <c r="F29" s="38">
        <v>2800</v>
      </c>
      <c r="G29" s="38">
        <v>2282</v>
      </c>
      <c r="H29" s="38">
        <v>20</v>
      </c>
      <c r="I29" s="38">
        <v>2800</v>
      </c>
      <c r="J29" s="38">
        <v>120</v>
      </c>
      <c r="K29" s="38">
        <v>4157</v>
      </c>
      <c r="L29" s="38">
        <v>16</v>
      </c>
      <c r="M29" s="38">
        <v>20</v>
      </c>
      <c r="N29" s="38">
        <v>20</v>
      </c>
      <c r="O29" s="38">
        <v>20</v>
      </c>
      <c r="P29" s="39" t="s">
        <v>77</v>
      </c>
      <c r="Q29" s="39" t="s">
        <v>76</v>
      </c>
      <c r="R29" s="39" t="s">
        <v>77</v>
      </c>
      <c r="S29" s="39" t="s">
        <v>83</v>
      </c>
      <c r="T29" s="39" t="s">
        <v>77</v>
      </c>
      <c r="U29" s="39" t="s">
        <v>331</v>
      </c>
      <c r="V29" s="27"/>
      <c r="W29" s="27"/>
      <c r="X29" s="27" t="s">
        <v>79</v>
      </c>
      <c r="Y29" s="27" t="s">
        <v>85</v>
      </c>
      <c r="Z29" s="27"/>
      <c r="AA29" s="27"/>
    </row>
    <row r="30" spans="1:27">
      <c r="A30" s="41">
        <v>28</v>
      </c>
      <c r="B30" s="33" t="s">
        <v>359</v>
      </c>
      <c r="C30" s="37">
        <v>0</v>
      </c>
      <c r="D30" s="37">
        <f t="shared" ref="D30" si="4">E30-H30</f>
        <v>1730</v>
      </c>
      <c r="E30" s="38">
        <v>1750</v>
      </c>
      <c r="F30" s="38">
        <v>2800</v>
      </c>
      <c r="G30" s="38">
        <v>2282</v>
      </c>
      <c r="H30" s="38">
        <v>20</v>
      </c>
      <c r="I30" s="38">
        <v>2800</v>
      </c>
      <c r="J30" s="38">
        <v>120</v>
      </c>
      <c r="K30" s="38">
        <v>4157</v>
      </c>
      <c r="L30" s="38">
        <v>16</v>
      </c>
      <c r="M30" s="38">
        <v>20</v>
      </c>
      <c r="N30" s="38">
        <v>20</v>
      </c>
      <c r="O30" s="38">
        <v>20</v>
      </c>
      <c r="P30" s="39" t="s">
        <v>77</v>
      </c>
      <c r="Q30" s="39" t="s">
        <v>76</v>
      </c>
      <c r="R30" s="39" t="s">
        <v>77</v>
      </c>
      <c r="S30" s="39" t="s">
        <v>83</v>
      </c>
      <c r="T30" s="39" t="s">
        <v>77</v>
      </c>
      <c r="U30" s="39" t="s">
        <v>148</v>
      </c>
      <c r="V30" s="27"/>
      <c r="W30" s="27"/>
      <c r="X30" s="27" t="s">
        <v>79</v>
      </c>
      <c r="Y30" s="27" t="s">
        <v>85</v>
      </c>
      <c r="Z30" s="27"/>
      <c r="AA30" s="27"/>
    </row>
    <row r="31" spans="1:27">
      <c r="A31" s="42">
        <v>29</v>
      </c>
      <c r="B31" s="26" t="s">
        <v>360</v>
      </c>
      <c r="C31" s="29">
        <v>0</v>
      </c>
      <c r="D31" s="29">
        <f t="shared" si="2"/>
        <v>1730</v>
      </c>
      <c r="E31" s="28">
        <v>1750</v>
      </c>
      <c r="F31" s="28">
        <v>2800</v>
      </c>
      <c r="G31" s="28">
        <v>2256</v>
      </c>
      <c r="H31" s="28">
        <v>20</v>
      </c>
      <c r="I31" s="28">
        <v>2800</v>
      </c>
      <c r="J31" s="28">
        <v>120</v>
      </c>
      <c r="K31" s="28">
        <v>4196</v>
      </c>
      <c r="L31" s="28">
        <v>16</v>
      </c>
      <c r="M31" s="28">
        <v>20</v>
      </c>
      <c r="N31" s="28">
        <v>20</v>
      </c>
      <c r="O31" s="28">
        <v>20</v>
      </c>
      <c r="P31" s="27" t="s">
        <v>77</v>
      </c>
      <c r="Q31" s="27" t="s">
        <v>76</v>
      </c>
      <c r="R31" s="27" t="s">
        <v>77</v>
      </c>
      <c r="S31" s="27" t="s">
        <v>83</v>
      </c>
      <c r="T31" s="27" t="s">
        <v>77</v>
      </c>
      <c r="U31" s="27" t="s">
        <v>147</v>
      </c>
      <c r="V31" s="27"/>
      <c r="W31" s="27"/>
      <c r="X31" s="27" t="s">
        <v>79</v>
      </c>
      <c r="Y31" s="27" t="s">
        <v>85</v>
      </c>
      <c r="Z31" s="27"/>
      <c r="AA31" s="27"/>
    </row>
    <row r="32" spans="1:27">
      <c r="A32" s="42">
        <v>30</v>
      </c>
      <c r="B32" s="26" t="s">
        <v>361</v>
      </c>
      <c r="C32" s="29">
        <v>0</v>
      </c>
      <c r="D32" s="29">
        <f t="shared" si="2"/>
        <v>1730</v>
      </c>
      <c r="E32" s="28">
        <v>1750</v>
      </c>
      <c r="F32" s="28">
        <v>2800</v>
      </c>
      <c r="G32" s="28">
        <v>2230</v>
      </c>
      <c r="H32" s="28">
        <v>20</v>
      </c>
      <c r="I32" s="28">
        <v>2800</v>
      </c>
      <c r="J32" s="28">
        <v>120</v>
      </c>
      <c r="K32" s="28">
        <v>4237</v>
      </c>
      <c r="L32" s="28">
        <v>16</v>
      </c>
      <c r="M32" s="28">
        <v>20</v>
      </c>
      <c r="N32" s="28">
        <v>20</v>
      </c>
      <c r="O32" s="28">
        <v>20</v>
      </c>
      <c r="P32" s="27" t="s">
        <v>77</v>
      </c>
      <c r="Q32" s="27" t="s">
        <v>76</v>
      </c>
      <c r="R32" s="27" t="s">
        <v>77</v>
      </c>
      <c r="S32" s="27" t="s">
        <v>83</v>
      </c>
      <c r="T32" s="27" t="s">
        <v>77</v>
      </c>
      <c r="U32" s="27" t="s">
        <v>147</v>
      </c>
      <c r="V32" s="27"/>
      <c r="W32" s="27"/>
      <c r="X32" s="27" t="s">
        <v>79</v>
      </c>
      <c r="Y32" s="27" t="s">
        <v>85</v>
      </c>
      <c r="Z32" s="27"/>
      <c r="AA32" s="27"/>
    </row>
    <row r="33" spans="1:27">
      <c r="A33" s="42">
        <v>31</v>
      </c>
      <c r="B33" s="26" t="s">
        <v>362</v>
      </c>
      <c r="C33" s="29">
        <v>0</v>
      </c>
      <c r="D33" s="29">
        <f t="shared" si="2"/>
        <v>1730</v>
      </c>
      <c r="E33" s="28">
        <v>1750</v>
      </c>
      <c r="F33" s="28">
        <v>2800</v>
      </c>
      <c r="G33" s="28">
        <v>2204</v>
      </c>
      <c r="H33" s="28">
        <v>20</v>
      </c>
      <c r="I33" s="28">
        <v>2800</v>
      </c>
      <c r="J33" s="28">
        <v>120</v>
      </c>
      <c r="K33" s="28">
        <v>4281</v>
      </c>
      <c r="L33" s="28">
        <v>16</v>
      </c>
      <c r="M33" s="28">
        <v>20</v>
      </c>
      <c r="N33" s="28">
        <v>20</v>
      </c>
      <c r="O33" s="28">
        <v>20</v>
      </c>
      <c r="P33" s="27" t="s">
        <v>77</v>
      </c>
      <c r="Q33" s="27" t="s">
        <v>76</v>
      </c>
      <c r="R33" s="27" t="s">
        <v>77</v>
      </c>
      <c r="S33" s="27" t="s">
        <v>83</v>
      </c>
      <c r="T33" s="27" t="s">
        <v>77</v>
      </c>
      <c r="U33" s="27" t="s">
        <v>147</v>
      </c>
      <c r="V33" s="27"/>
      <c r="W33" s="27"/>
      <c r="X33" s="27" t="s">
        <v>79</v>
      </c>
      <c r="Y33" s="27" t="s">
        <v>85</v>
      </c>
      <c r="Z33" s="27"/>
      <c r="AA33" s="27"/>
    </row>
    <row r="34" spans="1:27">
      <c r="A34" s="41">
        <v>32</v>
      </c>
      <c r="B34" s="33" t="s">
        <v>363</v>
      </c>
      <c r="C34" s="37">
        <v>0</v>
      </c>
      <c r="D34" s="37">
        <f t="shared" si="2"/>
        <v>1730</v>
      </c>
      <c r="E34" s="38">
        <v>1750</v>
      </c>
      <c r="F34" s="38">
        <v>2800</v>
      </c>
      <c r="G34" s="38">
        <v>2178</v>
      </c>
      <c r="H34" s="38">
        <v>20</v>
      </c>
      <c r="I34" s="38">
        <v>2800</v>
      </c>
      <c r="J34" s="38">
        <v>120</v>
      </c>
      <c r="K34" s="38">
        <v>4325</v>
      </c>
      <c r="L34" s="38">
        <v>16</v>
      </c>
      <c r="M34" s="38">
        <v>20</v>
      </c>
      <c r="N34" s="38">
        <v>20</v>
      </c>
      <c r="O34" s="38">
        <v>20</v>
      </c>
      <c r="P34" s="39" t="s">
        <v>77</v>
      </c>
      <c r="Q34" s="39" t="s">
        <v>76</v>
      </c>
      <c r="R34" s="39" t="s">
        <v>77</v>
      </c>
      <c r="S34" s="39" t="s">
        <v>83</v>
      </c>
      <c r="T34" s="39" t="s">
        <v>77</v>
      </c>
      <c r="U34" s="39" t="s">
        <v>148</v>
      </c>
      <c r="V34" s="27"/>
      <c r="W34" s="27"/>
      <c r="X34" s="27" t="s">
        <v>79</v>
      </c>
      <c r="Y34" s="27" t="s">
        <v>85</v>
      </c>
      <c r="Z34" s="27"/>
      <c r="AA34" s="27"/>
    </row>
    <row r="35" spans="1:27">
      <c r="A35" s="42">
        <v>33</v>
      </c>
      <c r="B35" s="26" t="s">
        <v>364</v>
      </c>
      <c r="C35" s="29">
        <v>0</v>
      </c>
      <c r="D35" s="29">
        <f t="shared" si="2"/>
        <v>1730</v>
      </c>
      <c r="E35" s="28">
        <v>1750</v>
      </c>
      <c r="F35" s="28">
        <v>2800</v>
      </c>
      <c r="G35" s="28">
        <v>2153</v>
      </c>
      <c r="H35" s="28">
        <v>20</v>
      </c>
      <c r="I35" s="28">
        <v>2800</v>
      </c>
      <c r="J35" s="28">
        <v>120</v>
      </c>
      <c r="K35" s="28">
        <v>4382</v>
      </c>
      <c r="L35" s="28">
        <v>16</v>
      </c>
      <c r="M35" s="28">
        <v>20</v>
      </c>
      <c r="N35" s="28">
        <v>20</v>
      </c>
      <c r="O35" s="28">
        <v>20</v>
      </c>
      <c r="P35" s="27" t="s">
        <v>77</v>
      </c>
      <c r="Q35" s="27" t="s">
        <v>76</v>
      </c>
      <c r="R35" s="27" t="s">
        <v>77</v>
      </c>
      <c r="S35" s="27" t="s">
        <v>83</v>
      </c>
      <c r="T35" s="27" t="s">
        <v>77</v>
      </c>
      <c r="U35" s="27" t="s">
        <v>149</v>
      </c>
      <c r="V35" s="27"/>
      <c r="W35" s="27"/>
      <c r="X35" s="27" t="s">
        <v>79</v>
      </c>
      <c r="Y35" s="27" t="s">
        <v>85</v>
      </c>
      <c r="Z35" s="27"/>
      <c r="AA35" s="27"/>
    </row>
    <row r="36" spans="1:27">
      <c r="A36" s="42">
        <v>34</v>
      </c>
      <c r="B36" s="26" t="s">
        <v>365</v>
      </c>
      <c r="C36" s="29">
        <v>0</v>
      </c>
      <c r="D36" s="29">
        <f t="shared" si="2"/>
        <v>1730</v>
      </c>
      <c r="E36" s="28">
        <v>1750</v>
      </c>
      <c r="F36" s="28">
        <v>2800</v>
      </c>
      <c r="G36" s="28">
        <v>2127</v>
      </c>
      <c r="H36" s="28">
        <v>20</v>
      </c>
      <c r="I36" s="28">
        <v>2800</v>
      </c>
      <c r="J36" s="28">
        <v>120</v>
      </c>
      <c r="K36" s="28">
        <v>4438</v>
      </c>
      <c r="L36" s="28">
        <v>16</v>
      </c>
      <c r="M36" s="28">
        <v>20</v>
      </c>
      <c r="N36" s="28">
        <v>20</v>
      </c>
      <c r="O36" s="28">
        <v>20</v>
      </c>
      <c r="P36" s="27" t="s">
        <v>77</v>
      </c>
      <c r="Q36" s="27" t="s">
        <v>76</v>
      </c>
      <c r="R36" s="27" t="s">
        <v>77</v>
      </c>
      <c r="S36" s="27" t="s">
        <v>83</v>
      </c>
      <c r="T36" s="27" t="s">
        <v>77</v>
      </c>
      <c r="U36" s="27" t="s">
        <v>150</v>
      </c>
      <c r="V36" s="27"/>
      <c r="W36" s="27"/>
      <c r="X36" s="27" t="s">
        <v>79</v>
      </c>
      <c r="Y36" s="27" t="s">
        <v>85</v>
      </c>
      <c r="Z36" s="27"/>
      <c r="AA36" s="27"/>
    </row>
    <row r="37" spans="1:27">
      <c r="A37" s="42">
        <v>35</v>
      </c>
      <c r="B37" s="26" t="s">
        <v>366</v>
      </c>
      <c r="C37" s="29">
        <v>0</v>
      </c>
      <c r="D37" s="29">
        <f t="shared" si="2"/>
        <v>1730</v>
      </c>
      <c r="E37" s="28">
        <v>1750</v>
      </c>
      <c r="F37" s="28">
        <v>2800</v>
      </c>
      <c r="G37" s="28">
        <v>2101</v>
      </c>
      <c r="H37" s="28">
        <v>20</v>
      </c>
      <c r="I37" s="28">
        <v>2800</v>
      </c>
      <c r="J37" s="28">
        <v>120</v>
      </c>
      <c r="K37" s="28">
        <v>4499</v>
      </c>
      <c r="L37" s="28">
        <v>16</v>
      </c>
      <c r="M37" s="28">
        <v>20</v>
      </c>
      <c r="N37" s="28">
        <v>20</v>
      </c>
      <c r="O37" s="28">
        <v>20</v>
      </c>
      <c r="P37" s="27" t="s">
        <v>77</v>
      </c>
      <c r="Q37" s="27" t="s">
        <v>76</v>
      </c>
      <c r="R37" s="27" t="s">
        <v>77</v>
      </c>
      <c r="S37" s="27" t="s">
        <v>83</v>
      </c>
      <c r="T37" s="27" t="s">
        <v>77</v>
      </c>
      <c r="U37" s="27" t="s">
        <v>151</v>
      </c>
      <c r="V37" s="27"/>
      <c r="W37" s="27"/>
      <c r="X37" s="27" t="s">
        <v>79</v>
      </c>
      <c r="Y37" s="27" t="s">
        <v>85</v>
      </c>
      <c r="Z37" s="27"/>
      <c r="AA37" s="27"/>
    </row>
    <row r="38" spans="1:27">
      <c r="A38" s="41">
        <v>36</v>
      </c>
      <c r="B38" s="33" t="s">
        <v>367</v>
      </c>
      <c r="C38" s="37">
        <v>0</v>
      </c>
      <c r="D38" s="37">
        <f t="shared" si="2"/>
        <v>1730</v>
      </c>
      <c r="E38" s="38">
        <v>1750</v>
      </c>
      <c r="F38" s="38">
        <v>2800</v>
      </c>
      <c r="G38" s="38">
        <v>2075</v>
      </c>
      <c r="H38" s="38">
        <v>20</v>
      </c>
      <c r="I38" s="38">
        <v>2800</v>
      </c>
      <c r="J38" s="38">
        <v>120</v>
      </c>
      <c r="K38" s="38">
        <v>4555</v>
      </c>
      <c r="L38" s="38">
        <v>16</v>
      </c>
      <c r="M38" s="38">
        <v>20</v>
      </c>
      <c r="N38" s="38">
        <v>20</v>
      </c>
      <c r="O38" s="38">
        <v>20</v>
      </c>
      <c r="P38" s="39" t="s">
        <v>77</v>
      </c>
      <c r="Q38" s="39" t="s">
        <v>76</v>
      </c>
      <c r="R38" s="39" t="s">
        <v>77</v>
      </c>
      <c r="S38" s="39" t="s">
        <v>83</v>
      </c>
      <c r="T38" s="39" t="s">
        <v>77</v>
      </c>
      <c r="U38" s="39" t="s">
        <v>152</v>
      </c>
      <c r="V38" s="27"/>
      <c r="W38" s="27"/>
      <c r="X38" s="27" t="s">
        <v>79</v>
      </c>
      <c r="Y38" s="27" t="s">
        <v>85</v>
      </c>
      <c r="Z38" s="27"/>
      <c r="AA38" s="27"/>
    </row>
    <row r="39" spans="1:27">
      <c r="A39" s="42">
        <v>37</v>
      </c>
      <c r="B39" s="26" t="s">
        <v>368</v>
      </c>
      <c r="C39" s="29">
        <v>0</v>
      </c>
      <c r="D39" s="29">
        <f t="shared" si="2"/>
        <v>1730</v>
      </c>
      <c r="E39" s="28">
        <v>1750</v>
      </c>
      <c r="F39" s="28">
        <v>2800</v>
      </c>
      <c r="G39" s="28">
        <v>2049</v>
      </c>
      <c r="H39" s="28">
        <v>20</v>
      </c>
      <c r="I39" s="28">
        <v>2800</v>
      </c>
      <c r="J39" s="28">
        <v>120</v>
      </c>
      <c r="K39" s="28">
        <v>4630</v>
      </c>
      <c r="L39" s="28">
        <v>16</v>
      </c>
      <c r="M39" s="28">
        <v>20</v>
      </c>
      <c r="N39" s="28">
        <v>20</v>
      </c>
      <c r="O39" s="28">
        <v>20</v>
      </c>
      <c r="P39" s="27" t="s">
        <v>77</v>
      </c>
      <c r="Q39" s="27" t="s">
        <v>76</v>
      </c>
      <c r="R39" s="27" t="s">
        <v>77</v>
      </c>
      <c r="S39" s="27" t="s">
        <v>83</v>
      </c>
      <c r="T39" s="27" t="s">
        <v>77</v>
      </c>
      <c r="U39" s="27" t="s">
        <v>153</v>
      </c>
      <c r="V39" s="27"/>
      <c r="W39" s="27"/>
      <c r="X39" s="27" t="s">
        <v>79</v>
      </c>
      <c r="Y39" s="27" t="s">
        <v>85</v>
      </c>
      <c r="Z39" s="27"/>
      <c r="AA39" s="27"/>
    </row>
    <row r="40" spans="1:27">
      <c r="A40" s="42">
        <v>38</v>
      </c>
      <c r="B40" s="26" t="s">
        <v>369</v>
      </c>
      <c r="C40" s="29">
        <v>0</v>
      </c>
      <c r="D40" s="29">
        <f t="shared" si="2"/>
        <v>1730</v>
      </c>
      <c r="E40" s="28">
        <v>1750</v>
      </c>
      <c r="F40" s="28">
        <v>2800</v>
      </c>
      <c r="G40" s="28">
        <v>2023</v>
      </c>
      <c r="H40" s="28">
        <v>20</v>
      </c>
      <c r="I40" s="28">
        <v>2800</v>
      </c>
      <c r="J40" s="28">
        <v>120</v>
      </c>
      <c r="K40" s="28">
        <v>4702</v>
      </c>
      <c r="L40" s="28">
        <v>16</v>
      </c>
      <c r="M40" s="28">
        <v>20</v>
      </c>
      <c r="N40" s="28">
        <v>20</v>
      </c>
      <c r="O40" s="28">
        <v>20</v>
      </c>
      <c r="P40" s="27" t="s">
        <v>77</v>
      </c>
      <c r="Q40" s="27" t="s">
        <v>76</v>
      </c>
      <c r="R40" s="27" t="s">
        <v>77</v>
      </c>
      <c r="S40" s="27" t="s">
        <v>83</v>
      </c>
      <c r="T40" s="27" t="s">
        <v>77</v>
      </c>
      <c r="U40" s="27" t="s">
        <v>154</v>
      </c>
      <c r="V40" s="27"/>
      <c r="W40" s="27"/>
      <c r="X40" s="27" t="s">
        <v>79</v>
      </c>
      <c r="Y40" s="27" t="s">
        <v>85</v>
      </c>
      <c r="Z40" s="27"/>
      <c r="AA40" s="27"/>
    </row>
    <row r="41" spans="1:27">
      <c r="A41" s="42">
        <v>39</v>
      </c>
      <c r="B41" s="26" t="s">
        <v>370</v>
      </c>
      <c r="C41" s="29">
        <v>0</v>
      </c>
      <c r="D41" s="29">
        <f t="shared" si="2"/>
        <v>1730</v>
      </c>
      <c r="E41" s="28">
        <v>1750</v>
      </c>
      <c r="F41" s="28">
        <v>2800</v>
      </c>
      <c r="G41" s="28">
        <v>1997</v>
      </c>
      <c r="H41" s="28">
        <v>20</v>
      </c>
      <c r="I41" s="28">
        <v>2800</v>
      </c>
      <c r="J41" s="28">
        <v>120</v>
      </c>
      <c r="K41" s="28">
        <v>4778</v>
      </c>
      <c r="L41" s="28">
        <v>16</v>
      </c>
      <c r="M41" s="28">
        <v>20</v>
      </c>
      <c r="N41" s="28">
        <v>20</v>
      </c>
      <c r="O41" s="28">
        <v>20</v>
      </c>
      <c r="P41" s="27" t="s">
        <v>77</v>
      </c>
      <c r="Q41" s="27" t="s">
        <v>76</v>
      </c>
      <c r="R41" s="27" t="s">
        <v>77</v>
      </c>
      <c r="S41" s="27" t="s">
        <v>83</v>
      </c>
      <c r="T41" s="27" t="s">
        <v>77</v>
      </c>
      <c r="U41" s="27" t="s">
        <v>155</v>
      </c>
      <c r="V41" s="27"/>
      <c r="W41" s="27"/>
      <c r="X41" s="27" t="s">
        <v>79</v>
      </c>
      <c r="Y41" s="27" t="s">
        <v>85</v>
      </c>
      <c r="Z41" s="27"/>
      <c r="AA41" s="27"/>
    </row>
    <row r="42" spans="1:27">
      <c r="A42" s="41">
        <v>40</v>
      </c>
      <c r="B42" s="33" t="s">
        <v>371</v>
      </c>
      <c r="C42" s="37">
        <v>0</v>
      </c>
      <c r="D42" s="37">
        <f t="shared" si="2"/>
        <v>1730</v>
      </c>
      <c r="E42" s="38">
        <v>1750</v>
      </c>
      <c r="F42" s="38">
        <v>2800</v>
      </c>
      <c r="G42" s="38">
        <v>1971</v>
      </c>
      <c r="H42" s="38">
        <v>20</v>
      </c>
      <c r="I42" s="38">
        <v>2800</v>
      </c>
      <c r="J42" s="38">
        <v>120</v>
      </c>
      <c r="K42" s="38">
        <v>4845</v>
      </c>
      <c r="L42" s="38">
        <v>16</v>
      </c>
      <c r="M42" s="38">
        <v>20</v>
      </c>
      <c r="N42" s="38">
        <v>20</v>
      </c>
      <c r="O42" s="38">
        <v>20</v>
      </c>
      <c r="P42" s="39" t="s">
        <v>77</v>
      </c>
      <c r="Q42" s="39" t="s">
        <v>76</v>
      </c>
      <c r="R42" s="39" t="s">
        <v>77</v>
      </c>
      <c r="S42" s="39" t="s">
        <v>83</v>
      </c>
      <c r="T42" s="39" t="s">
        <v>77</v>
      </c>
      <c r="U42" s="39" t="s">
        <v>156</v>
      </c>
      <c r="V42" s="27"/>
      <c r="W42" s="27"/>
      <c r="X42" s="27" t="s">
        <v>79</v>
      </c>
      <c r="Y42" s="27" t="s">
        <v>85</v>
      </c>
      <c r="Z42" s="27"/>
      <c r="AA42" s="27"/>
    </row>
    <row r="43" spans="1:27">
      <c r="A43" s="41">
        <v>41</v>
      </c>
      <c r="B43" s="33" t="s">
        <v>372</v>
      </c>
      <c r="C43" s="37">
        <v>0</v>
      </c>
      <c r="D43" s="37">
        <f t="shared" ref="D43" si="5">E43-H43</f>
        <v>1730</v>
      </c>
      <c r="E43" s="38">
        <v>1750</v>
      </c>
      <c r="F43" s="38">
        <v>2800</v>
      </c>
      <c r="G43" s="38">
        <v>1971</v>
      </c>
      <c r="H43" s="38">
        <v>20</v>
      </c>
      <c r="I43" s="38">
        <v>2800</v>
      </c>
      <c r="J43" s="38">
        <v>120</v>
      </c>
      <c r="K43" s="38">
        <v>4845</v>
      </c>
      <c r="L43" s="38">
        <v>16</v>
      </c>
      <c r="M43" s="38">
        <v>20</v>
      </c>
      <c r="N43" s="38">
        <v>20</v>
      </c>
      <c r="O43" s="38">
        <v>20</v>
      </c>
      <c r="P43" s="39" t="s">
        <v>77</v>
      </c>
      <c r="Q43" s="39" t="s">
        <v>76</v>
      </c>
      <c r="R43" s="39" t="s">
        <v>77</v>
      </c>
      <c r="S43" s="39" t="s">
        <v>83</v>
      </c>
      <c r="T43" s="39" t="s">
        <v>77</v>
      </c>
      <c r="U43" s="39" t="s">
        <v>158</v>
      </c>
      <c r="V43" s="27"/>
      <c r="W43" s="27"/>
      <c r="X43" s="27" t="s">
        <v>79</v>
      </c>
      <c r="Y43" s="27" t="s">
        <v>85</v>
      </c>
      <c r="Z43" s="27"/>
      <c r="AA43" s="27"/>
    </row>
    <row r="44" spans="1:27">
      <c r="A44" s="42">
        <v>42</v>
      </c>
      <c r="B44" s="26" t="s">
        <v>373</v>
      </c>
      <c r="C44" s="29">
        <v>0</v>
      </c>
      <c r="D44" s="29">
        <f t="shared" si="2"/>
        <v>1730</v>
      </c>
      <c r="E44" s="28">
        <v>1750</v>
      </c>
      <c r="F44" s="28">
        <v>2800</v>
      </c>
      <c r="G44" s="28">
        <v>1945</v>
      </c>
      <c r="H44" s="28">
        <v>20</v>
      </c>
      <c r="I44" s="28">
        <v>2800</v>
      </c>
      <c r="J44" s="28">
        <v>120</v>
      </c>
      <c r="K44" s="28">
        <v>4940</v>
      </c>
      <c r="L44" s="28">
        <v>16</v>
      </c>
      <c r="M44" s="28">
        <v>20</v>
      </c>
      <c r="N44" s="28">
        <v>20</v>
      </c>
      <c r="O44" s="28">
        <v>20</v>
      </c>
      <c r="P44" s="27" t="s">
        <v>77</v>
      </c>
      <c r="Q44" s="27" t="s">
        <v>76</v>
      </c>
      <c r="R44" s="27" t="s">
        <v>77</v>
      </c>
      <c r="S44" s="27" t="s">
        <v>83</v>
      </c>
      <c r="T44" s="27" t="s">
        <v>77</v>
      </c>
      <c r="U44" s="27" t="s">
        <v>157</v>
      </c>
      <c r="V44" s="27"/>
      <c r="W44" s="27"/>
      <c r="X44" s="27" t="s">
        <v>79</v>
      </c>
      <c r="Y44" s="27" t="s">
        <v>85</v>
      </c>
      <c r="Z44" s="27"/>
      <c r="AA44" s="27"/>
    </row>
    <row r="45" spans="1:27">
      <c r="A45" s="42">
        <v>43</v>
      </c>
      <c r="B45" s="26" t="s">
        <v>374</v>
      </c>
      <c r="C45" s="29">
        <v>0</v>
      </c>
      <c r="D45" s="29">
        <f t="shared" si="2"/>
        <v>1730</v>
      </c>
      <c r="E45" s="28">
        <v>1750</v>
      </c>
      <c r="F45" s="28">
        <v>2800</v>
      </c>
      <c r="G45" s="28">
        <v>1919</v>
      </c>
      <c r="H45" s="28">
        <v>20</v>
      </c>
      <c r="I45" s="28">
        <v>2800</v>
      </c>
      <c r="J45" s="28">
        <v>120</v>
      </c>
      <c r="K45" s="28">
        <v>5027</v>
      </c>
      <c r="L45" s="28">
        <v>16</v>
      </c>
      <c r="M45" s="28">
        <v>20</v>
      </c>
      <c r="N45" s="28">
        <v>20</v>
      </c>
      <c r="O45" s="28">
        <v>20</v>
      </c>
      <c r="P45" s="27" t="s">
        <v>77</v>
      </c>
      <c r="Q45" s="27" t="s">
        <v>76</v>
      </c>
      <c r="R45" s="27" t="s">
        <v>77</v>
      </c>
      <c r="S45" s="27" t="s">
        <v>83</v>
      </c>
      <c r="T45" s="27" t="s">
        <v>77</v>
      </c>
      <c r="U45" s="27" t="s">
        <v>157</v>
      </c>
      <c r="V45" s="27"/>
      <c r="W45" s="27"/>
      <c r="X45" s="27" t="s">
        <v>79</v>
      </c>
      <c r="Y45" s="27" t="s">
        <v>85</v>
      </c>
      <c r="Z45" s="27"/>
      <c r="AA45" s="27"/>
    </row>
    <row r="46" spans="1:27">
      <c r="A46" s="42">
        <v>44</v>
      </c>
      <c r="B46" s="26" t="s">
        <v>375</v>
      </c>
      <c r="C46" s="29">
        <v>0</v>
      </c>
      <c r="D46" s="29">
        <f t="shared" si="2"/>
        <v>1730</v>
      </c>
      <c r="E46" s="28">
        <v>1750</v>
      </c>
      <c r="F46" s="28">
        <v>2800</v>
      </c>
      <c r="G46" s="28">
        <v>1893</v>
      </c>
      <c r="H46" s="28">
        <v>20</v>
      </c>
      <c r="I46" s="28">
        <v>2800</v>
      </c>
      <c r="J46" s="28">
        <v>120</v>
      </c>
      <c r="K46" s="28">
        <v>5118</v>
      </c>
      <c r="L46" s="28">
        <v>16</v>
      </c>
      <c r="M46" s="28">
        <v>20</v>
      </c>
      <c r="N46" s="28">
        <v>20</v>
      </c>
      <c r="O46" s="28">
        <v>20</v>
      </c>
      <c r="P46" s="27" t="s">
        <v>77</v>
      </c>
      <c r="Q46" s="27" t="s">
        <v>76</v>
      </c>
      <c r="R46" s="27" t="s">
        <v>77</v>
      </c>
      <c r="S46" s="27" t="s">
        <v>83</v>
      </c>
      <c r="T46" s="27" t="s">
        <v>77</v>
      </c>
      <c r="U46" s="27" t="s">
        <v>157</v>
      </c>
      <c r="V46" s="27"/>
      <c r="W46" s="27"/>
      <c r="X46" s="27" t="s">
        <v>79</v>
      </c>
      <c r="Y46" s="27" t="s">
        <v>85</v>
      </c>
      <c r="Z46" s="27"/>
      <c r="AA46" s="27"/>
    </row>
    <row r="47" spans="1:27">
      <c r="A47" s="41">
        <v>45</v>
      </c>
      <c r="B47" s="33" t="s">
        <v>376</v>
      </c>
      <c r="C47" s="37">
        <v>0</v>
      </c>
      <c r="D47" s="37">
        <f t="shared" si="2"/>
        <v>1730</v>
      </c>
      <c r="E47" s="38">
        <v>1750</v>
      </c>
      <c r="F47" s="38">
        <v>2800</v>
      </c>
      <c r="G47" s="38">
        <v>1900</v>
      </c>
      <c r="H47" s="38">
        <v>20</v>
      </c>
      <c r="I47" s="38">
        <v>2800</v>
      </c>
      <c r="J47" s="38">
        <v>120</v>
      </c>
      <c r="K47" s="38">
        <v>5196</v>
      </c>
      <c r="L47" s="38">
        <v>16</v>
      </c>
      <c r="M47" s="38">
        <v>20</v>
      </c>
      <c r="N47" s="38">
        <v>20</v>
      </c>
      <c r="O47" s="38">
        <v>20</v>
      </c>
      <c r="P47" s="39" t="s">
        <v>77</v>
      </c>
      <c r="Q47" s="39" t="s">
        <v>76</v>
      </c>
      <c r="R47" s="39" t="s">
        <v>77</v>
      </c>
      <c r="S47" s="39" t="s">
        <v>83</v>
      </c>
      <c r="T47" s="39" t="s">
        <v>77</v>
      </c>
      <c r="U47" s="39" t="s">
        <v>158</v>
      </c>
      <c r="V47" s="27"/>
      <c r="W47" s="27"/>
      <c r="X47" s="27" t="s">
        <v>79</v>
      </c>
      <c r="Y47" s="27" t="s">
        <v>85</v>
      </c>
      <c r="Z47" s="27"/>
      <c r="AA47" s="27"/>
    </row>
    <row r="48" spans="1:27">
      <c r="A48" s="42">
        <v>46</v>
      </c>
      <c r="B48" s="26" t="s">
        <v>377</v>
      </c>
      <c r="C48" s="29">
        <v>0</v>
      </c>
      <c r="D48" s="29">
        <f t="shared" si="2"/>
        <v>1730</v>
      </c>
      <c r="E48" s="28">
        <v>1750</v>
      </c>
      <c r="F48" s="28">
        <v>2800</v>
      </c>
      <c r="G48" s="28">
        <v>1900</v>
      </c>
      <c r="H48" s="28">
        <v>20</v>
      </c>
      <c r="I48" s="28">
        <v>2800</v>
      </c>
      <c r="J48" s="28">
        <v>120</v>
      </c>
      <c r="K48" s="28">
        <v>5312</v>
      </c>
      <c r="L48" s="28">
        <v>16</v>
      </c>
      <c r="M48" s="28">
        <v>20</v>
      </c>
      <c r="N48" s="28">
        <v>20</v>
      </c>
      <c r="O48" s="28">
        <v>20</v>
      </c>
      <c r="P48" s="27" t="s">
        <v>77</v>
      </c>
      <c r="Q48" s="27" t="s">
        <v>76</v>
      </c>
      <c r="R48" s="27" t="s">
        <v>77</v>
      </c>
      <c r="S48" s="27" t="s">
        <v>83</v>
      </c>
      <c r="T48" s="27" t="s">
        <v>77</v>
      </c>
      <c r="U48" s="27" t="s">
        <v>157</v>
      </c>
      <c r="V48" s="27"/>
      <c r="W48" s="27"/>
      <c r="X48" s="27" t="s">
        <v>79</v>
      </c>
      <c r="Y48" s="27" t="s">
        <v>85</v>
      </c>
      <c r="Z48" s="27"/>
      <c r="AA48" s="27"/>
    </row>
    <row r="49" spans="1:27">
      <c r="A49" s="42">
        <v>47</v>
      </c>
      <c r="B49" s="26" t="s">
        <v>378</v>
      </c>
      <c r="C49" s="29">
        <v>0</v>
      </c>
      <c r="D49" s="29">
        <f t="shared" si="2"/>
        <v>1730</v>
      </c>
      <c r="E49" s="28">
        <v>1750</v>
      </c>
      <c r="F49" s="28">
        <v>2800</v>
      </c>
      <c r="G49" s="28">
        <v>1900</v>
      </c>
      <c r="H49" s="28">
        <v>20</v>
      </c>
      <c r="I49" s="28">
        <v>2800</v>
      </c>
      <c r="J49" s="28">
        <v>120</v>
      </c>
      <c r="K49" s="28">
        <v>5414</v>
      </c>
      <c r="L49" s="28">
        <v>16</v>
      </c>
      <c r="M49" s="28">
        <v>20</v>
      </c>
      <c r="N49" s="28">
        <v>20</v>
      </c>
      <c r="O49" s="28">
        <v>20</v>
      </c>
      <c r="P49" s="27" t="s">
        <v>77</v>
      </c>
      <c r="Q49" s="27" t="s">
        <v>76</v>
      </c>
      <c r="R49" s="27" t="s">
        <v>77</v>
      </c>
      <c r="S49" s="27" t="s">
        <v>83</v>
      </c>
      <c r="T49" s="27" t="s">
        <v>77</v>
      </c>
      <c r="U49" s="27" t="s">
        <v>157</v>
      </c>
      <c r="V49" s="27"/>
      <c r="W49" s="27"/>
      <c r="X49" s="27" t="s">
        <v>79</v>
      </c>
      <c r="Y49" s="27" t="s">
        <v>85</v>
      </c>
      <c r="Z49" s="27"/>
      <c r="AA49" s="27"/>
    </row>
    <row r="50" spans="1:27">
      <c r="A50" s="42">
        <v>48</v>
      </c>
      <c r="B50" s="26" t="s">
        <v>379</v>
      </c>
      <c r="C50" s="29">
        <v>0</v>
      </c>
      <c r="D50" s="29">
        <f t="shared" si="2"/>
        <v>1730</v>
      </c>
      <c r="E50" s="28">
        <v>1750</v>
      </c>
      <c r="F50" s="28">
        <v>2800</v>
      </c>
      <c r="G50" s="28">
        <v>1900</v>
      </c>
      <c r="H50" s="28">
        <v>20</v>
      </c>
      <c r="I50" s="28">
        <v>2800</v>
      </c>
      <c r="J50" s="28">
        <v>120</v>
      </c>
      <c r="K50" s="28">
        <v>5520</v>
      </c>
      <c r="L50" s="28">
        <v>16</v>
      </c>
      <c r="M50" s="28">
        <v>20</v>
      </c>
      <c r="N50" s="28">
        <v>20</v>
      </c>
      <c r="O50" s="28">
        <v>20</v>
      </c>
      <c r="P50" s="27" t="s">
        <v>77</v>
      </c>
      <c r="Q50" s="27" t="s">
        <v>76</v>
      </c>
      <c r="R50" s="27" t="s">
        <v>77</v>
      </c>
      <c r="S50" s="27" t="s">
        <v>83</v>
      </c>
      <c r="T50" s="27" t="s">
        <v>77</v>
      </c>
      <c r="U50" s="27" t="s">
        <v>157</v>
      </c>
      <c r="V50" s="27"/>
      <c r="W50" s="27"/>
      <c r="X50" s="27" t="s">
        <v>79</v>
      </c>
      <c r="Y50" s="27" t="s">
        <v>85</v>
      </c>
      <c r="Z50" s="27"/>
      <c r="AA50" s="27"/>
    </row>
    <row r="51" spans="1:27">
      <c r="A51" s="41">
        <v>49</v>
      </c>
      <c r="B51" s="33" t="s">
        <v>380</v>
      </c>
      <c r="C51" s="37">
        <v>0</v>
      </c>
      <c r="D51" s="37">
        <f t="shared" si="2"/>
        <v>1730</v>
      </c>
      <c r="E51" s="38">
        <v>1750</v>
      </c>
      <c r="F51" s="38">
        <v>2800</v>
      </c>
      <c r="G51" s="38">
        <v>1900</v>
      </c>
      <c r="H51" s="38">
        <v>20</v>
      </c>
      <c r="I51" s="38">
        <v>2800</v>
      </c>
      <c r="J51" s="38">
        <v>120</v>
      </c>
      <c r="K51" s="38">
        <v>5608</v>
      </c>
      <c r="L51" s="38">
        <v>16</v>
      </c>
      <c r="M51" s="38">
        <v>20</v>
      </c>
      <c r="N51" s="38">
        <v>20</v>
      </c>
      <c r="O51" s="38">
        <v>20</v>
      </c>
      <c r="P51" s="39" t="s">
        <v>77</v>
      </c>
      <c r="Q51" s="39" t="s">
        <v>76</v>
      </c>
      <c r="R51" s="39" t="s">
        <v>77</v>
      </c>
      <c r="S51" s="39" t="s">
        <v>83</v>
      </c>
      <c r="T51" s="39" t="s">
        <v>77</v>
      </c>
      <c r="U51" s="39" t="s">
        <v>158</v>
      </c>
      <c r="V51" s="27"/>
      <c r="W51" s="27"/>
      <c r="X51" s="27" t="s">
        <v>79</v>
      </c>
      <c r="Y51" s="27" t="s">
        <v>85</v>
      </c>
      <c r="Z51" s="27"/>
      <c r="AA51" s="27"/>
    </row>
    <row r="52" spans="1:27">
      <c r="A52" s="42">
        <v>50</v>
      </c>
      <c r="B52" s="26" t="s">
        <v>381</v>
      </c>
      <c r="C52" s="29">
        <v>0</v>
      </c>
      <c r="D52" s="29">
        <f t="shared" si="2"/>
        <v>1730</v>
      </c>
      <c r="E52" s="28">
        <v>1750</v>
      </c>
      <c r="F52" s="28">
        <v>2800</v>
      </c>
      <c r="G52" s="28">
        <v>1900</v>
      </c>
      <c r="H52" s="28">
        <v>20</v>
      </c>
      <c r="I52" s="28">
        <v>2800</v>
      </c>
      <c r="J52" s="28">
        <v>120</v>
      </c>
      <c r="K52" s="28">
        <v>5745</v>
      </c>
      <c r="L52" s="28">
        <v>16</v>
      </c>
      <c r="M52" s="28">
        <v>20</v>
      </c>
      <c r="N52" s="28">
        <v>20</v>
      </c>
      <c r="O52" s="28">
        <v>20</v>
      </c>
      <c r="P52" s="27" t="s">
        <v>77</v>
      </c>
      <c r="Q52" s="27" t="s">
        <v>76</v>
      </c>
      <c r="R52" s="27" t="s">
        <v>77</v>
      </c>
      <c r="S52" s="27" t="s">
        <v>83</v>
      </c>
      <c r="T52" s="27" t="s">
        <v>77</v>
      </c>
      <c r="U52" s="27" t="s">
        <v>157</v>
      </c>
      <c r="V52" s="27"/>
      <c r="W52" s="27"/>
      <c r="X52" s="27" t="s">
        <v>79</v>
      </c>
      <c r="Y52" s="27" t="s">
        <v>85</v>
      </c>
      <c r="Z52" s="27"/>
      <c r="AA52" s="27"/>
    </row>
    <row r="53" spans="1:27">
      <c r="A53" s="42">
        <v>51</v>
      </c>
      <c r="B53" s="26" t="s">
        <v>382</v>
      </c>
      <c r="C53" s="29">
        <v>0</v>
      </c>
      <c r="D53" s="29">
        <f t="shared" si="2"/>
        <v>1730</v>
      </c>
      <c r="E53" s="28">
        <v>1750</v>
      </c>
      <c r="F53" s="28">
        <v>2800</v>
      </c>
      <c r="G53" s="28">
        <v>1900</v>
      </c>
      <c r="H53" s="28">
        <v>20</v>
      </c>
      <c r="I53" s="28">
        <v>2800</v>
      </c>
      <c r="J53" s="28">
        <v>120</v>
      </c>
      <c r="K53" s="28">
        <v>5863</v>
      </c>
      <c r="L53" s="28">
        <v>16</v>
      </c>
      <c r="M53" s="28">
        <v>20</v>
      </c>
      <c r="N53" s="28">
        <v>20</v>
      </c>
      <c r="O53" s="28">
        <v>20</v>
      </c>
      <c r="P53" s="27" t="s">
        <v>77</v>
      </c>
      <c r="Q53" s="27" t="s">
        <v>76</v>
      </c>
      <c r="R53" s="27" t="s">
        <v>77</v>
      </c>
      <c r="S53" s="27" t="s">
        <v>83</v>
      </c>
      <c r="T53" s="27" t="s">
        <v>77</v>
      </c>
      <c r="U53" s="27" t="s">
        <v>157</v>
      </c>
      <c r="V53" s="27"/>
      <c r="W53" s="27"/>
      <c r="X53" s="27" t="s">
        <v>79</v>
      </c>
      <c r="Y53" s="27" t="s">
        <v>85</v>
      </c>
      <c r="Z53" s="27"/>
      <c r="AA53" s="27"/>
    </row>
    <row r="54" spans="1:27">
      <c r="A54" s="42">
        <v>52</v>
      </c>
      <c r="B54" s="26" t="s">
        <v>383</v>
      </c>
      <c r="C54" s="29">
        <v>0</v>
      </c>
      <c r="D54" s="29">
        <f t="shared" si="2"/>
        <v>1730</v>
      </c>
      <c r="E54" s="28">
        <v>1750</v>
      </c>
      <c r="F54" s="28">
        <v>2800</v>
      </c>
      <c r="G54" s="28">
        <v>1900</v>
      </c>
      <c r="H54" s="28">
        <v>20</v>
      </c>
      <c r="I54" s="28">
        <v>2800</v>
      </c>
      <c r="J54" s="28">
        <v>120</v>
      </c>
      <c r="K54" s="28">
        <v>5985</v>
      </c>
      <c r="L54" s="28">
        <v>16</v>
      </c>
      <c r="M54" s="28">
        <v>20</v>
      </c>
      <c r="N54" s="28">
        <v>20</v>
      </c>
      <c r="O54" s="28">
        <v>20</v>
      </c>
      <c r="P54" s="27" t="s">
        <v>77</v>
      </c>
      <c r="Q54" s="27" t="s">
        <v>76</v>
      </c>
      <c r="R54" s="27" t="s">
        <v>77</v>
      </c>
      <c r="S54" s="27" t="s">
        <v>83</v>
      </c>
      <c r="T54" s="27" t="s">
        <v>77</v>
      </c>
      <c r="U54" s="27" t="s">
        <v>157</v>
      </c>
      <c r="V54" s="27"/>
      <c r="W54" s="27"/>
      <c r="X54" s="27" t="s">
        <v>79</v>
      </c>
      <c r="Y54" s="27" t="s">
        <v>85</v>
      </c>
      <c r="Z54" s="27"/>
      <c r="AA54" s="27"/>
    </row>
    <row r="55" spans="1:27">
      <c r="A55" s="41">
        <v>53</v>
      </c>
      <c r="B55" s="33" t="s">
        <v>384</v>
      </c>
      <c r="C55" s="37">
        <v>0</v>
      </c>
      <c r="D55" s="37">
        <f t="shared" si="2"/>
        <v>1730</v>
      </c>
      <c r="E55" s="38">
        <v>1750</v>
      </c>
      <c r="F55" s="38">
        <v>2800</v>
      </c>
      <c r="G55" s="38">
        <v>1900</v>
      </c>
      <c r="H55" s="38">
        <v>20</v>
      </c>
      <c r="I55" s="38">
        <v>2800</v>
      </c>
      <c r="J55" s="38">
        <v>120</v>
      </c>
      <c r="K55" s="38">
        <v>6081</v>
      </c>
      <c r="L55" s="38">
        <v>16</v>
      </c>
      <c r="M55" s="38">
        <v>20</v>
      </c>
      <c r="N55" s="38">
        <v>20</v>
      </c>
      <c r="O55" s="38">
        <v>20</v>
      </c>
      <c r="P55" s="39" t="s">
        <v>77</v>
      </c>
      <c r="Q55" s="39" t="s">
        <v>76</v>
      </c>
      <c r="R55" s="39" t="s">
        <v>77</v>
      </c>
      <c r="S55" s="39" t="s">
        <v>83</v>
      </c>
      <c r="T55" s="39" t="s">
        <v>77</v>
      </c>
      <c r="U55" s="39" t="s">
        <v>158</v>
      </c>
      <c r="V55" s="27"/>
      <c r="W55" s="27"/>
      <c r="X55" s="27" t="s">
        <v>79</v>
      </c>
      <c r="Y55" s="27" t="s">
        <v>85</v>
      </c>
      <c r="Z55" s="27"/>
      <c r="AA55" s="27"/>
    </row>
    <row r="56" spans="1:27">
      <c r="A56" s="42">
        <v>54</v>
      </c>
      <c r="B56" s="26" t="s">
        <v>385</v>
      </c>
      <c r="C56" s="29">
        <v>0</v>
      </c>
      <c r="D56" s="29">
        <f t="shared" si="2"/>
        <v>1730</v>
      </c>
      <c r="E56" s="28">
        <v>1750</v>
      </c>
      <c r="F56" s="28">
        <v>2800</v>
      </c>
      <c r="G56" s="28">
        <v>1900</v>
      </c>
      <c r="H56" s="28">
        <v>20</v>
      </c>
      <c r="I56" s="28">
        <v>2800</v>
      </c>
      <c r="J56" s="28">
        <v>120</v>
      </c>
      <c r="K56" s="28">
        <v>6240</v>
      </c>
      <c r="L56" s="28">
        <v>16</v>
      </c>
      <c r="M56" s="28">
        <v>20</v>
      </c>
      <c r="N56" s="28">
        <v>20</v>
      </c>
      <c r="O56" s="28">
        <v>20</v>
      </c>
      <c r="P56" s="27" t="s">
        <v>77</v>
      </c>
      <c r="Q56" s="27" t="s">
        <v>76</v>
      </c>
      <c r="R56" s="27" t="s">
        <v>77</v>
      </c>
      <c r="S56" s="27" t="s">
        <v>83</v>
      </c>
      <c r="T56" s="27" t="s">
        <v>77</v>
      </c>
      <c r="U56" s="27" t="s">
        <v>157</v>
      </c>
      <c r="V56" s="27"/>
      <c r="W56" s="27"/>
      <c r="X56" s="27" t="s">
        <v>79</v>
      </c>
      <c r="Y56" s="27" t="s">
        <v>85</v>
      </c>
      <c r="Z56" s="27"/>
      <c r="AA56" s="27"/>
    </row>
    <row r="57" spans="1:27">
      <c r="A57" s="42">
        <v>55</v>
      </c>
      <c r="B57" s="26" t="s">
        <v>386</v>
      </c>
      <c r="C57" s="29">
        <v>0</v>
      </c>
      <c r="D57" s="29">
        <f t="shared" si="2"/>
        <v>1730</v>
      </c>
      <c r="E57" s="28">
        <v>1750</v>
      </c>
      <c r="F57" s="28">
        <v>2800</v>
      </c>
      <c r="G57" s="28">
        <v>1900</v>
      </c>
      <c r="H57" s="28">
        <v>20</v>
      </c>
      <c r="I57" s="28">
        <v>2800</v>
      </c>
      <c r="J57" s="28">
        <v>120</v>
      </c>
      <c r="K57" s="28">
        <v>6373</v>
      </c>
      <c r="L57" s="28">
        <v>16</v>
      </c>
      <c r="M57" s="28">
        <v>20</v>
      </c>
      <c r="N57" s="28">
        <v>20</v>
      </c>
      <c r="O57" s="28">
        <v>20</v>
      </c>
      <c r="P57" s="27" t="s">
        <v>77</v>
      </c>
      <c r="Q57" s="27" t="s">
        <v>76</v>
      </c>
      <c r="R57" s="27" t="s">
        <v>77</v>
      </c>
      <c r="S57" s="27" t="s">
        <v>83</v>
      </c>
      <c r="T57" s="27" t="s">
        <v>77</v>
      </c>
      <c r="U57" s="27" t="s">
        <v>157</v>
      </c>
      <c r="V57" s="27"/>
      <c r="W57" s="27"/>
      <c r="X57" s="27" t="s">
        <v>79</v>
      </c>
      <c r="Y57" s="27" t="s">
        <v>85</v>
      </c>
      <c r="Z57" s="27"/>
      <c r="AA57" s="27"/>
    </row>
    <row r="58" spans="1:27">
      <c r="A58" s="42">
        <v>56</v>
      </c>
      <c r="B58" s="26" t="s">
        <v>387</v>
      </c>
      <c r="C58" s="29">
        <v>0</v>
      </c>
      <c r="D58" s="29">
        <f t="shared" si="2"/>
        <v>1730</v>
      </c>
      <c r="E58" s="28">
        <v>1750</v>
      </c>
      <c r="F58" s="28">
        <v>2800</v>
      </c>
      <c r="G58" s="28">
        <v>1900</v>
      </c>
      <c r="H58" s="28">
        <v>20</v>
      </c>
      <c r="I58" s="28">
        <v>2800</v>
      </c>
      <c r="J58" s="28">
        <v>120</v>
      </c>
      <c r="K58" s="28">
        <v>6500</v>
      </c>
      <c r="L58" s="28">
        <v>16</v>
      </c>
      <c r="M58" s="28">
        <v>20</v>
      </c>
      <c r="N58" s="28">
        <v>20</v>
      </c>
      <c r="O58" s="28">
        <v>20</v>
      </c>
      <c r="P58" s="27" t="s">
        <v>77</v>
      </c>
      <c r="Q58" s="27" t="s">
        <v>76</v>
      </c>
      <c r="R58" s="27" t="s">
        <v>77</v>
      </c>
      <c r="S58" s="27" t="s">
        <v>83</v>
      </c>
      <c r="T58" s="27" t="s">
        <v>77</v>
      </c>
      <c r="U58" s="27" t="s">
        <v>157</v>
      </c>
      <c r="V58" s="27"/>
      <c r="W58" s="27"/>
      <c r="X58" s="27" t="s">
        <v>79</v>
      </c>
      <c r="Y58" s="27" t="s">
        <v>85</v>
      </c>
      <c r="Z58" s="27"/>
      <c r="AA58" s="27"/>
    </row>
    <row r="59" spans="1:27">
      <c r="A59" s="40">
        <v>57</v>
      </c>
      <c r="B59" s="32" t="s">
        <v>388</v>
      </c>
      <c r="C59" s="34">
        <v>0</v>
      </c>
      <c r="D59" s="34">
        <f t="shared" si="2"/>
        <v>1730</v>
      </c>
      <c r="E59" s="35">
        <v>1750</v>
      </c>
      <c r="F59" s="35">
        <v>2800</v>
      </c>
      <c r="G59" s="35">
        <v>1900</v>
      </c>
      <c r="H59" s="35">
        <v>20</v>
      </c>
      <c r="I59" s="35">
        <v>2800</v>
      </c>
      <c r="J59" s="35">
        <v>120</v>
      </c>
      <c r="K59" s="35">
        <v>6500</v>
      </c>
      <c r="L59" s="35">
        <v>16</v>
      </c>
      <c r="M59" s="35">
        <v>20</v>
      </c>
      <c r="N59" s="35">
        <v>20</v>
      </c>
      <c r="O59" s="35">
        <v>20</v>
      </c>
      <c r="P59" s="36" t="s">
        <v>77</v>
      </c>
      <c r="Q59" s="36" t="s">
        <v>76</v>
      </c>
      <c r="R59" s="36" t="s">
        <v>77</v>
      </c>
      <c r="S59" s="36" t="s">
        <v>83</v>
      </c>
      <c r="T59" s="36" t="s">
        <v>77</v>
      </c>
      <c r="U59" s="36" t="s">
        <v>158</v>
      </c>
      <c r="V59" s="27"/>
      <c r="W59" s="27"/>
      <c r="X59" s="27" t="s">
        <v>79</v>
      </c>
      <c r="Y59" s="27" t="s">
        <v>85</v>
      </c>
      <c r="Z59" s="27"/>
      <c r="AA59" s="27"/>
    </row>
    <row r="60" spans="1:27">
      <c r="A60" s="42">
        <v>58</v>
      </c>
      <c r="B60" s="26" t="s">
        <v>389</v>
      </c>
      <c r="C60" s="29">
        <v>0</v>
      </c>
      <c r="D60" s="29">
        <f>E60-H60</f>
        <v>1730</v>
      </c>
      <c r="E60" s="28">
        <v>1750</v>
      </c>
      <c r="F60" s="28">
        <v>2800</v>
      </c>
      <c r="G60" s="28">
        <v>1900</v>
      </c>
      <c r="H60" s="28">
        <v>20</v>
      </c>
      <c r="I60" s="28">
        <v>2800</v>
      </c>
      <c r="J60" s="28">
        <v>120</v>
      </c>
      <c r="K60" s="28">
        <v>6500</v>
      </c>
      <c r="L60" s="28">
        <v>16</v>
      </c>
      <c r="M60" s="28">
        <v>20</v>
      </c>
      <c r="N60" s="28">
        <v>20</v>
      </c>
      <c r="O60" s="28">
        <v>20</v>
      </c>
      <c r="P60" s="27" t="s">
        <v>77</v>
      </c>
      <c r="Q60" s="27" t="s">
        <v>76</v>
      </c>
      <c r="R60" s="27" t="s">
        <v>77</v>
      </c>
      <c r="S60" s="27" t="s">
        <v>83</v>
      </c>
      <c r="T60" s="27" t="s">
        <v>77</v>
      </c>
      <c r="U60" s="27" t="s">
        <v>157</v>
      </c>
      <c r="V60" s="27"/>
      <c r="W60" s="27"/>
      <c r="X60" s="27" t="s">
        <v>79</v>
      </c>
      <c r="Y60" s="27" t="s">
        <v>85</v>
      </c>
      <c r="Z60" s="27"/>
      <c r="AA60" s="27"/>
    </row>
    <row r="61" spans="1:27">
      <c r="A61" s="42">
        <v>59</v>
      </c>
      <c r="B61" s="26" t="s">
        <v>390</v>
      </c>
      <c r="C61" s="29">
        <v>0</v>
      </c>
      <c r="D61" s="29">
        <f t="shared" ref="D61:D124" si="6">E61-H61</f>
        <v>1730</v>
      </c>
      <c r="E61" s="28">
        <v>1750</v>
      </c>
      <c r="F61" s="28">
        <v>2800</v>
      </c>
      <c r="G61" s="28">
        <v>1900</v>
      </c>
      <c r="H61" s="28">
        <v>20</v>
      </c>
      <c r="I61" s="28">
        <v>2800</v>
      </c>
      <c r="J61" s="28">
        <v>120</v>
      </c>
      <c r="K61" s="28">
        <v>6358</v>
      </c>
      <c r="L61" s="28">
        <v>16</v>
      </c>
      <c r="M61" s="28">
        <v>20</v>
      </c>
      <c r="N61" s="28">
        <v>20</v>
      </c>
      <c r="O61" s="28">
        <v>20</v>
      </c>
      <c r="P61" s="27" t="s">
        <v>77</v>
      </c>
      <c r="Q61" s="27" t="s">
        <v>76</v>
      </c>
      <c r="R61" s="27" t="s">
        <v>77</v>
      </c>
      <c r="S61" s="27" t="s">
        <v>83</v>
      </c>
      <c r="T61" s="27" t="s">
        <v>77</v>
      </c>
      <c r="U61" s="27" t="s">
        <v>157</v>
      </c>
      <c r="V61" s="27"/>
      <c r="W61" s="27"/>
      <c r="X61" s="27" t="s">
        <v>79</v>
      </c>
      <c r="Y61" s="27" t="s">
        <v>85</v>
      </c>
      <c r="Z61" s="27"/>
      <c r="AA61" s="27"/>
    </row>
    <row r="62" spans="1:27" s="43" customFormat="1">
      <c r="A62" s="41">
        <v>60</v>
      </c>
      <c r="B62" s="33" t="s">
        <v>391</v>
      </c>
      <c r="C62" s="37">
        <v>0</v>
      </c>
      <c r="D62" s="37">
        <f t="shared" si="6"/>
        <v>1730</v>
      </c>
      <c r="E62" s="38">
        <v>1750</v>
      </c>
      <c r="F62" s="38">
        <v>2800</v>
      </c>
      <c r="G62" s="38">
        <v>1900</v>
      </c>
      <c r="H62" s="38">
        <v>20</v>
      </c>
      <c r="I62" s="38">
        <v>2800</v>
      </c>
      <c r="J62" s="38">
        <v>120</v>
      </c>
      <c r="K62" s="38">
        <v>6214</v>
      </c>
      <c r="L62" s="38">
        <v>16</v>
      </c>
      <c r="M62" s="38">
        <v>20</v>
      </c>
      <c r="N62" s="38">
        <v>20</v>
      </c>
      <c r="O62" s="38">
        <v>20</v>
      </c>
      <c r="P62" s="39" t="s">
        <v>77</v>
      </c>
      <c r="Q62" s="39" t="s">
        <v>76</v>
      </c>
      <c r="R62" s="39" t="s">
        <v>77</v>
      </c>
      <c r="S62" s="39" t="s">
        <v>83</v>
      </c>
      <c r="T62" s="39" t="s">
        <v>77</v>
      </c>
      <c r="U62" s="39" t="s">
        <v>157</v>
      </c>
      <c r="V62" s="39"/>
      <c r="W62" s="39"/>
      <c r="X62" s="39" t="s">
        <v>79</v>
      </c>
      <c r="Y62" s="39" t="s">
        <v>85</v>
      </c>
      <c r="Z62" s="39"/>
      <c r="AA62" s="39"/>
    </row>
    <row r="63" spans="1:27">
      <c r="A63" s="42">
        <v>61</v>
      </c>
      <c r="B63" s="26" t="s">
        <v>392</v>
      </c>
      <c r="C63" s="29">
        <v>0</v>
      </c>
      <c r="D63" s="29">
        <f t="shared" si="6"/>
        <v>1730</v>
      </c>
      <c r="E63" s="28">
        <v>1750</v>
      </c>
      <c r="F63" s="28">
        <v>2800</v>
      </c>
      <c r="G63" s="28">
        <v>1900</v>
      </c>
      <c r="H63" s="28">
        <v>20</v>
      </c>
      <c r="I63" s="28">
        <v>2800</v>
      </c>
      <c r="J63" s="28">
        <v>120</v>
      </c>
      <c r="K63" s="28">
        <v>6085</v>
      </c>
      <c r="L63" s="28">
        <v>16</v>
      </c>
      <c r="M63" s="28">
        <v>20</v>
      </c>
      <c r="N63" s="28">
        <v>20</v>
      </c>
      <c r="O63" s="28">
        <v>20</v>
      </c>
      <c r="P63" s="27" t="s">
        <v>77</v>
      </c>
      <c r="Q63" s="27" t="s">
        <v>76</v>
      </c>
      <c r="R63" s="27" t="s">
        <v>77</v>
      </c>
      <c r="S63" s="27" t="s">
        <v>83</v>
      </c>
      <c r="T63" s="27" t="s">
        <v>77</v>
      </c>
      <c r="U63" s="27" t="s">
        <v>157</v>
      </c>
      <c r="V63" s="27"/>
      <c r="W63" s="27"/>
      <c r="X63" s="27" t="s">
        <v>79</v>
      </c>
      <c r="Y63" s="27" t="s">
        <v>85</v>
      </c>
      <c r="Z63" s="27"/>
      <c r="AA63" s="27"/>
    </row>
    <row r="64" spans="1:27">
      <c r="A64" s="42">
        <v>62</v>
      </c>
      <c r="B64" s="26" t="s">
        <v>393</v>
      </c>
      <c r="C64" s="29">
        <v>0</v>
      </c>
      <c r="D64" s="29">
        <f t="shared" si="6"/>
        <v>1730</v>
      </c>
      <c r="E64" s="28">
        <v>1750</v>
      </c>
      <c r="F64" s="28">
        <v>2800</v>
      </c>
      <c r="G64" s="28">
        <v>1900</v>
      </c>
      <c r="H64" s="28">
        <v>20</v>
      </c>
      <c r="I64" s="28">
        <v>2800</v>
      </c>
      <c r="J64" s="28">
        <v>120</v>
      </c>
      <c r="K64" s="28">
        <v>5960</v>
      </c>
      <c r="L64" s="28">
        <v>16</v>
      </c>
      <c r="M64" s="28">
        <v>20</v>
      </c>
      <c r="N64" s="28">
        <v>20</v>
      </c>
      <c r="O64" s="28">
        <v>20</v>
      </c>
      <c r="P64" s="27" t="s">
        <v>77</v>
      </c>
      <c r="Q64" s="27" t="s">
        <v>76</v>
      </c>
      <c r="R64" s="27" t="s">
        <v>77</v>
      </c>
      <c r="S64" s="27" t="s">
        <v>83</v>
      </c>
      <c r="T64" s="27" t="s">
        <v>77</v>
      </c>
      <c r="U64" s="27" t="s">
        <v>157</v>
      </c>
      <c r="V64" s="27"/>
      <c r="W64" s="27"/>
      <c r="X64" s="27" t="s">
        <v>79</v>
      </c>
      <c r="Y64" s="27" t="s">
        <v>85</v>
      </c>
      <c r="Z64" s="27"/>
      <c r="AA64" s="27"/>
    </row>
    <row r="65" spans="1:27">
      <c r="A65" s="42">
        <v>63</v>
      </c>
      <c r="B65" s="26" t="s">
        <v>394</v>
      </c>
      <c r="C65" s="29">
        <v>0</v>
      </c>
      <c r="D65" s="29">
        <f t="shared" si="6"/>
        <v>1730</v>
      </c>
      <c r="E65" s="28">
        <v>1750</v>
      </c>
      <c r="F65" s="28">
        <v>2800</v>
      </c>
      <c r="G65" s="28">
        <v>1900</v>
      </c>
      <c r="H65" s="28">
        <v>20</v>
      </c>
      <c r="I65" s="28">
        <v>2800</v>
      </c>
      <c r="J65" s="28">
        <v>120</v>
      </c>
      <c r="K65" s="28">
        <v>5839</v>
      </c>
      <c r="L65" s="28">
        <v>16</v>
      </c>
      <c r="M65" s="28">
        <v>20</v>
      </c>
      <c r="N65" s="28">
        <v>20</v>
      </c>
      <c r="O65" s="28">
        <v>20</v>
      </c>
      <c r="P65" s="27" t="s">
        <v>77</v>
      </c>
      <c r="Q65" s="27" t="s">
        <v>76</v>
      </c>
      <c r="R65" s="27" t="s">
        <v>77</v>
      </c>
      <c r="S65" s="27" t="s">
        <v>83</v>
      </c>
      <c r="T65" s="27" t="s">
        <v>77</v>
      </c>
      <c r="U65" s="27" t="s">
        <v>157</v>
      </c>
      <c r="V65" s="27"/>
      <c r="W65" s="27"/>
      <c r="X65" s="27" t="s">
        <v>79</v>
      </c>
      <c r="Y65" s="27" t="s">
        <v>85</v>
      </c>
      <c r="Z65" s="27"/>
      <c r="AA65" s="27"/>
    </row>
    <row r="66" spans="1:27" s="43" customFormat="1">
      <c r="A66" s="41">
        <v>64</v>
      </c>
      <c r="B66" s="33" t="s">
        <v>395</v>
      </c>
      <c r="C66" s="37">
        <v>0</v>
      </c>
      <c r="D66" s="37">
        <f t="shared" si="6"/>
        <v>1730</v>
      </c>
      <c r="E66" s="38">
        <v>1750</v>
      </c>
      <c r="F66" s="38">
        <v>2800</v>
      </c>
      <c r="G66" s="38">
        <v>1900</v>
      </c>
      <c r="H66" s="38">
        <v>20</v>
      </c>
      <c r="I66" s="38">
        <v>2800</v>
      </c>
      <c r="J66" s="38">
        <v>120</v>
      </c>
      <c r="K66" s="38">
        <v>5722</v>
      </c>
      <c r="L66" s="38">
        <v>16</v>
      </c>
      <c r="M66" s="38">
        <v>20</v>
      </c>
      <c r="N66" s="38">
        <v>20</v>
      </c>
      <c r="O66" s="38">
        <v>20</v>
      </c>
      <c r="P66" s="39" t="s">
        <v>77</v>
      </c>
      <c r="Q66" s="39" t="s">
        <v>76</v>
      </c>
      <c r="R66" s="39" t="s">
        <v>77</v>
      </c>
      <c r="S66" s="39" t="s">
        <v>83</v>
      </c>
      <c r="T66" s="39" t="s">
        <v>77</v>
      </c>
      <c r="U66" s="39" t="s">
        <v>157</v>
      </c>
      <c r="V66" s="39"/>
      <c r="W66" s="39"/>
      <c r="X66" s="39" t="s">
        <v>79</v>
      </c>
      <c r="Y66" s="39" t="s">
        <v>85</v>
      </c>
      <c r="Z66" s="39"/>
      <c r="AA66" s="39"/>
    </row>
    <row r="67" spans="1:27">
      <c r="A67" s="42">
        <v>65</v>
      </c>
      <c r="B67" s="26" t="s">
        <v>396</v>
      </c>
      <c r="C67" s="29">
        <v>0</v>
      </c>
      <c r="D67" s="29">
        <f t="shared" si="6"/>
        <v>1730</v>
      </c>
      <c r="E67" s="28">
        <v>1750</v>
      </c>
      <c r="F67" s="28">
        <v>2800</v>
      </c>
      <c r="G67" s="28">
        <v>1900</v>
      </c>
      <c r="H67" s="28">
        <v>20</v>
      </c>
      <c r="I67" s="28">
        <v>2800</v>
      </c>
      <c r="J67" s="28">
        <v>120</v>
      </c>
      <c r="K67" s="28">
        <v>5608</v>
      </c>
      <c r="L67" s="28">
        <v>16</v>
      </c>
      <c r="M67" s="28">
        <v>20</v>
      </c>
      <c r="N67" s="28">
        <v>20</v>
      </c>
      <c r="O67" s="28">
        <v>20</v>
      </c>
      <c r="P67" s="27" t="s">
        <v>77</v>
      </c>
      <c r="Q67" s="27" t="s">
        <v>76</v>
      </c>
      <c r="R67" s="27" t="s">
        <v>77</v>
      </c>
      <c r="S67" s="27" t="s">
        <v>83</v>
      </c>
      <c r="T67" s="27" t="s">
        <v>77</v>
      </c>
      <c r="U67" s="27" t="s">
        <v>157</v>
      </c>
      <c r="V67" s="27"/>
      <c r="W67" s="27"/>
      <c r="X67" s="27" t="s">
        <v>79</v>
      </c>
      <c r="Y67" s="27" t="s">
        <v>85</v>
      </c>
      <c r="Z67" s="27"/>
      <c r="AA67" s="27"/>
    </row>
    <row r="68" spans="1:27">
      <c r="A68" s="42">
        <v>66</v>
      </c>
      <c r="B68" s="26" t="s">
        <v>397</v>
      </c>
      <c r="C68" s="29">
        <v>0</v>
      </c>
      <c r="D68" s="29">
        <f t="shared" si="6"/>
        <v>1730</v>
      </c>
      <c r="E68" s="28">
        <v>1750</v>
      </c>
      <c r="F68" s="28">
        <v>2800</v>
      </c>
      <c r="G68" s="28">
        <v>1900</v>
      </c>
      <c r="H68" s="28">
        <v>20</v>
      </c>
      <c r="I68" s="28">
        <v>2800</v>
      </c>
      <c r="J68" s="28">
        <v>120</v>
      </c>
      <c r="K68" s="28">
        <v>5499</v>
      </c>
      <c r="L68" s="28">
        <v>16</v>
      </c>
      <c r="M68" s="28">
        <v>20</v>
      </c>
      <c r="N68" s="28">
        <v>20</v>
      </c>
      <c r="O68" s="28">
        <v>20</v>
      </c>
      <c r="P68" s="27" t="s">
        <v>77</v>
      </c>
      <c r="Q68" s="27" t="s">
        <v>76</v>
      </c>
      <c r="R68" s="27" t="s">
        <v>77</v>
      </c>
      <c r="S68" s="27" t="s">
        <v>83</v>
      </c>
      <c r="T68" s="27" t="s">
        <v>77</v>
      </c>
      <c r="U68" s="27" t="s">
        <v>157</v>
      </c>
      <c r="V68" s="27"/>
      <c r="W68" s="27"/>
      <c r="X68" s="27" t="s">
        <v>79</v>
      </c>
      <c r="Y68" s="27" t="s">
        <v>85</v>
      </c>
      <c r="Z68" s="27"/>
      <c r="AA68" s="27"/>
    </row>
    <row r="69" spans="1:27">
      <c r="A69" s="42">
        <v>67</v>
      </c>
      <c r="B69" s="26" t="s">
        <v>398</v>
      </c>
      <c r="C69" s="29">
        <v>0</v>
      </c>
      <c r="D69" s="29">
        <f t="shared" si="6"/>
        <v>1730</v>
      </c>
      <c r="E69" s="28">
        <v>1750</v>
      </c>
      <c r="F69" s="28">
        <v>2800</v>
      </c>
      <c r="G69" s="28">
        <v>1900</v>
      </c>
      <c r="H69" s="28">
        <v>20</v>
      </c>
      <c r="I69" s="28">
        <v>2800</v>
      </c>
      <c r="J69" s="28">
        <v>120</v>
      </c>
      <c r="K69" s="28">
        <v>5393</v>
      </c>
      <c r="L69" s="28">
        <v>16</v>
      </c>
      <c r="M69" s="28">
        <v>20</v>
      </c>
      <c r="N69" s="28">
        <v>20</v>
      </c>
      <c r="O69" s="28">
        <v>20</v>
      </c>
      <c r="P69" s="27" t="s">
        <v>77</v>
      </c>
      <c r="Q69" s="27" t="s">
        <v>76</v>
      </c>
      <c r="R69" s="27" t="s">
        <v>77</v>
      </c>
      <c r="S69" s="27" t="s">
        <v>83</v>
      </c>
      <c r="T69" s="27" t="s">
        <v>77</v>
      </c>
      <c r="U69" s="27" t="s">
        <v>157</v>
      </c>
      <c r="V69" s="27"/>
      <c r="W69" s="27"/>
      <c r="X69" s="27" t="s">
        <v>79</v>
      </c>
      <c r="Y69" s="27" t="s">
        <v>85</v>
      </c>
      <c r="Z69" s="27"/>
      <c r="AA69" s="27"/>
    </row>
    <row r="70" spans="1:27" s="43" customFormat="1">
      <c r="A70" s="41">
        <v>68</v>
      </c>
      <c r="B70" s="33" t="s">
        <v>399</v>
      </c>
      <c r="C70" s="37">
        <v>0</v>
      </c>
      <c r="D70" s="37">
        <f t="shared" si="6"/>
        <v>1730</v>
      </c>
      <c r="E70" s="38">
        <v>1750</v>
      </c>
      <c r="F70" s="38">
        <v>2800</v>
      </c>
      <c r="G70" s="38">
        <v>1900</v>
      </c>
      <c r="H70" s="38">
        <v>20</v>
      </c>
      <c r="I70" s="38">
        <v>2800</v>
      </c>
      <c r="J70" s="38">
        <v>120</v>
      </c>
      <c r="K70" s="38">
        <v>5292</v>
      </c>
      <c r="L70" s="38">
        <v>16</v>
      </c>
      <c r="M70" s="38">
        <v>20</v>
      </c>
      <c r="N70" s="38">
        <v>20</v>
      </c>
      <c r="O70" s="38">
        <v>20</v>
      </c>
      <c r="P70" s="39" t="s">
        <v>77</v>
      </c>
      <c r="Q70" s="39" t="s">
        <v>76</v>
      </c>
      <c r="R70" s="39" t="s">
        <v>77</v>
      </c>
      <c r="S70" s="39" t="s">
        <v>83</v>
      </c>
      <c r="T70" s="39" t="s">
        <v>77</v>
      </c>
      <c r="U70" s="39" t="s">
        <v>157</v>
      </c>
      <c r="V70" s="39"/>
      <c r="W70" s="39"/>
      <c r="X70" s="39" t="s">
        <v>79</v>
      </c>
      <c r="Y70" s="39" t="s">
        <v>85</v>
      </c>
      <c r="Z70" s="39"/>
      <c r="AA70" s="39"/>
    </row>
    <row r="71" spans="1:27">
      <c r="A71" s="42">
        <v>69</v>
      </c>
      <c r="B71" s="26" t="s">
        <v>400</v>
      </c>
      <c r="C71" s="29">
        <v>0</v>
      </c>
      <c r="D71" s="29">
        <f t="shared" si="6"/>
        <v>1730</v>
      </c>
      <c r="E71" s="28">
        <v>1750</v>
      </c>
      <c r="F71" s="28">
        <v>2800</v>
      </c>
      <c r="G71" s="28">
        <v>1900</v>
      </c>
      <c r="H71" s="28">
        <v>20</v>
      </c>
      <c r="I71" s="28">
        <v>2800</v>
      </c>
      <c r="J71" s="28">
        <v>120</v>
      </c>
      <c r="K71" s="28">
        <v>5194</v>
      </c>
      <c r="L71" s="28">
        <v>16</v>
      </c>
      <c r="M71" s="28">
        <v>20</v>
      </c>
      <c r="N71" s="28">
        <v>20</v>
      </c>
      <c r="O71" s="28">
        <v>20</v>
      </c>
      <c r="P71" s="27" t="s">
        <v>77</v>
      </c>
      <c r="Q71" s="27" t="s">
        <v>76</v>
      </c>
      <c r="R71" s="27" t="s">
        <v>77</v>
      </c>
      <c r="S71" s="27" t="s">
        <v>83</v>
      </c>
      <c r="T71" s="27" t="s">
        <v>77</v>
      </c>
      <c r="U71" s="27" t="s">
        <v>157</v>
      </c>
      <c r="V71" s="27"/>
      <c r="W71" s="27"/>
      <c r="X71" s="27" t="s">
        <v>79</v>
      </c>
      <c r="Y71" s="27" t="s">
        <v>85</v>
      </c>
      <c r="Z71" s="27"/>
      <c r="AA71" s="27"/>
    </row>
    <row r="72" spans="1:27">
      <c r="A72" s="42">
        <v>70</v>
      </c>
      <c r="B72" s="26" t="s">
        <v>401</v>
      </c>
      <c r="C72" s="29">
        <v>0</v>
      </c>
      <c r="D72" s="29">
        <f t="shared" si="6"/>
        <v>1730</v>
      </c>
      <c r="E72" s="28">
        <v>1750</v>
      </c>
      <c r="F72" s="28">
        <v>2800</v>
      </c>
      <c r="G72" s="28">
        <v>1900</v>
      </c>
      <c r="H72" s="28">
        <v>20</v>
      </c>
      <c r="I72" s="28">
        <v>2800</v>
      </c>
      <c r="J72" s="28">
        <v>120</v>
      </c>
      <c r="K72" s="28">
        <v>5100</v>
      </c>
      <c r="L72" s="28">
        <v>16</v>
      </c>
      <c r="M72" s="28">
        <v>20</v>
      </c>
      <c r="N72" s="28">
        <v>20</v>
      </c>
      <c r="O72" s="28">
        <v>20</v>
      </c>
      <c r="P72" s="27" t="s">
        <v>77</v>
      </c>
      <c r="Q72" s="27" t="s">
        <v>76</v>
      </c>
      <c r="R72" s="27" t="s">
        <v>77</v>
      </c>
      <c r="S72" s="27" t="s">
        <v>83</v>
      </c>
      <c r="T72" s="27" t="s">
        <v>77</v>
      </c>
      <c r="U72" s="27" t="s">
        <v>157</v>
      </c>
      <c r="V72" s="27"/>
      <c r="W72" s="27"/>
      <c r="X72" s="27" t="s">
        <v>79</v>
      </c>
      <c r="Y72" s="27" t="s">
        <v>85</v>
      </c>
      <c r="Z72" s="27"/>
      <c r="AA72" s="27"/>
    </row>
    <row r="73" spans="1:27">
      <c r="A73" s="42">
        <v>71</v>
      </c>
      <c r="B73" s="26" t="s">
        <v>402</v>
      </c>
      <c r="C73" s="29">
        <v>0</v>
      </c>
      <c r="D73" s="29">
        <f t="shared" si="6"/>
        <v>1730</v>
      </c>
      <c r="E73" s="28">
        <v>1750</v>
      </c>
      <c r="F73" s="28">
        <v>2800</v>
      </c>
      <c r="G73" s="28">
        <v>1900</v>
      </c>
      <c r="H73" s="28">
        <v>20</v>
      </c>
      <c r="I73" s="28">
        <v>2800</v>
      </c>
      <c r="J73" s="28">
        <v>120</v>
      </c>
      <c r="K73" s="28">
        <v>5010</v>
      </c>
      <c r="L73" s="28">
        <v>16</v>
      </c>
      <c r="M73" s="28">
        <v>20</v>
      </c>
      <c r="N73" s="28">
        <v>20</v>
      </c>
      <c r="O73" s="28">
        <v>20</v>
      </c>
      <c r="P73" s="27" t="s">
        <v>77</v>
      </c>
      <c r="Q73" s="27" t="s">
        <v>76</v>
      </c>
      <c r="R73" s="27" t="s">
        <v>77</v>
      </c>
      <c r="S73" s="27" t="s">
        <v>83</v>
      </c>
      <c r="T73" s="27" t="s">
        <v>77</v>
      </c>
      <c r="U73" s="27" t="s">
        <v>157</v>
      </c>
      <c r="V73" s="27"/>
      <c r="W73" s="27"/>
      <c r="X73" s="27" t="s">
        <v>79</v>
      </c>
      <c r="Y73" s="27" t="s">
        <v>85</v>
      </c>
      <c r="Z73" s="27"/>
      <c r="AA73" s="27"/>
    </row>
    <row r="74" spans="1:27">
      <c r="A74" s="42">
        <v>72</v>
      </c>
      <c r="B74" s="26" t="s">
        <v>403</v>
      </c>
      <c r="C74" s="29">
        <v>0</v>
      </c>
      <c r="D74" s="29">
        <f t="shared" si="6"/>
        <v>1730</v>
      </c>
      <c r="E74" s="38">
        <v>1750</v>
      </c>
      <c r="F74" s="38">
        <v>2800</v>
      </c>
      <c r="G74" s="38">
        <v>1900</v>
      </c>
      <c r="H74" s="38">
        <v>20</v>
      </c>
      <c r="I74" s="38">
        <v>2800</v>
      </c>
      <c r="J74" s="38">
        <v>120</v>
      </c>
      <c r="K74" s="38">
        <v>4923</v>
      </c>
      <c r="L74" s="38">
        <v>16</v>
      </c>
      <c r="M74" s="38">
        <v>20</v>
      </c>
      <c r="N74" s="38">
        <v>20</v>
      </c>
      <c r="O74" s="38">
        <v>20</v>
      </c>
      <c r="P74" s="39" t="s">
        <v>77</v>
      </c>
      <c r="Q74" s="39" t="s">
        <v>76</v>
      </c>
      <c r="R74" s="39" t="s">
        <v>77</v>
      </c>
      <c r="S74" s="39" t="s">
        <v>83</v>
      </c>
      <c r="T74" s="39" t="s">
        <v>77</v>
      </c>
      <c r="U74" s="39" t="s">
        <v>157</v>
      </c>
      <c r="V74" s="27"/>
      <c r="W74" s="27"/>
      <c r="X74" s="27" t="s">
        <v>79</v>
      </c>
      <c r="Y74" s="27" t="s">
        <v>85</v>
      </c>
      <c r="Z74" s="27"/>
      <c r="AA74" s="27"/>
    </row>
    <row r="75" spans="1:27">
      <c r="A75" s="42">
        <v>73</v>
      </c>
      <c r="B75" s="26" t="s">
        <v>404</v>
      </c>
      <c r="C75" s="29">
        <v>0</v>
      </c>
      <c r="D75" s="29">
        <f t="shared" si="6"/>
        <v>1730</v>
      </c>
      <c r="E75" s="28">
        <v>1750</v>
      </c>
      <c r="F75" s="28">
        <v>2800</v>
      </c>
      <c r="G75" s="28">
        <v>1900</v>
      </c>
      <c r="H75" s="28">
        <v>20</v>
      </c>
      <c r="I75" s="28">
        <v>2800</v>
      </c>
      <c r="J75" s="28">
        <v>120</v>
      </c>
      <c r="K75" s="28">
        <v>4841</v>
      </c>
      <c r="L75" s="28">
        <v>16</v>
      </c>
      <c r="M75" s="28">
        <v>20</v>
      </c>
      <c r="N75" s="28">
        <v>20</v>
      </c>
      <c r="O75" s="28">
        <v>20</v>
      </c>
      <c r="P75" s="27" t="s">
        <v>77</v>
      </c>
      <c r="Q75" s="27" t="s">
        <v>76</v>
      </c>
      <c r="R75" s="27" t="s">
        <v>77</v>
      </c>
      <c r="S75" s="27" t="s">
        <v>83</v>
      </c>
      <c r="T75" s="27" t="s">
        <v>77</v>
      </c>
      <c r="U75" s="27" t="s">
        <v>157</v>
      </c>
      <c r="V75" s="27"/>
      <c r="W75" s="27"/>
      <c r="X75" s="27" t="s">
        <v>79</v>
      </c>
      <c r="Y75" s="27" t="s">
        <v>85</v>
      </c>
      <c r="Z75" s="27"/>
      <c r="AA75" s="27"/>
    </row>
    <row r="76" spans="1:27">
      <c r="A76" s="42">
        <v>74</v>
      </c>
      <c r="B76" s="26" t="s">
        <v>405</v>
      </c>
      <c r="C76" s="29">
        <v>0</v>
      </c>
      <c r="D76" s="29">
        <f t="shared" si="6"/>
        <v>1730</v>
      </c>
      <c r="E76" s="28">
        <v>1750</v>
      </c>
      <c r="F76" s="28">
        <v>2800</v>
      </c>
      <c r="G76" s="28">
        <v>1900</v>
      </c>
      <c r="H76" s="28">
        <v>20</v>
      </c>
      <c r="I76" s="28">
        <v>2800</v>
      </c>
      <c r="J76" s="28">
        <v>120</v>
      </c>
      <c r="K76" s="28">
        <v>4762</v>
      </c>
      <c r="L76" s="28">
        <v>16</v>
      </c>
      <c r="M76" s="28">
        <v>20</v>
      </c>
      <c r="N76" s="28">
        <v>20</v>
      </c>
      <c r="O76" s="28">
        <v>20</v>
      </c>
      <c r="P76" s="27" t="s">
        <v>77</v>
      </c>
      <c r="Q76" s="27" t="s">
        <v>76</v>
      </c>
      <c r="R76" s="27" t="s">
        <v>77</v>
      </c>
      <c r="S76" s="27" t="s">
        <v>83</v>
      </c>
      <c r="T76" s="27" t="s">
        <v>77</v>
      </c>
      <c r="U76" s="27" t="s">
        <v>157</v>
      </c>
      <c r="V76" s="27"/>
      <c r="W76" s="27"/>
      <c r="X76" s="27" t="s">
        <v>79</v>
      </c>
      <c r="Y76" s="27" t="s">
        <v>85</v>
      </c>
      <c r="Z76" s="27"/>
      <c r="AA76" s="27"/>
    </row>
    <row r="77" spans="1:27">
      <c r="A77" s="42">
        <v>75</v>
      </c>
      <c r="B77" s="26" t="s">
        <v>406</v>
      </c>
      <c r="C77" s="29">
        <v>0</v>
      </c>
      <c r="D77" s="29">
        <f t="shared" si="6"/>
        <v>1730</v>
      </c>
      <c r="E77" s="28">
        <v>1750</v>
      </c>
      <c r="F77" s="28">
        <v>2800</v>
      </c>
      <c r="G77" s="28">
        <v>1900</v>
      </c>
      <c r="H77" s="28">
        <v>20</v>
      </c>
      <c r="I77" s="28">
        <v>2800</v>
      </c>
      <c r="J77" s="28">
        <v>120</v>
      </c>
      <c r="K77" s="28">
        <v>4687</v>
      </c>
      <c r="L77" s="28">
        <v>16</v>
      </c>
      <c r="M77" s="28">
        <v>20</v>
      </c>
      <c r="N77" s="28">
        <v>20</v>
      </c>
      <c r="O77" s="28">
        <v>20</v>
      </c>
      <c r="P77" s="27" t="s">
        <v>77</v>
      </c>
      <c r="Q77" s="27" t="s">
        <v>76</v>
      </c>
      <c r="R77" s="27" t="s">
        <v>77</v>
      </c>
      <c r="S77" s="27" t="s">
        <v>83</v>
      </c>
      <c r="T77" s="27" t="s">
        <v>77</v>
      </c>
      <c r="U77" s="27" t="s">
        <v>157</v>
      </c>
      <c r="V77" s="27"/>
      <c r="W77" s="27"/>
      <c r="X77" s="27" t="s">
        <v>79</v>
      </c>
      <c r="Y77" s="27" t="s">
        <v>85</v>
      </c>
      <c r="Z77" s="27"/>
      <c r="AA77" s="27"/>
    </row>
    <row r="78" spans="1:27">
      <c r="A78" s="42">
        <v>76</v>
      </c>
      <c r="B78" s="26" t="s">
        <v>407</v>
      </c>
      <c r="C78" s="29">
        <v>0</v>
      </c>
      <c r="D78" s="29">
        <f t="shared" si="6"/>
        <v>1730</v>
      </c>
      <c r="E78" s="38">
        <v>1750</v>
      </c>
      <c r="F78" s="38">
        <v>2800</v>
      </c>
      <c r="G78" s="38">
        <v>1900</v>
      </c>
      <c r="H78" s="38">
        <v>20</v>
      </c>
      <c r="I78" s="38">
        <v>2800</v>
      </c>
      <c r="J78" s="38">
        <v>120</v>
      </c>
      <c r="K78" s="38">
        <v>4616</v>
      </c>
      <c r="L78" s="38">
        <v>16</v>
      </c>
      <c r="M78" s="38">
        <v>20</v>
      </c>
      <c r="N78" s="38">
        <v>20</v>
      </c>
      <c r="O78" s="38">
        <v>20</v>
      </c>
      <c r="P78" s="39" t="s">
        <v>77</v>
      </c>
      <c r="Q78" s="39" t="s">
        <v>76</v>
      </c>
      <c r="R78" s="39" t="s">
        <v>77</v>
      </c>
      <c r="S78" s="39" t="s">
        <v>83</v>
      </c>
      <c r="T78" s="39" t="s">
        <v>77</v>
      </c>
      <c r="U78" s="39" t="s">
        <v>157</v>
      </c>
      <c r="V78" s="27"/>
      <c r="W78" s="27"/>
      <c r="X78" s="27" t="s">
        <v>79</v>
      </c>
      <c r="Y78" s="27" t="s">
        <v>85</v>
      </c>
      <c r="Z78" s="27"/>
      <c r="AA78" s="27"/>
    </row>
    <row r="79" spans="1:27">
      <c r="A79" s="42">
        <v>77</v>
      </c>
      <c r="B79" s="26" t="s">
        <v>408</v>
      </c>
      <c r="C79" s="29">
        <v>0</v>
      </c>
      <c r="D79" s="29">
        <f t="shared" si="6"/>
        <v>1730</v>
      </c>
      <c r="E79" s="28">
        <v>1750</v>
      </c>
      <c r="F79" s="28">
        <v>2800</v>
      </c>
      <c r="G79" s="28">
        <v>1900</v>
      </c>
      <c r="H79" s="28">
        <v>20</v>
      </c>
      <c r="I79" s="28">
        <v>2800</v>
      </c>
      <c r="J79" s="28">
        <v>120</v>
      </c>
      <c r="K79" s="28">
        <v>4550</v>
      </c>
      <c r="L79" s="28">
        <v>16</v>
      </c>
      <c r="M79" s="28">
        <v>20</v>
      </c>
      <c r="N79" s="28">
        <v>20</v>
      </c>
      <c r="O79" s="28">
        <v>20</v>
      </c>
      <c r="P79" s="27" t="s">
        <v>77</v>
      </c>
      <c r="Q79" s="27" t="s">
        <v>76</v>
      </c>
      <c r="R79" s="27" t="s">
        <v>77</v>
      </c>
      <c r="S79" s="27" t="s">
        <v>83</v>
      </c>
      <c r="T79" s="27" t="s">
        <v>77</v>
      </c>
      <c r="U79" s="27" t="s">
        <v>157</v>
      </c>
      <c r="V79" s="27"/>
      <c r="W79" s="27"/>
      <c r="X79" s="27" t="s">
        <v>79</v>
      </c>
      <c r="Y79" s="27" t="s">
        <v>85</v>
      </c>
      <c r="Z79" s="27"/>
      <c r="AA79" s="27"/>
    </row>
    <row r="80" spans="1:27">
      <c r="A80" s="42">
        <v>78</v>
      </c>
      <c r="B80" s="26" t="s">
        <v>409</v>
      </c>
      <c r="C80" s="29">
        <v>0</v>
      </c>
      <c r="D80" s="29">
        <f t="shared" si="6"/>
        <v>1730</v>
      </c>
      <c r="E80" s="28">
        <v>1750</v>
      </c>
      <c r="F80" s="28">
        <v>2800</v>
      </c>
      <c r="G80" s="28">
        <v>1900</v>
      </c>
      <c r="H80" s="28">
        <v>20</v>
      </c>
      <c r="I80" s="28">
        <v>2800</v>
      </c>
      <c r="J80" s="28">
        <v>120</v>
      </c>
      <c r="K80" s="28">
        <v>4486</v>
      </c>
      <c r="L80" s="28">
        <v>16</v>
      </c>
      <c r="M80" s="28">
        <v>20</v>
      </c>
      <c r="N80" s="28">
        <v>20</v>
      </c>
      <c r="O80" s="28">
        <v>20</v>
      </c>
      <c r="P80" s="27" t="s">
        <v>77</v>
      </c>
      <c r="Q80" s="27" t="s">
        <v>76</v>
      </c>
      <c r="R80" s="27" t="s">
        <v>77</v>
      </c>
      <c r="S80" s="27" t="s">
        <v>83</v>
      </c>
      <c r="T80" s="27" t="s">
        <v>77</v>
      </c>
      <c r="U80" s="27" t="s">
        <v>157</v>
      </c>
      <c r="V80" s="27"/>
      <c r="W80" s="27"/>
      <c r="X80" s="27" t="s">
        <v>79</v>
      </c>
      <c r="Y80" s="27" t="s">
        <v>85</v>
      </c>
      <c r="Z80" s="27"/>
      <c r="AA80" s="27"/>
    </row>
    <row r="81" spans="1:27">
      <c r="A81" s="42">
        <v>79</v>
      </c>
      <c r="B81" s="26" t="s">
        <v>410</v>
      </c>
      <c r="C81" s="29">
        <v>0</v>
      </c>
      <c r="D81" s="29">
        <f t="shared" si="6"/>
        <v>1730</v>
      </c>
      <c r="E81" s="28">
        <v>1750</v>
      </c>
      <c r="F81" s="28">
        <v>2800</v>
      </c>
      <c r="G81" s="28">
        <v>1900</v>
      </c>
      <c r="H81" s="28">
        <v>20</v>
      </c>
      <c r="I81" s="28">
        <v>2800</v>
      </c>
      <c r="J81" s="28">
        <v>120</v>
      </c>
      <c r="K81" s="28">
        <v>4427</v>
      </c>
      <c r="L81" s="28">
        <v>16</v>
      </c>
      <c r="M81" s="28">
        <v>20</v>
      </c>
      <c r="N81" s="28">
        <v>20</v>
      </c>
      <c r="O81" s="28">
        <v>20</v>
      </c>
      <c r="P81" s="27" t="s">
        <v>77</v>
      </c>
      <c r="Q81" s="27" t="s">
        <v>76</v>
      </c>
      <c r="R81" s="27" t="s">
        <v>77</v>
      </c>
      <c r="S81" s="27" t="s">
        <v>83</v>
      </c>
      <c r="T81" s="27" t="s">
        <v>77</v>
      </c>
      <c r="U81" s="27" t="s">
        <v>157</v>
      </c>
      <c r="V81" s="27"/>
      <c r="W81" s="27"/>
      <c r="X81" s="27" t="s">
        <v>79</v>
      </c>
      <c r="Y81" s="27" t="s">
        <v>85</v>
      </c>
      <c r="Z81" s="27"/>
      <c r="AA81" s="27"/>
    </row>
    <row r="82" spans="1:27">
      <c r="A82" s="42">
        <v>80</v>
      </c>
      <c r="B82" s="26" t="s">
        <v>411</v>
      </c>
      <c r="C82" s="29">
        <v>0</v>
      </c>
      <c r="D82" s="29">
        <f t="shared" si="6"/>
        <v>1730</v>
      </c>
      <c r="E82" s="38">
        <v>1750</v>
      </c>
      <c r="F82" s="38">
        <v>2800</v>
      </c>
      <c r="G82" s="38">
        <v>1900</v>
      </c>
      <c r="H82" s="38">
        <v>20</v>
      </c>
      <c r="I82" s="38">
        <v>2800</v>
      </c>
      <c r="J82" s="38">
        <v>120</v>
      </c>
      <c r="K82" s="38">
        <v>4372</v>
      </c>
      <c r="L82" s="38">
        <v>16</v>
      </c>
      <c r="M82" s="38">
        <v>20</v>
      </c>
      <c r="N82" s="38">
        <v>20</v>
      </c>
      <c r="O82" s="38">
        <v>20</v>
      </c>
      <c r="P82" s="39" t="s">
        <v>77</v>
      </c>
      <c r="Q82" s="39" t="s">
        <v>76</v>
      </c>
      <c r="R82" s="39" t="s">
        <v>77</v>
      </c>
      <c r="S82" s="39" t="s">
        <v>83</v>
      </c>
      <c r="T82" s="39" t="s">
        <v>77</v>
      </c>
      <c r="U82" s="39" t="s">
        <v>157</v>
      </c>
      <c r="V82" s="27"/>
      <c r="W82" s="27"/>
      <c r="X82" s="27" t="s">
        <v>79</v>
      </c>
      <c r="Y82" s="27" t="s">
        <v>85</v>
      </c>
      <c r="Z82" s="27"/>
      <c r="AA82" s="27"/>
    </row>
    <row r="83" spans="1:27">
      <c r="A83" s="42">
        <v>81</v>
      </c>
      <c r="B83" s="26" t="s">
        <v>412</v>
      </c>
      <c r="C83" s="29">
        <v>0</v>
      </c>
      <c r="D83" s="29">
        <f t="shared" si="6"/>
        <v>1730</v>
      </c>
      <c r="E83" s="28">
        <v>1750</v>
      </c>
      <c r="F83" s="28">
        <v>2800</v>
      </c>
      <c r="G83" s="28">
        <v>1900</v>
      </c>
      <c r="H83" s="28">
        <v>20</v>
      </c>
      <c r="I83" s="28">
        <v>2800</v>
      </c>
      <c r="J83" s="28">
        <v>120</v>
      </c>
      <c r="K83" s="28">
        <v>4320</v>
      </c>
      <c r="L83" s="28">
        <v>16</v>
      </c>
      <c r="M83" s="28">
        <v>20</v>
      </c>
      <c r="N83" s="28">
        <v>20</v>
      </c>
      <c r="O83" s="28">
        <v>20</v>
      </c>
      <c r="P83" s="27" t="s">
        <v>77</v>
      </c>
      <c r="Q83" s="27" t="s">
        <v>76</v>
      </c>
      <c r="R83" s="27" t="s">
        <v>77</v>
      </c>
      <c r="S83" s="27" t="s">
        <v>83</v>
      </c>
      <c r="T83" s="27" t="s">
        <v>77</v>
      </c>
      <c r="U83" s="27" t="s">
        <v>157</v>
      </c>
      <c r="V83" s="27"/>
      <c r="W83" s="27"/>
      <c r="X83" s="27" t="s">
        <v>79</v>
      </c>
      <c r="Y83" s="27" t="s">
        <v>85</v>
      </c>
      <c r="Z83" s="27"/>
      <c r="AA83" s="27"/>
    </row>
    <row r="84" spans="1:27">
      <c r="A84" s="42">
        <v>82</v>
      </c>
      <c r="B84" s="26" t="s">
        <v>413</v>
      </c>
      <c r="C84" s="29">
        <v>0</v>
      </c>
      <c r="D84" s="29">
        <f t="shared" si="6"/>
        <v>1730</v>
      </c>
      <c r="E84" s="28">
        <v>1750</v>
      </c>
      <c r="F84" s="28">
        <v>2800</v>
      </c>
      <c r="G84" s="28">
        <v>1900</v>
      </c>
      <c r="H84" s="28">
        <v>20</v>
      </c>
      <c r="I84" s="28">
        <v>2800</v>
      </c>
      <c r="J84" s="28">
        <v>120</v>
      </c>
      <c r="K84" s="28">
        <v>4272</v>
      </c>
      <c r="L84" s="28">
        <v>16</v>
      </c>
      <c r="M84" s="28">
        <v>20</v>
      </c>
      <c r="N84" s="28">
        <v>20</v>
      </c>
      <c r="O84" s="28">
        <v>20</v>
      </c>
      <c r="P84" s="27" t="s">
        <v>77</v>
      </c>
      <c r="Q84" s="27" t="s">
        <v>76</v>
      </c>
      <c r="R84" s="27" t="s">
        <v>77</v>
      </c>
      <c r="S84" s="27" t="s">
        <v>83</v>
      </c>
      <c r="T84" s="27" t="s">
        <v>77</v>
      </c>
      <c r="U84" s="27" t="s">
        <v>157</v>
      </c>
      <c r="V84" s="27"/>
      <c r="W84" s="27"/>
      <c r="X84" s="27" t="s">
        <v>79</v>
      </c>
      <c r="Y84" s="27" t="s">
        <v>85</v>
      </c>
      <c r="Z84" s="27"/>
      <c r="AA84" s="27"/>
    </row>
    <row r="85" spans="1:27">
      <c r="A85" s="42">
        <v>83</v>
      </c>
      <c r="B85" s="26" t="s">
        <v>414</v>
      </c>
      <c r="C85" s="29">
        <v>0</v>
      </c>
      <c r="D85" s="29">
        <f t="shared" si="6"/>
        <v>1730</v>
      </c>
      <c r="E85" s="28">
        <v>1750</v>
      </c>
      <c r="F85" s="28">
        <v>2800</v>
      </c>
      <c r="G85" s="28">
        <v>1900</v>
      </c>
      <c r="H85" s="28">
        <v>20</v>
      </c>
      <c r="I85" s="28">
        <v>2800</v>
      </c>
      <c r="J85" s="28">
        <v>120</v>
      </c>
      <c r="K85" s="28">
        <v>4228</v>
      </c>
      <c r="L85" s="28">
        <v>16</v>
      </c>
      <c r="M85" s="28">
        <v>20</v>
      </c>
      <c r="N85" s="28">
        <v>20</v>
      </c>
      <c r="O85" s="28">
        <v>20</v>
      </c>
      <c r="P85" s="27" t="s">
        <v>77</v>
      </c>
      <c r="Q85" s="27" t="s">
        <v>76</v>
      </c>
      <c r="R85" s="27" t="s">
        <v>77</v>
      </c>
      <c r="S85" s="27" t="s">
        <v>83</v>
      </c>
      <c r="T85" s="27" t="s">
        <v>77</v>
      </c>
      <c r="U85" s="27" t="s">
        <v>157</v>
      </c>
      <c r="V85" s="27"/>
      <c r="W85" s="27"/>
      <c r="X85" s="27" t="s">
        <v>79</v>
      </c>
      <c r="Y85" s="27" t="s">
        <v>85</v>
      </c>
      <c r="Z85" s="27"/>
      <c r="AA85" s="27"/>
    </row>
    <row r="86" spans="1:27">
      <c r="A86" s="42">
        <v>84</v>
      </c>
      <c r="B86" s="26" t="s">
        <v>415</v>
      </c>
      <c r="C86" s="29">
        <v>0</v>
      </c>
      <c r="D86" s="29">
        <f t="shared" si="6"/>
        <v>1730</v>
      </c>
      <c r="E86" s="38">
        <v>1750</v>
      </c>
      <c r="F86" s="38">
        <v>2800</v>
      </c>
      <c r="G86" s="38">
        <v>1900</v>
      </c>
      <c r="H86" s="38">
        <v>20</v>
      </c>
      <c r="I86" s="38">
        <v>2800</v>
      </c>
      <c r="J86" s="38">
        <v>120</v>
      </c>
      <c r="K86" s="38">
        <v>4188</v>
      </c>
      <c r="L86" s="38">
        <v>16</v>
      </c>
      <c r="M86" s="38">
        <v>20</v>
      </c>
      <c r="N86" s="38">
        <v>20</v>
      </c>
      <c r="O86" s="38">
        <v>20</v>
      </c>
      <c r="P86" s="39" t="s">
        <v>77</v>
      </c>
      <c r="Q86" s="39" t="s">
        <v>76</v>
      </c>
      <c r="R86" s="39" t="s">
        <v>77</v>
      </c>
      <c r="S86" s="39" t="s">
        <v>83</v>
      </c>
      <c r="T86" s="39" t="s">
        <v>77</v>
      </c>
      <c r="U86" s="39" t="s">
        <v>157</v>
      </c>
      <c r="V86" s="27"/>
      <c r="W86" s="27"/>
      <c r="X86" s="27" t="s">
        <v>79</v>
      </c>
      <c r="Y86" s="27" t="s">
        <v>85</v>
      </c>
      <c r="Z86" s="27"/>
      <c r="AA86" s="27"/>
    </row>
    <row r="87" spans="1:27">
      <c r="A87" s="42">
        <v>85</v>
      </c>
      <c r="B87" s="26" t="s">
        <v>416</v>
      </c>
      <c r="C87" s="29">
        <v>0</v>
      </c>
      <c r="D87" s="29">
        <f t="shared" si="6"/>
        <v>1730</v>
      </c>
      <c r="E87" s="28">
        <v>1750</v>
      </c>
      <c r="F87" s="28">
        <v>2800</v>
      </c>
      <c r="G87" s="28">
        <v>1900</v>
      </c>
      <c r="H87" s="28">
        <v>20</v>
      </c>
      <c r="I87" s="28">
        <v>2800</v>
      </c>
      <c r="J87" s="28">
        <v>120</v>
      </c>
      <c r="K87" s="28">
        <v>4152</v>
      </c>
      <c r="L87" s="28">
        <v>16</v>
      </c>
      <c r="M87" s="28">
        <v>20</v>
      </c>
      <c r="N87" s="28">
        <v>20</v>
      </c>
      <c r="O87" s="28">
        <v>20</v>
      </c>
      <c r="P87" s="27" t="s">
        <v>77</v>
      </c>
      <c r="Q87" s="27" t="s">
        <v>76</v>
      </c>
      <c r="R87" s="27" t="s">
        <v>77</v>
      </c>
      <c r="S87" s="27" t="s">
        <v>83</v>
      </c>
      <c r="T87" s="27" t="s">
        <v>77</v>
      </c>
      <c r="U87" s="27" t="s">
        <v>157</v>
      </c>
      <c r="V87" s="27"/>
      <c r="W87" s="27"/>
      <c r="X87" s="27" t="s">
        <v>79</v>
      </c>
      <c r="Y87" s="27" t="s">
        <v>85</v>
      </c>
      <c r="Z87" s="27"/>
      <c r="AA87" s="27"/>
    </row>
    <row r="88" spans="1:27">
      <c r="A88" s="42">
        <v>86</v>
      </c>
      <c r="B88" s="26" t="s">
        <v>417</v>
      </c>
      <c r="C88" s="29">
        <v>0</v>
      </c>
      <c r="D88" s="29">
        <f t="shared" si="6"/>
        <v>1730</v>
      </c>
      <c r="E88" s="28">
        <v>1750</v>
      </c>
      <c r="F88" s="28">
        <v>2800</v>
      </c>
      <c r="G88" s="28">
        <v>1900</v>
      </c>
      <c r="H88" s="28">
        <v>20</v>
      </c>
      <c r="I88" s="28">
        <v>2800</v>
      </c>
      <c r="J88" s="28">
        <v>120</v>
      </c>
      <c r="K88" s="28">
        <v>4120</v>
      </c>
      <c r="L88" s="28">
        <v>16</v>
      </c>
      <c r="M88" s="28">
        <v>20</v>
      </c>
      <c r="N88" s="28">
        <v>20</v>
      </c>
      <c r="O88" s="28">
        <v>20</v>
      </c>
      <c r="P88" s="27" t="s">
        <v>77</v>
      </c>
      <c r="Q88" s="27" t="s">
        <v>76</v>
      </c>
      <c r="R88" s="27" t="s">
        <v>77</v>
      </c>
      <c r="S88" s="27" t="s">
        <v>83</v>
      </c>
      <c r="T88" s="27" t="s">
        <v>77</v>
      </c>
      <c r="U88" s="27" t="s">
        <v>157</v>
      </c>
      <c r="V88" s="27"/>
      <c r="W88" s="27"/>
      <c r="X88" s="27" t="s">
        <v>79</v>
      </c>
      <c r="Y88" s="27" t="s">
        <v>85</v>
      </c>
      <c r="Z88" s="27"/>
      <c r="AA88" s="27"/>
    </row>
    <row r="89" spans="1:27">
      <c r="A89" s="42">
        <v>87</v>
      </c>
      <c r="B89" s="26" t="s">
        <v>418</v>
      </c>
      <c r="C89" s="29">
        <v>0</v>
      </c>
      <c r="D89" s="29">
        <f t="shared" si="6"/>
        <v>1730</v>
      </c>
      <c r="E89" s="28">
        <v>1750</v>
      </c>
      <c r="F89" s="28">
        <v>2800</v>
      </c>
      <c r="G89" s="28">
        <v>1900</v>
      </c>
      <c r="H89" s="28">
        <v>20</v>
      </c>
      <c r="I89" s="28">
        <v>2800</v>
      </c>
      <c r="J89" s="28">
        <v>120</v>
      </c>
      <c r="K89" s="28">
        <v>4091</v>
      </c>
      <c r="L89" s="28">
        <v>16</v>
      </c>
      <c r="M89" s="28">
        <v>20</v>
      </c>
      <c r="N89" s="28">
        <v>20</v>
      </c>
      <c r="O89" s="28">
        <v>20</v>
      </c>
      <c r="P89" s="27" t="s">
        <v>77</v>
      </c>
      <c r="Q89" s="27" t="s">
        <v>76</v>
      </c>
      <c r="R89" s="27" t="s">
        <v>77</v>
      </c>
      <c r="S89" s="27" t="s">
        <v>83</v>
      </c>
      <c r="T89" s="27" t="s">
        <v>77</v>
      </c>
      <c r="U89" s="27" t="s">
        <v>157</v>
      </c>
      <c r="V89" s="27"/>
      <c r="W89" s="27"/>
      <c r="X89" s="27" t="s">
        <v>79</v>
      </c>
      <c r="Y89" s="27" t="s">
        <v>85</v>
      </c>
      <c r="Z89" s="27"/>
      <c r="AA89" s="27"/>
    </row>
    <row r="90" spans="1:27">
      <c r="A90" s="42">
        <v>88</v>
      </c>
      <c r="B90" s="26" t="s">
        <v>419</v>
      </c>
      <c r="C90" s="29">
        <v>0</v>
      </c>
      <c r="D90" s="29">
        <f t="shared" si="6"/>
        <v>1730</v>
      </c>
      <c r="E90" s="38">
        <v>1750</v>
      </c>
      <c r="F90" s="38">
        <v>2800</v>
      </c>
      <c r="G90" s="38">
        <v>1900</v>
      </c>
      <c r="H90" s="38">
        <v>20</v>
      </c>
      <c r="I90" s="38">
        <v>2800</v>
      </c>
      <c r="J90" s="38">
        <v>120</v>
      </c>
      <c r="K90" s="38">
        <v>4067</v>
      </c>
      <c r="L90" s="38">
        <v>16</v>
      </c>
      <c r="M90" s="38">
        <v>20</v>
      </c>
      <c r="N90" s="38">
        <v>20</v>
      </c>
      <c r="O90" s="38">
        <v>20</v>
      </c>
      <c r="P90" s="39" t="s">
        <v>77</v>
      </c>
      <c r="Q90" s="39" t="s">
        <v>76</v>
      </c>
      <c r="R90" s="39" t="s">
        <v>77</v>
      </c>
      <c r="S90" s="39" t="s">
        <v>83</v>
      </c>
      <c r="T90" s="39" t="s">
        <v>77</v>
      </c>
      <c r="U90" s="39" t="s">
        <v>157</v>
      </c>
      <c r="V90" s="27"/>
      <c r="W90" s="27"/>
      <c r="X90" s="27" t="s">
        <v>79</v>
      </c>
      <c r="Y90" s="27" t="s">
        <v>85</v>
      </c>
      <c r="Z90" s="27"/>
      <c r="AA90" s="27"/>
    </row>
    <row r="91" spans="1:27">
      <c r="A91" s="42">
        <v>89</v>
      </c>
      <c r="B91" s="26" t="s">
        <v>420</v>
      </c>
      <c r="C91" s="29">
        <v>0</v>
      </c>
      <c r="D91" s="29">
        <f t="shared" si="6"/>
        <v>1730</v>
      </c>
      <c r="E91" s="28">
        <v>1750</v>
      </c>
      <c r="F91" s="28">
        <v>2800</v>
      </c>
      <c r="G91" s="28">
        <v>1900</v>
      </c>
      <c r="H91" s="28">
        <v>20</v>
      </c>
      <c r="I91" s="28">
        <v>2800</v>
      </c>
      <c r="J91" s="28">
        <v>120</v>
      </c>
      <c r="K91" s="28">
        <v>4046</v>
      </c>
      <c r="L91" s="28">
        <v>16</v>
      </c>
      <c r="M91" s="28">
        <v>20</v>
      </c>
      <c r="N91" s="28">
        <v>20</v>
      </c>
      <c r="O91" s="28">
        <v>20</v>
      </c>
      <c r="P91" s="27" t="s">
        <v>77</v>
      </c>
      <c r="Q91" s="27" t="s">
        <v>76</v>
      </c>
      <c r="R91" s="27" t="s">
        <v>77</v>
      </c>
      <c r="S91" s="27" t="s">
        <v>83</v>
      </c>
      <c r="T91" s="27" t="s">
        <v>77</v>
      </c>
      <c r="U91" s="27" t="s">
        <v>157</v>
      </c>
      <c r="V91" s="27"/>
      <c r="W91" s="27"/>
      <c r="X91" s="27" t="s">
        <v>79</v>
      </c>
      <c r="Y91" s="27" t="s">
        <v>85</v>
      </c>
      <c r="Z91" s="27"/>
      <c r="AA91" s="27"/>
    </row>
    <row r="92" spans="1:27">
      <c r="A92" s="42">
        <v>90</v>
      </c>
      <c r="B92" s="26" t="s">
        <v>421</v>
      </c>
      <c r="C92" s="29">
        <v>0</v>
      </c>
      <c r="D92" s="29">
        <f t="shared" si="6"/>
        <v>1730</v>
      </c>
      <c r="E92" s="28">
        <v>1750</v>
      </c>
      <c r="F92" s="28">
        <v>2800</v>
      </c>
      <c r="G92" s="28">
        <v>1900</v>
      </c>
      <c r="H92" s="28">
        <v>20</v>
      </c>
      <c r="I92" s="28">
        <v>2800</v>
      </c>
      <c r="J92" s="28">
        <v>120</v>
      </c>
      <c r="K92" s="28">
        <v>4029</v>
      </c>
      <c r="L92" s="28">
        <v>16</v>
      </c>
      <c r="M92" s="28">
        <v>20</v>
      </c>
      <c r="N92" s="28">
        <v>20</v>
      </c>
      <c r="O92" s="28">
        <v>20</v>
      </c>
      <c r="P92" s="27" t="s">
        <v>77</v>
      </c>
      <c r="Q92" s="27" t="s">
        <v>76</v>
      </c>
      <c r="R92" s="27" t="s">
        <v>77</v>
      </c>
      <c r="S92" s="27" t="s">
        <v>83</v>
      </c>
      <c r="T92" s="27" t="s">
        <v>77</v>
      </c>
      <c r="U92" s="27" t="s">
        <v>157</v>
      </c>
      <c r="V92" s="27"/>
      <c r="W92" s="27"/>
      <c r="X92" s="27" t="s">
        <v>79</v>
      </c>
      <c r="Y92" s="27" t="s">
        <v>85</v>
      </c>
      <c r="Z92" s="27"/>
      <c r="AA92" s="27"/>
    </row>
    <row r="93" spans="1:27">
      <c r="A93" s="42">
        <v>91</v>
      </c>
      <c r="B93" s="26" t="s">
        <v>422</v>
      </c>
      <c r="C93" s="29">
        <v>0</v>
      </c>
      <c r="D93" s="29">
        <f t="shared" si="6"/>
        <v>1730</v>
      </c>
      <c r="E93" s="28">
        <v>1750</v>
      </c>
      <c r="F93" s="28">
        <v>2800</v>
      </c>
      <c r="G93" s="28">
        <v>1900</v>
      </c>
      <c r="H93" s="28">
        <v>20</v>
      </c>
      <c r="I93" s="28">
        <v>2800</v>
      </c>
      <c r="J93" s="28">
        <v>120</v>
      </c>
      <c r="K93" s="28">
        <v>4016</v>
      </c>
      <c r="L93" s="28">
        <v>16</v>
      </c>
      <c r="M93" s="28">
        <v>20</v>
      </c>
      <c r="N93" s="28">
        <v>20</v>
      </c>
      <c r="O93" s="28">
        <v>20</v>
      </c>
      <c r="P93" s="27" t="s">
        <v>77</v>
      </c>
      <c r="Q93" s="27" t="s">
        <v>76</v>
      </c>
      <c r="R93" s="27" t="s">
        <v>77</v>
      </c>
      <c r="S93" s="27" t="s">
        <v>83</v>
      </c>
      <c r="T93" s="27" t="s">
        <v>77</v>
      </c>
      <c r="U93" s="27" t="s">
        <v>157</v>
      </c>
      <c r="V93" s="27"/>
      <c r="W93" s="27"/>
      <c r="X93" s="27" t="s">
        <v>79</v>
      </c>
      <c r="Y93" s="27" t="s">
        <v>85</v>
      </c>
      <c r="Z93" s="27"/>
      <c r="AA93" s="27"/>
    </row>
    <row r="94" spans="1:27">
      <c r="A94" s="42">
        <v>92</v>
      </c>
      <c r="B94" s="26" t="s">
        <v>423</v>
      </c>
      <c r="C94" s="29">
        <v>0</v>
      </c>
      <c r="D94" s="29">
        <f t="shared" si="6"/>
        <v>1730</v>
      </c>
      <c r="E94" s="38">
        <v>1750</v>
      </c>
      <c r="F94" s="38">
        <v>2800</v>
      </c>
      <c r="G94" s="38">
        <v>1900</v>
      </c>
      <c r="H94" s="38">
        <v>20</v>
      </c>
      <c r="I94" s="38">
        <v>2800</v>
      </c>
      <c r="J94" s="38">
        <v>120</v>
      </c>
      <c r="K94" s="38">
        <v>4007</v>
      </c>
      <c r="L94" s="38">
        <v>16</v>
      </c>
      <c r="M94" s="38">
        <v>20</v>
      </c>
      <c r="N94" s="38">
        <v>20</v>
      </c>
      <c r="O94" s="38">
        <v>20</v>
      </c>
      <c r="P94" s="39" t="s">
        <v>77</v>
      </c>
      <c r="Q94" s="39" t="s">
        <v>76</v>
      </c>
      <c r="R94" s="39" t="s">
        <v>77</v>
      </c>
      <c r="S94" s="39" t="s">
        <v>83</v>
      </c>
      <c r="T94" s="39" t="s">
        <v>77</v>
      </c>
      <c r="U94" s="39" t="s">
        <v>157</v>
      </c>
      <c r="V94" s="27"/>
      <c r="W94" s="27"/>
      <c r="X94" s="27" t="s">
        <v>79</v>
      </c>
      <c r="Y94" s="27" t="s">
        <v>85</v>
      </c>
      <c r="Z94" s="27"/>
      <c r="AA94" s="27"/>
    </row>
    <row r="95" spans="1:27">
      <c r="A95" s="42">
        <v>93</v>
      </c>
      <c r="B95" s="26" t="s">
        <v>424</v>
      </c>
      <c r="C95" s="29">
        <v>0</v>
      </c>
      <c r="D95" s="29">
        <f t="shared" si="6"/>
        <v>1730</v>
      </c>
      <c r="E95" s="28">
        <v>1750</v>
      </c>
      <c r="F95" s="28">
        <v>2800</v>
      </c>
      <c r="G95" s="28">
        <v>1900</v>
      </c>
      <c r="H95" s="28">
        <v>20</v>
      </c>
      <c r="I95" s="28">
        <v>2800</v>
      </c>
      <c r="J95" s="28">
        <v>120</v>
      </c>
      <c r="K95" s="28">
        <v>4002</v>
      </c>
      <c r="L95" s="28">
        <v>16</v>
      </c>
      <c r="M95" s="28">
        <v>20</v>
      </c>
      <c r="N95" s="28">
        <v>20</v>
      </c>
      <c r="O95" s="28">
        <v>20</v>
      </c>
      <c r="P95" s="27" t="s">
        <v>77</v>
      </c>
      <c r="Q95" s="27" t="s">
        <v>76</v>
      </c>
      <c r="R95" s="27" t="s">
        <v>77</v>
      </c>
      <c r="S95" s="27" t="s">
        <v>83</v>
      </c>
      <c r="T95" s="27" t="s">
        <v>77</v>
      </c>
      <c r="U95" s="27" t="s">
        <v>157</v>
      </c>
      <c r="V95" s="27"/>
      <c r="W95" s="27"/>
      <c r="X95" s="27" t="s">
        <v>79</v>
      </c>
      <c r="Y95" s="27" t="s">
        <v>85</v>
      </c>
      <c r="Z95" s="27"/>
      <c r="AA95" s="27"/>
    </row>
    <row r="96" spans="1:27">
      <c r="A96" s="42">
        <v>94</v>
      </c>
      <c r="B96" s="26" t="s">
        <v>425</v>
      </c>
      <c r="C96" s="29">
        <v>0</v>
      </c>
      <c r="D96" s="29">
        <f t="shared" si="6"/>
        <v>1730</v>
      </c>
      <c r="E96" s="28">
        <v>1750</v>
      </c>
      <c r="F96" s="28">
        <v>2800</v>
      </c>
      <c r="G96" s="28">
        <v>1900</v>
      </c>
      <c r="H96" s="28">
        <v>20</v>
      </c>
      <c r="I96" s="28">
        <v>2800</v>
      </c>
      <c r="J96" s="28">
        <v>120</v>
      </c>
      <c r="K96" s="28">
        <v>4000</v>
      </c>
      <c r="L96" s="28">
        <v>16</v>
      </c>
      <c r="M96" s="28">
        <v>20</v>
      </c>
      <c r="N96" s="28">
        <v>20</v>
      </c>
      <c r="O96" s="28">
        <v>20</v>
      </c>
      <c r="P96" s="27" t="s">
        <v>77</v>
      </c>
      <c r="Q96" s="27" t="s">
        <v>76</v>
      </c>
      <c r="R96" s="27" t="s">
        <v>77</v>
      </c>
      <c r="S96" s="27" t="s">
        <v>83</v>
      </c>
      <c r="T96" s="27" t="s">
        <v>77</v>
      </c>
      <c r="U96" s="27" t="s">
        <v>157</v>
      </c>
      <c r="V96" s="27"/>
      <c r="W96" s="27"/>
      <c r="X96" s="27" t="s">
        <v>79</v>
      </c>
      <c r="Y96" s="27" t="s">
        <v>85</v>
      </c>
      <c r="Z96" s="27"/>
      <c r="AA96" s="27"/>
    </row>
    <row r="97" spans="1:27">
      <c r="A97" s="42">
        <v>95</v>
      </c>
      <c r="B97" s="26" t="s">
        <v>426</v>
      </c>
      <c r="C97" s="29">
        <v>0</v>
      </c>
      <c r="D97" s="29">
        <f t="shared" si="6"/>
        <v>1730</v>
      </c>
      <c r="E97" s="28">
        <v>1750</v>
      </c>
      <c r="F97" s="28">
        <v>2800</v>
      </c>
      <c r="G97" s="28">
        <v>1900</v>
      </c>
      <c r="H97" s="28">
        <v>20</v>
      </c>
      <c r="I97" s="28">
        <v>2800</v>
      </c>
      <c r="J97" s="28">
        <v>120</v>
      </c>
      <c r="K97" s="28">
        <v>4002</v>
      </c>
      <c r="L97" s="28">
        <v>16</v>
      </c>
      <c r="M97" s="28">
        <v>20</v>
      </c>
      <c r="N97" s="28">
        <v>20</v>
      </c>
      <c r="O97" s="28">
        <v>20</v>
      </c>
      <c r="P97" s="27" t="s">
        <v>77</v>
      </c>
      <c r="Q97" s="27" t="s">
        <v>76</v>
      </c>
      <c r="R97" s="27" t="s">
        <v>77</v>
      </c>
      <c r="S97" s="27" t="s">
        <v>83</v>
      </c>
      <c r="T97" s="27" t="s">
        <v>77</v>
      </c>
      <c r="U97" s="27" t="s">
        <v>157</v>
      </c>
      <c r="V97" s="27"/>
      <c r="W97" s="27"/>
      <c r="X97" s="27" t="s">
        <v>79</v>
      </c>
      <c r="Y97" s="27" t="s">
        <v>85</v>
      </c>
      <c r="Z97" s="27"/>
      <c r="AA97" s="27"/>
    </row>
    <row r="98" spans="1:27" s="43" customFormat="1">
      <c r="A98" s="41">
        <v>96</v>
      </c>
      <c r="B98" s="33" t="s">
        <v>427</v>
      </c>
      <c r="C98" s="37">
        <v>0</v>
      </c>
      <c r="D98" s="37">
        <f t="shared" si="6"/>
        <v>1730</v>
      </c>
      <c r="E98" s="38">
        <v>1750</v>
      </c>
      <c r="F98" s="38">
        <v>2800</v>
      </c>
      <c r="G98" s="38">
        <v>1900</v>
      </c>
      <c r="H98" s="38">
        <v>20</v>
      </c>
      <c r="I98" s="38">
        <v>2800</v>
      </c>
      <c r="J98" s="38">
        <v>120</v>
      </c>
      <c r="K98" s="38">
        <v>4007</v>
      </c>
      <c r="L98" s="38">
        <v>16</v>
      </c>
      <c r="M98" s="38">
        <v>20</v>
      </c>
      <c r="N98" s="38">
        <v>20</v>
      </c>
      <c r="O98" s="38">
        <v>20</v>
      </c>
      <c r="P98" s="39" t="s">
        <v>77</v>
      </c>
      <c r="Q98" s="39" t="s">
        <v>76</v>
      </c>
      <c r="R98" s="39" t="s">
        <v>77</v>
      </c>
      <c r="S98" s="39" t="s">
        <v>83</v>
      </c>
      <c r="T98" s="39" t="s">
        <v>77</v>
      </c>
      <c r="U98" s="39" t="s">
        <v>157</v>
      </c>
      <c r="V98" s="39"/>
      <c r="W98" s="39"/>
      <c r="X98" s="39" t="s">
        <v>79</v>
      </c>
      <c r="Y98" s="39" t="s">
        <v>85</v>
      </c>
      <c r="Z98" s="39"/>
      <c r="AA98" s="39"/>
    </row>
    <row r="99" spans="1:27">
      <c r="A99" s="42">
        <v>97</v>
      </c>
      <c r="B99" s="26" t="s">
        <v>428</v>
      </c>
      <c r="C99" s="29">
        <v>0</v>
      </c>
      <c r="D99" s="29">
        <f t="shared" si="6"/>
        <v>1730</v>
      </c>
      <c r="E99" s="28">
        <v>1750</v>
      </c>
      <c r="F99" s="28">
        <v>2800</v>
      </c>
      <c r="G99" s="28">
        <v>1900</v>
      </c>
      <c r="H99" s="28">
        <v>20</v>
      </c>
      <c r="I99" s="28">
        <v>2800</v>
      </c>
      <c r="J99" s="28">
        <v>120</v>
      </c>
      <c r="K99" s="28">
        <v>4016</v>
      </c>
      <c r="L99" s="28">
        <v>16</v>
      </c>
      <c r="M99" s="28">
        <v>20</v>
      </c>
      <c r="N99" s="28">
        <v>20</v>
      </c>
      <c r="O99" s="28">
        <v>20</v>
      </c>
      <c r="P99" s="27" t="s">
        <v>77</v>
      </c>
      <c r="Q99" s="27" t="s">
        <v>76</v>
      </c>
      <c r="R99" s="27" t="s">
        <v>77</v>
      </c>
      <c r="S99" s="27" t="s">
        <v>83</v>
      </c>
      <c r="T99" s="27" t="s">
        <v>77</v>
      </c>
      <c r="U99" s="27" t="s">
        <v>157</v>
      </c>
      <c r="V99" s="27"/>
      <c r="W99" s="27"/>
      <c r="X99" s="27" t="s">
        <v>79</v>
      </c>
      <c r="Y99" s="27" t="s">
        <v>85</v>
      </c>
      <c r="Z99" s="27"/>
      <c r="AA99" s="27"/>
    </row>
    <row r="100" spans="1:27">
      <c r="A100" s="42">
        <v>98</v>
      </c>
      <c r="B100" s="26" t="s">
        <v>429</v>
      </c>
      <c r="C100" s="29">
        <v>0</v>
      </c>
      <c r="D100" s="29">
        <f t="shared" si="6"/>
        <v>1730</v>
      </c>
      <c r="E100" s="28">
        <v>1750</v>
      </c>
      <c r="F100" s="28">
        <v>2800</v>
      </c>
      <c r="G100" s="28">
        <v>1900</v>
      </c>
      <c r="H100" s="28">
        <v>20</v>
      </c>
      <c r="I100" s="28">
        <v>2800</v>
      </c>
      <c r="J100" s="28">
        <v>120</v>
      </c>
      <c r="K100" s="28">
        <v>4029</v>
      </c>
      <c r="L100" s="28">
        <v>16</v>
      </c>
      <c r="M100" s="28">
        <v>20</v>
      </c>
      <c r="N100" s="28">
        <v>20</v>
      </c>
      <c r="O100" s="28">
        <v>20</v>
      </c>
      <c r="P100" s="27" t="s">
        <v>77</v>
      </c>
      <c r="Q100" s="27" t="s">
        <v>76</v>
      </c>
      <c r="R100" s="27" t="s">
        <v>77</v>
      </c>
      <c r="S100" s="27" t="s">
        <v>83</v>
      </c>
      <c r="T100" s="27" t="s">
        <v>77</v>
      </c>
      <c r="U100" s="27" t="s">
        <v>157</v>
      </c>
      <c r="V100" s="27"/>
      <c r="W100" s="27"/>
      <c r="X100" s="27" t="s">
        <v>79</v>
      </c>
      <c r="Y100" s="27" t="s">
        <v>85</v>
      </c>
      <c r="Z100" s="27"/>
      <c r="AA100" s="27"/>
    </row>
    <row r="101" spans="1:27">
      <c r="A101" s="42">
        <v>99</v>
      </c>
      <c r="B101" s="26" t="s">
        <v>430</v>
      </c>
      <c r="C101" s="29">
        <v>0</v>
      </c>
      <c r="D101" s="29">
        <f t="shared" si="6"/>
        <v>1730</v>
      </c>
      <c r="E101" s="28">
        <v>1750</v>
      </c>
      <c r="F101" s="28">
        <v>2800</v>
      </c>
      <c r="G101" s="28">
        <v>1900</v>
      </c>
      <c r="H101" s="28">
        <v>20</v>
      </c>
      <c r="I101" s="28">
        <v>2800</v>
      </c>
      <c r="J101" s="28">
        <v>120</v>
      </c>
      <c r="K101" s="28">
        <v>4046</v>
      </c>
      <c r="L101" s="28">
        <v>16</v>
      </c>
      <c r="M101" s="28">
        <v>20</v>
      </c>
      <c r="N101" s="28">
        <v>20</v>
      </c>
      <c r="O101" s="28">
        <v>20</v>
      </c>
      <c r="P101" s="27" t="s">
        <v>77</v>
      </c>
      <c r="Q101" s="27" t="s">
        <v>76</v>
      </c>
      <c r="R101" s="27" t="s">
        <v>77</v>
      </c>
      <c r="S101" s="27" t="s">
        <v>83</v>
      </c>
      <c r="T101" s="27" t="s">
        <v>77</v>
      </c>
      <c r="U101" s="27" t="s">
        <v>157</v>
      </c>
      <c r="V101" s="27"/>
      <c r="W101" s="27"/>
      <c r="X101" s="27" t="s">
        <v>79</v>
      </c>
      <c r="Y101" s="27" t="s">
        <v>85</v>
      </c>
      <c r="Z101" s="27"/>
      <c r="AA101" s="27"/>
    </row>
    <row r="102" spans="1:27">
      <c r="A102" s="42">
        <v>100</v>
      </c>
      <c r="B102" s="26" t="s">
        <v>431</v>
      </c>
      <c r="C102" s="29">
        <v>0</v>
      </c>
      <c r="D102" s="29">
        <f t="shared" si="6"/>
        <v>1730</v>
      </c>
      <c r="E102" s="38">
        <v>1750</v>
      </c>
      <c r="F102" s="38">
        <v>2800</v>
      </c>
      <c r="G102" s="38">
        <v>1900</v>
      </c>
      <c r="H102" s="38">
        <v>20</v>
      </c>
      <c r="I102" s="38">
        <v>2800</v>
      </c>
      <c r="J102" s="38">
        <v>120</v>
      </c>
      <c r="K102" s="38">
        <v>4067</v>
      </c>
      <c r="L102" s="38">
        <v>16</v>
      </c>
      <c r="M102" s="38">
        <v>20</v>
      </c>
      <c r="N102" s="38">
        <v>20</v>
      </c>
      <c r="O102" s="38">
        <v>20</v>
      </c>
      <c r="P102" s="39" t="s">
        <v>77</v>
      </c>
      <c r="Q102" s="39" t="s">
        <v>76</v>
      </c>
      <c r="R102" s="39" t="s">
        <v>77</v>
      </c>
      <c r="S102" s="39" t="s">
        <v>83</v>
      </c>
      <c r="T102" s="39" t="s">
        <v>77</v>
      </c>
      <c r="U102" s="39" t="s">
        <v>157</v>
      </c>
      <c r="V102" s="27"/>
      <c r="W102" s="27"/>
      <c r="X102" s="27" t="s">
        <v>79</v>
      </c>
      <c r="Y102" s="27" t="s">
        <v>85</v>
      </c>
      <c r="Z102" s="27"/>
      <c r="AA102" s="27"/>
    </row>
    <row r="103" spans="1:27">
      <c r="A103" s="42">
        <v>101</v>
      </c>
      <c r="B103" s="26" t="s">
        <v>432</v>
      </c>
      <c r="C103" s="29">
        <v>0</v>
      </c>
      <c r="D103" s="29">
        <f t="shared" si="6"/>
        <v>1730</v>
      </c>
      <c r="E103" s="28">
        <v>1750</v>
      </c>
      <c r="F103" s="28">
        <v>2800</v>
      </c>
      <c r="G103" s="28">
        <v>1900</v>
      </c>
      <c r="H103" s="28">
        <v>20</v>
      </c>
      <c r="I103" s="28">
        <v>2800</v>
      </c>
      <c r="J103" s="28">
        <v>120</v>
      </c>
      <c r="K103" s="28">
        <v>4091</v>
      </c>
      <c r="L103" s="28">
        <v>16</v>
      </c>
      <c r="M103" s="28">
        <v>20</v>
      </c>
      <c r="N103" s="28">
        <v>20</v>
      </c>
      <c r="O103" s="28">
        <v>20</v>
      </c>
      <c r="P103" s="27" t="s">
        <v>77</v>
      </c>
      <c r="Q103" s="27" t="s">
        <v>76</v>
      </c>
      <c r="R103" s="27" t="s">
        <v>77</v>
      </c>
      <c r="S103" s="27" t="s">
        <v>83</v>
      </c>
      <c r="T103" s="27" t="s">
        <v>77</v>
      </c>
      <c r="U103" s="27" t="s">
        <v>157</v>
      </c>
      <c r="V103" s="27"/>
      <c r="W103" s="27"/>
      <c r="X103" s="27" t="s">
        <v>79</v>
      </c>
      <c r="Y103" s="27" t="s">
        <v>85</v>
      </c>
      <c r="Z103" s="27"/>
      <c r="AA103" s="27"/>
    </row>
    <row r="104" spans="1:27">
      <c r="A104" s="42">
        <v>102</v>
      </c>
      <c r="B104" s="26" t="s">
        <v>433</v>
      </c>
      <c r="C104" s="29">
        <v>0</v>
      </c>
      <c r="D104" s="29">
        <f t="shared" si="6"/>
        <v>1730</v>
      </c>
      <c r="E104" s="28">
        <v>1750</v>
      </c>
      <c r="F104" s="28">
        <v>2800</v>
      </c>
      <c r="G104" s="28">
        <v>1900</v>
      </c>
      <c r="H104" s="28">
        <v>20</v>
      </c>
      <c r="I104" s="28">
        <v>2800</v>
      </c>
      <c r="J104" s="28">
        <v>120</v>
      </c>
      <c r="K104" s="28">
        <v>4120</v>
      </c>
      <c r="L104" s="28">
        <v>16</v>
      </c>
      <c r="M104" s="28">
        <v>20</v>
      </c>
      <c r="N104" s="28">
        <v>20</v>
      </c>
      <c r="O104" s="28">
        <v>20</v>
      </c>
      <c r="P104" s="27" t="s">
        <v>77</v>
      </c>
      <c r="Q104" s="27" t="s">
        <v>76</v>
      </c>
      <c r="R104" s="27" t="s">
        <v>77</v>
      </c>
      <c r="S104" s="27" t="s">
        <v>83</v>
      </c>
      <c r="T104" s="27" t="s">
        <v>77</v>
      </c>
      <c r="U104" s="27" t="s">
        <v>157</v>
      </c>
      <c r="V104" s="27"/>
      <c r="W104" s="27"/>
      <c r="X104" s="27" t="s">
        <v>79</v>
      </c>
      <c r="Y104" s="27" t="s">
        <v>85</v>
      </c>
      <c r="Z104" s="27"/>
      <c r="AA104" s="27"/>
    </row>
    <row r="105" spans="1:27">
      <c r="A105" s="42">
        <v>103</v>
      </c>
      <c r="B105" s="26" t="s">
        <v>434</v>
      </c>
      <c r="C105" s="29">
        <v>0</v>
      </c>
      <c r="D105" s="29">
        <f t="shared" si="6"/>
        <v>1730</v>
      </c>
      <c r="E105" s="28">
        <v>1750</v>
      </c>
      <c r="F105" s="28">
        <v>2800</v>
      </c>
      <c r="G105" s="28">
        <v>1900</v>
      </c>
      <c r="H105" s="28">
        <v>20</v>
      </c>
      <c r="I105" s="28">
        <v>2800</v>
      </c>
      <c r="J105" s="28">
        <v>120</v>
      </c>
      <c r="K105" s="28">
        <v>4152</v>
      </c>
      <c r="L105" s="28">
        <v>16</v>
      </c>
      <c r="M105" s="28">
        <v>20</v>
      </c>
      <c r="N105" s="28">
        <v>20</v>
      </c>
      <c r="O105" s="28">
        <v>20</v>
      </c>
      <c r="P105" s="27" t="s">
        <v>77</v>
      </c>
      <c r="Q105" s="27" t="s">
        <v>76</v>
      </c>
      <c r="R105" s="27" t="s">
        <v>77</v>
      </c>
      <c r="S105" s="27" t="s">
        <v>83</v>
      </c>
      <c r="T105" s="27" t="s">
        <v>77</v>
      </c>
      <c r="U105" s="27" t="s">
        <v>157</v>
      </c>
      <c r="V105" s="27"/>
      <c r="W105" s="27"/>
      <c r="X105" s="27" t="s">
        <v>79</v>
      </c>
      <c r="Y105" s="27" t="s">
        <v>85</v>
      </c>
      <c r="Z105" s="27"/>
      <c r="AA105" s="27"/>
    </row>
    <row r="106" spans="1:27">
      <c r="A106" s="42">
        <v>104</v>
      </c>
      <c r="B106" s="26" t="s">
        <v>435</v>
      </c>
      <c r="C106" s="29">
        <v>0</v>
      </c>
      <c r="D106" s="29">
        <f t="shared" si="6"/>
        <v>1730</v>
      </c>
      <c r="E106" s="38">
        <v>1750</v>
      </c>
      <c r="F106" s="38">
        <v>2800</v>
      </c>
      <c r="G106" s="38">
        <v>1900</v>
      </c>
      <c r="H106" s="38">
        <v>20</v>
      </c>
      <c r="I106" s="38">
        <v>2800</v>
      </c>
      <c r="J106" s="38">
        <v>120</v>
      </c>
      <c r="K106" s="38">
        <v>4188</v>
      </c>
      <c r="L106" s="38">
        <v>16</v>
      </c>
      <c r="M106" s="38">
        <v>20</v>
      </c>
      <c r="N106" s="38">
        <v>20</v>
      </c>
      <c r="O106" s="38">
        <v>20</v>
      </c>
      <c r="P106" s="39" t="s">
        <v>77</v>
      </c>
      <c r="Q106" s="39" t="s">
        <v>76</v>
      </c>
      <c r="R106" s="39" t="s">
        <v>77</v>
      </c>
      <c r="S106" s="39" t="s">
        <v>83</v>
      </c>
      <c r="T106" s="39" t="s">
        <v>77</v>
      </c>
      <c r="U106" s="39" t="s">
        <v>157</v>
      </c>
      <c r="V106" s="27"/>
      <c r="W106" s="27"/>
      <c r="X106" s="27" t="s">
        <v>79</v>
      </c>
      <c r="Y106" s="27" t="s">
        <v>85</v>
      </c>
      <c r="Z106" s="27"/>
      <c r="AA106" s="27"/>
    </row>
    <row r="107" spans="1:27">
      <c r="A107" s="42">
        <v>105</v>
      </c>
      <c r="B107" s="26" t="s">
        <v>436</v>
      </c>
      <c r="C107" s="29">
        <v>0</v>
      </c>
      <c r="D107" s="29">
        <f t="shared" si="6"/>
        <v>1730</v>
      </c>
      <c r="E107" s="28">
        <v>1750</v>
      </c>
      <c r="F107" s="28">
        <v>2800</v>
      </c>
      <c r="G107" s="28">
        <v>1900</v>
      </c>
      <c r="H107" s="28">
        <v>20</v>
      </c>
      <c r="I107" s="28">
        <v>2800</v>
      </c>
      <c r="J107" s="28">
        <v>120</v>
      </c>
      <c r="K107" s="28">
        <v>4228</v>
      </c>
      <c r="L107" s="28">
        <v>16</v>
      </c>
      <c r="M107" s="28">
        <v>20</v>
      </c>
      <c r="N107" s="28">
        <v>20</v>
      </c>
      <c r="O107" s="28">
        <v>20</v>
      </c>
      <c r="P107" s="27" t="s">
        <v>77</v>
      </c>
      <c r="Q107" s="27" t="s">
        <v>76</v>
      </c>
      <c r="R107" s="27" t="s">
        <v>77</v>
      </c>
      <c r="S107" s="27" t="s">
        <v>83</v>
      </c>
      <c r="T107" s="27" t="s">
        <v>77</v>
      </c>
      <c r="U107" s="27" t="s">
        <v>157</v>
      </c>
      <c r="V107" s="27"/>
      <c r="W107" s="27"/>
      <c r="X107" s="27" t="s">
        <v>79</v>
      </c>
      <c r="Y107" s="27" t="s">
        <v>85</v>
      </c>
      <c r="Z107" s="27"/>
      <c r="AA107" s="27"/>
    </row>
    <row r="108" spans="1:27">
      <c r="A108" s="42">
        <v>106</v>
      </c>
      <c r="B108" s="26" t="s">
        <v>437</v>
      </c>
      <c r="C108" s="29">
        <v>0</v>
      </c>
      <c r="D108" s="29">
        <f t="shared" si="6"/>
        <v>1730</v>
      </c>
      <c r="E108" s="28">
        <v>1750</v>
      </c>
      <c r="F108" s="28">
        <v>2800</v>
      </c>
      <c r="G108" s="28">
        <v>1900</v>
      </c>
      <c r="H108" s="28">
        <v>20</v>
      </c>
      <c r="I108" s="28">
        <v>2800</v>
      </c>
      <c r="J108" s="28">
        <v>120</v>
      </c>
      <c r="K108" s="28">
        <v>4272</v>
      </c>
      <c r="L108" s="28">
        <v>16</v>
      </c>
      <c r="M108" s="28">
        <v>20</v>
      </c>
      <c r="N108" s="28">
        <v>20</v>
      </c>
      <c r="O108" s="28">
        <v>20</v>
      </c>
      <c r="P108" s="27" t="s">
        <v>77</v>
      </c>
      <c r="Q108" s="27" t="s">
        <v>76</v>
      </c>
      <c r="R108" s="27" t="s">
        <v>77</v>
      </c>
      <c r="S108" s="27" t="s">
        <v>83</v>
      </c>
      <c r="T108" s="27" t="s">
        <v>77</v>
      </c>
      <c r="U108" s="27" t="s">
        <v>157</v>
      </c>
      <c r="V108" s="27"/>
      <c r="W108" s="27"/>
      <c r="X108" s="27" t="s">
        <v>79</v>
      </c>
      <c r="Y108" s="27" t="s">
        <v>85</v>
      </c>
      <c r="Z108" s="27"/>
      <c r="AA108" s="27"/>
    </row>
    <row r="109" spans="1:27">
      <c r="A109" s="42">
        <v>107</v>
      </c>
      <c r="B109" s="26" t="s">
        <v>438</v>
      </c>
      <c r="C109" s="29">
        <v>0</v>
      </c>
      <c r="D109" s="29">
        <f t="shared" si="6"/>
        <v>1730</v>
      </c>
      <c r="E109" s="28">
        <v>1750</v>
      </c>
      <c r="F109" s="28">
        <v>2800</v>
      </c>
      <c r="G109" s="28">
        <v>1900</v>
      </c>
      <c r="H109" s="28">
        <v>20</v>
      </c>
      <c r="I109" s="28">
        <v>2800</v>
      </c>
      <c r="J109" s="28">
        <v>120</v>
      </c>
      <c r="K109" s="28">
        <v>4320</v>
      </c>
      <c r="L109" s="28">
        <v>16</v>
      </c>
      <c r="M109" s="28">
        <v>20</v>
      </c>
      <c r="N109" s="28">
        <v>20</v>
      </c>
      <c r="O109" s="28">
        <v>20</v>
      </c>
      <c r="P109" s="27" t="s">
        <v>77</v>
      </c>
      <c r="Q109" s="27" t="s">
        <v>76</v>
      </c>
      <c r="R109" s="27" t="s">
        <v>77</v>
      </c>
      <c r="S109" s="27" t="s">
        <v>83</v>
      </c>
      <c r="T109" s="27" t="s">
        <v>77</v>
      </c>
      <c r="U109" s="27" t="s">
        <v>157</v>
      </c>
      <c r="V109" s="27"/>
      <c r="W109" s="27"/>
      <c r="X109" s="27" t="s">
        <v>79</v>
      </c>
      <c r="Y109" s="27" t="s">
        <v>85</v>
      </c>
      <c r="Z109" s="27"/>
      <c r="AA109" s="27"/>
    </row>
    <row r="110" spans="1:27">
      <c r="A110" s="42">
        <v>108</v>
      </c>
      <c r="B110" s="26" t="s">
        <v>439</v>
      </c>
      <c r="C110" s="29">
        <v>0</v>
      </c>
      <c r="D110" s="29">
        <f t="shared" si="6"/>
        <v>1730</v>
      </c>
      <c r="E110" s="38">
        <v>1750</v>
      </c>
      <c r="F110" s="38">
        <v>2800</v>
      </c>
      <c r="G110" s="38">
        <v>1900</v>
      </c>
      <c r="H110" s="38">
        <v>20</v>
      </c>
      <c r="I110" s="38">
        <v>2800</v>
      </c>
      <c r="J110" s="38">
        <v>120</v>
      </c>
      <c r="K110" s="38">
        <v>4372</v>
      </c>
      <c r="L110" s="38">
        <v>16</v>
      </c>
      <c r="M110" s="38">
        <v>20</v>
      </c>
      <c r="N110" s="38">
        <v>20</v>
      </c>
      <c r="O110" s="38">
        <v>20</v>
      </c>
      <c r="P110" s="39" t="s">
        <v>77</v>
      </c>
      <c r="Q110" s="39" t="s">
        <v>76</v>
      </c>
      <c r="R110" s="39" t="s">
        <v>77</v>
      </c>
      <c r="S110" s="39" t="s">
        <v>83</v>
      </c>
      <c r="T110" s="39" t="s">
        <v>77</v>
      </c>
      <c r="U110" s="39" t="s">
        <v>157</v>
      </c>
      <c r="V110" s="27"/>
      <c r="W110" s="27"/>
      <c r="X110" s="27" t="s">
        <v>79</v>
      </c>
      <c r="Y110" s="27" t="s">
        <v>85</v>
      </c>
      <c r="Z110" s="27"/>
      <c r="AA110" s="27"/>
    </row>
    <row r="111" spans="1:27">
      <c r="A111" s="42">
        <v>109</v>
      </c>
      <c r="B111" s="26" t="s">
        <v>440</v>
      </c>
      <c r="C111" s="29">
        <v>0</v>
      </c>
      <c r="D111" s="29">
        <f t="shared" si="6"/>
        <v>1730</v>
      </c>
      <c r="E111" s="28">
        <v>1750</v>
      </c>
      <c r="F111" s="28">
        <v>2800</v>
      </c>
      <c r="G111" s="28">
        <v>1900</v>
      </c>
      <c r="H111" s="28">
        <v>20</v>
      </c>
      <c r="I111" s="28">
        <v>2800</v>
      </c>
      <c r="J111" s="28">
        <v>120</v>
      </c>
      <c r="K111" s="28">
        <v>4427</v>
      </c>
      <c r="L111" s="28">
        <v>16</v>
      </c>
      <c r="M111" s="28">
        <v>20</v>
      </c>
      <c r="N111" s="28">
        <v>20</v>
      </c>
      <c r="O111" s="28">
        <v>20</v>
      </c>
      <c r="P111" s="27" t="s">
        <v>77</v>
      </c>
      <c r="Q111" s="27" t="s">
        <v>76</v>
      </c>
      <c r="R111" s="27" t="s">
        <v>77</v>
      </c>
      <c r="S111" s="27" t="s">
        <v>83</v>
      </c>
      <c r="T111" s="27" t="s">
        <v>77</v>
      </c>
      <c r="U111" s="27" t="s">
        <v>157</v>
      </c>
      <c r="V111" s="27"/>
      <c r="W111" s="27"/>
      <c r="X111" s="27" t="s">
        <v>79</v>
      </c>
      <c r="Y111" s="27" t="s">
        <v>85</v>
      </c>
      <c r="Z111" s="27"/>
      <c r="AA111" s="27"/>
    </row>
    <row r="112" spans="1:27">
      <c r="A112" s="42">
        <v>110</v>
      </c>
      <c r="B112" s="26" t="s">
        <v>441</v>
      </c>
      <c r="C112" s="29">
        <v>0</v>
      </c>
      <c r="D112" s="29">
        <f t="shared" si="6"/>
        <v>1730</v>
      </c>
      <c r="E112" s="28">
        <v>1750</v>
      </c>
      <c r="F112" s="28">
        <v>2800</v>
      </c>
      <c r="G112" s="28">
        <v>1900</v>
      </c>
      <c r="H112" s="28">
        <v>20</v>
      </c>
      <c r="I112" s="28">
        <v>2800</v>
      </c>
      <c r="J112" s="28">
        <v>120</v>
      </c>
      <c r="K112" s="28">
        <v>4486</v>
      </c>
      <c r="L112" s="28">
        <v>16</v>
      </c>
      <c r="M112" s="28">
        <v>20</v>
      </c>
      <c r="N112" s="28">
        <v>20</v>
      </c>
      <c r="O112" s="28">
        <v>20</v>
      </c>
      <c r="P112" s="27" t="s">
        <v>77</v>
      </c>
      <c r="Q112" s="27" t="s">
        <v>76</v>
      </c>
      <c r="R112" s="27" t="s">
        <v>77</v>
      </c>
      <c r="S112" s="27" t="s">
        <v>83</v>
      </c>
      <c r="T112" s="27" t="s">
        <v>77</v>
      </c>
      <c r="U112" s="27" t="s">
        <v>157</v>
      </c>
      <c r="V112" s="27"/>
      <c r="W112" s="27"/>
      <c r="X112" s="27" t="s">
        <v>79</v>
      </c>
      <c r="Y112" s="27" t="s">
        <v>85</v>
      </c>
      <c r="Z112" s="27"/>
      <c r="AA112" s="27"/>
    </row>
    <row r="113" spans="1:27">
      <c r="A113" s="42">
        <v>111</v>
      </c>
      <c r="B113" s="26" t="s">
        <v>442</v>
      </c>
      <c r="C113" s="29">
        <v>0</v>
      </c>
      <c r="D113" s="29">
        <f t="shared" si="6"/>
        <v>1730</v>
      </c>
      <c r="E113" s="28">
        <v>1750</v>
      </c>
      <c r="F113" s="28">
        <v>2800</v>
      </c>
      <c r="G113" s="28">
        <v>1900</v>
      </c>
      <c r="H113" s="28">
        <v>20</v>
      </c>
      <c r="I113" s="28">
        <v>2800</v>
      </c>
      <c r="J113" s="28">
        <v>120</v>
      </c>
      <c r="K113" s="28">
        <v>4550</v>
      </c>
      <c r="L113" s="28">
        <v>16</v>
      </c>
      <c r="M113" s="28">
        <v>20</v>
      </c>
      <c r="N113" s="28">
        <v>20</v>
      </c>
      <c r="O113" s="28">
        <v>20</v>
      </c>
      <c r="P113" s="27" t="s">
        <v>77</v>
      </c>
      <c r="Q113" s="27" t="s">
        <v>76</v>
      </c>
      <c r="R113" s="27" t="s">
        <v>77</v>
      </c>
      <c r="S113" s="27" t="s">
        <v>83</v>
      </c>
      <c r="T113" s="27" t="s">
        <v>77</v>
      </c>
      <c r="U113" s="27" t="s">
        <v>157</v>
      </c>
      <c r="V113" s="27"/>
      <c r="W113" s="27"/>
      <c r="X113" s="27" t="s">
        <v>79</v>
      </c>
      <c r="Y113" s="27" t="s">
        <v>85</v>
      </c>
      <c r="Z113" s="27"/>
      <c r="AA113" s="27"/>
    </row>
    <row r="114" spans="1:27">
      <c r="A114" s="42">
        <v>112</v>
      </c>
      <c r="B114" s="26" t="s">
        <v>443</v>
      </c>
      <c r="C114" s="29">
        <v>0</v>
      </c>
      <c r="D114" s="29">
        <f t="shared" si="6"/>
        <v>1730</v>
      </c>
      <c r="E114" s="38">
        <v>1750</v>
      </c>
      <c r="F114" s="38">
        <v>2800</v>
      </c>
      <c r="G114" s="38">
        <v>1900</v>
      </c>
      <c r="H114" s="38">
        <v>20</v>
      </c>
      <c r="I114" s="38">
        <v>2800</v>
      </c>
      <c r="J114" s="38">
        <v>120</v>
      </c>
      <c r="K114" s="38">
        <v>4616</v>
      </c>
      <c r="L114" s="38">
        <v>16</v>
      </c>
      <c r="M114" s="38">
        <v>20</v>
      </c>
      <c r="N114" s="38">
        <v>20</v>
      </c>
      <c r="O114" s="38">
        <v>20</v>
      </c>
      <c r="P114" s="39" t="s">
        <v>77</v>
      </c>
      <c r="Q114" s="39" t="s">
        <v>76</v>
      </c>
      <c r="R114" s="39" t="s">
        <v>77</v>
      </c>
      <c r="S114" s="39" t="s">
        <v>83</v>
      </c>
      <c r="T114" s="39" t="s">
        <v>77</v>
      </c>
      <c r="U114" s="39" t="s">
        <v>157</v>
      </c>
      <c r="V114" s="27"/>
      <c r="W114" s="27"/>
      <c r="X114" s="27" t="s">
        <v>79</v>
      </c>
      <c r="Y114" s="27" t="s">
        <v>85</v>
      </c>
      <c r="Z114" s="27"/>
      <c r="AA114" s="27"/>
    </row>
    <row r="115" spans="1:27">
      <c r="A115" s="42">
        <v>113</v>
      </c>
      <c r="B115" s="26" t="s">
        <v>444</v>
      </c>
      <c r="C115" s="29">
        <v>0</v>
      </c>
      <c r="D115" s="29">
        <f t="shared" si="6"/>
        <v>1730</v>
      </c>
      <c r="E115" s="28">
        <v>1750</v>
      </c>
      <c r="F115" s="28">
        <v>2800</v>
      </c>
      <c r="G115" s="28">
        <v>1900</v>
      </c>
      <c r="H115" s="28">
        <v>20</v>
      </c>
      <c r="I115" s="28">
        <v>2800</v>
      </c>
      <c r="J115" s="28">
        <v>120</v>
      </c>
      <c r="K115" s="28">
        <v>4687</v>
      </c>
      <c r="L115" s="28">
        <v>16</v>
      </c>
      <c r="M115" s="28">
        <v>20</v>
      </c>
      <c r="N115" s="28">
        <v>20</v>
      </c>
      <c r="O115" s="28">
        <v>20</v>
      </c>
      <c r="P115" s="27" t="s">
        <v>77</v>
      </c>
      <c r="Q115" s="27" t="s">
        <v>76</v>
      </c>
      <c r="R115" s="27" t="s">
        <v>77</v>
      </c>
      <c r="S115" s="27" t="s">
        <v>83</v>
      </c>
      <c r="T115" s="27" t="s">
        <v>77</v>
      </c>
      <c r="U115" s="27" t="s">
        <v>157</v>
      </c>
      <c r="V115" s="27"/>
      <c r="W115" s="27"/>
      <c r="X115" s="27" t="s">
        <v>79</v>
      </c>
      <c r="Y115" s="27" t="s">
        <v>85</v>
      </c>
      <c r="Z115" s="27"/>
      <c r="AA115" s="27"/>
    </row>
    <row r="116" spans="1:27">
      <c r="A116" s="42">
        <v>114</v>
      </c>
      <c r="B116" s="26" t="s">
        <v>445</v>
      </c>
      <c r="C116" s="29">
        <v>0</v>
      </c>
      <c r="D116" s="29">
        <f t="shared" si="6"/>
        <v>1730</v>
      </c>
      <c r="E116" s="28">
        <v>1750</v>
      </c>
      <c r="F116" s="28">
        <v>2800</v>
      </c>
      <c r="G116" s="28">
        <v>1900</v>
      </c>
      <c r="H116" s="28">
        <v>20</v>
      </c>
      <c r="I116" s="28">
        <v>2800</v>
      </c>
      <c r="J116" s="28">
        <v>120</v>
      </c>
      <c r="K116" s="28">
        <v>4762</v>
      </c>
      <c r="L116" s="28">
        <v>16</v>
      </c>
      <c r="M116" s="28">
        <v>20</v>
      </c>
      <c r="N116" s="28">
        <v>20</v>
      </c>
      <c r="O116" s="28">
        <v>20</v>
      </c>
      <c r="P116" s="27" t="s">
        <v>77</v>
      </c>
      <c r="Q116" s="27" t="s">
        <v>76</v>
      </c>
      <c r="R116" s="27" t="s">
        <v>77</v>
      </c>
      <c r="S116" s="27" t="s">
        <v>83</v>
      </c>
      <c r="T116" s="27" t="s">
        <v>77</v>
      </c>
      <c r="U116" s="27" t="s">
        <v>157</v>
      </c>
      <c r="V116" s="27"/>
      <c r="W116" s="27"/>
      <c r="X116" s="27" t="s">
        <v>79</v>
      </c>
      <c r="Y116" s="27" t="s">
        <v>85</v>
      </c>
      <c r="Z116" s="27"/>
      <c r="AA116" s="27"/>
    </row>
    <row r="117" spans="1:27">
      <c r="A117" s="42">
        <v>115</v>
      </c>
      <c r="B117" s="26" t="s">
        <v>446</v>
      </c>
      <c r="C117" s="29">
        <v>0</v>
      </c>
      <c r="D117" s="29">
        <f t="shared" si="6"/>
        <v>1730</v>
      </c>
      <c r="E117" s="28">
        <v>1750</v>
      </c>
      <c r="F117" s="28">
        <v>2800</v>
      </c>
      <c r="G117" s="28">
        <v>1900</v>
      </c>
      <c r="H117" s="28">
        <v>20</v>
      </c>
      <c r="I117" s="28">
        <v>2800</v>
      </c>
      <c r="J117" s="28">
        <v>120</v>
      </c>
      <c r="K117" s="28">
        <v>4841</v>
      </c>
      <c r="L117" s="28">
        <v>16</v>
      </c>
      <c r="M117" s="28">
        <v>20</v>
      </c>
      <c r="N117" s="28">
        <v>20</v>
      </c>
      <c r="O117" s="28">
        <v>20</v>
      </c>
      <c r="P117" s="27" t="s">
        <v>77</v>
      </c>
      <c r="Q117" s="27" t="s">
        <v>76</v>
      </c>
      <c r="R117" s="27" t="s">
        <v>77</v>
      </c>
      <c r="S117" s="27" t="s">
        <v>83</v>
      </c>
      <c r="T117" s="27" t="s">
        <v>77</v>
      </c>
      <c r="U117" s="27" t="s">
        <v>157</v>
      </c>
      <c r="V117" s="27"/>
      <c r="W117" s="27"/>
      <c r="X117" s="27" t="s">
        <v>79</v>
      </c>
      <c r="Y117" s="27" t="s">
        <v>85</v>
      </c>
      <c r="Z117" s="27"/>
      <c r="AA117" s="27"/>
    </row>
    <row r="118" spans="1:27">
      <c r="A118" s="42">
        <v>116</v>
      </c>
      <c r="B118" s="26" t="s">
        <v>447</v>
      </c>
      <c r="C118" s="29">
        <v>0</v>
      </c>
      <c r="D118" s="29">
        <f t="shared" si="6"/>
        <v>1730</v>
      </c>
      <c r="E118" s="38">
        <v>1750</v>
      </c>
      <c r="F118" s="38">
        <v>2800</v>
      </c>
      <c r="G118" s="38">
        <v>1900</v>
      </c>
      <c r="H118" s="38">
        <v>20</v>
      </c>
      <c r="I118" s="38">
        <v>2800</v>
      </c>
      <c r="J118" s="38">
        <v>120</v>
      </c>
      <c r="K118" s="38">
        <v>4923</v>
      </c>
      <c r="L118" s="38">
        <v>16</v>
      </c>
      <c r="M118" s="38">
        <v>20</v>
      </c>
      <c r="N118" s="38">
        <v>20</v>
      </c>
      <c r="O118" s="38">
        <v>20</v>
      </c>
      <c r="P118" s="39" t="s">
        <v>77</v>
      </c>
      <c r="Q118" s="39" t="s">
        <v>76</v>
      </c>
      <c r="R118" s="39" t="s">
        <v>77</v>
      </c>
      <c r="S118" s="39" t="s">
        <v>83</v>
      </c>
      <c r="T118" s="39" t="s">
        <v>77</v>
      </c>
      <c r="U118" s="39" t="s">
        <v>157</v>
      </c>
      <c r="V118" s="27"/>
      <c r="W118" s="27"/>
      <c r="X118" s="27" t="s">
        <v>79</v>
      </c>
      <c r="Y118" s="27" t="s">
        <v>85</v>
      </c>
      <c r="Z118" s="27"/>
      <c r="AA118" s="27"/>
    </row>
    <row r="119" spans="1:27">
      <c r="A119" s="42">
        <v>117</v>
      </c>
      <c r="B119" s="26" t="s">
        <v>448</v>
      </c>
      <c r="C119" s="29">
        <v>0</v>
      </c>
      <c r="D119" s="29">
        <f t="shared" si="6"/>
        <v>1730</v>
      </c>
      <c r="E119" s="28">
        <v>1750</v>
      </c>
      <c r="F119" s="28">
        <v>2800</v>
      </c>
      <c r="G119" s="28">
        <v>1900</v>
      </c>
      <c r="H119" s="28">
        <v>20</v>
      </c>
      <c r="I119" s="28">
        <v>2800</v>
      </c>
      <c r="J119" s="28">
        <v>120</v>
      </c>
      <c r="K119" s="28">
        <v>5010</v>
      </c>
      <c r="L119" s="28">
        <v>16</v>
      </c>
      <c r="M119" s="28">
        <v>20</v>
      </c>
      <c r="N119" s="28">
        <v>20</v>
      </c>
      <c r="O119" s="28">
        <v>20</v>
      </c>
      <c r="P119" s="27" t="s">
        <v>77</v>
      </c>
      <c r="Q119" s="27" t="s">
        <v>76</v>
      </c>
      <c r="R119" s="27" t="s">
        <v>77</v>
      </c>
      <c r="S119" s="27" t="s">
        <v>83</v>
      </c>
      <c r="T119" s="27" t="s">
        <v>77</v>
      </c>
      <c r="U119" s="27" t="s">
        <v>157</v>
      </c>
      <c r="V119" s="27"/>
      <c r="W119" s="27"/>
      <c r="X119" s="27" t="s">
        <v>79</v>
      </c>
      <c r="Y119" s="27" t="s">
        <v>85</v>
      </c>
      <c r="Z119" s="27"/>
      <c r="AA119" s="27"/>
    </row>
    <row r="120" spans="1:27">
      <c r="A120" s="42">
        <v>118</v>
      </c>
      <c r="B120" s="26" t="s">
        <v>449</v>
      </c>
      <c r="C120" s="29">
        <v>0</v>
      </c>
      <c r="D120" s="29">
        <f t="shared" si="6"/>
        <v>1730</v>
      </c>
      <c r="E120" s="28">
        <v>1750</v>
      </c>
      <c r="F120" s="28">
        <v>2800</v>
      </c>
      <c r="G120" s="28">
        <v>1900</v>
      </c>
      <c r="H120" s="28">
        <v>20</v>
      </c>
      <c r="I120" s="28">
        <v>2800</v>
      </c>
      <c r="J120" s="28">
        <v>120</v>
      </c>
      <c r="K120" s="28">
        <v>5100</v>
      </c>
      <c r="L120" s="28">
        <v>16</v>
      </c>
      <c r="M120" s="28">
        <v>20</v>
      </c>
      <c r="N120" s="28">
        <v>20</v>
      </c>
      <c r="O120" s="28">
        <v>20</v>
      </c>
      <c r="P120" s="27" t="s">
        <v>77</v>
      </c>
      <c r="Q120" s="27" t="s">
        <v>76</v>
      </c>
      <c r="R120" s="27" t="s">
        <v>77</v>
      </c>
      <c r="S120" s="27" t="s">
        <v>83</v>
      </c>
      <c r="T120" s="27" t="s">
        <v>77</v>
      </c>
      <c r="U120" s="27" t="s">
        <v>157</v>
      </c>
      <c r="V120" s="27"/>
      <c r="W120" s="27"/>
      <c r="X120" s="27" t="s">
        <v>79</v>
      </c>
      <c r="Y120" s="27" t="s">
        <v>85</v>
      </c>
      <c r="Z120" s="27"/>
      <c r="AA120" s="27"/>
    </row>
    <row r="121" spans="1:27">
      <c r="A121" s="42">
        <v>119</v>
      </c>
      <c r="B121" s="26" t="s">
        <v>450</v>
      </c>
      <c r="C121" s="29">
        <v>0</v>
      </c>
      <c r="D121" s="29">
        <f t="shared" si="6"/>
        <v>1730</v>
      </c>
      <c r="E121" s="28">
        <v>1750</v>
      </c>
      <c r="F121" s="28">
        <v>2800</v>
      </c>
      <c r="G121" s="28">
        <v>1900</v>
      </c>
      <c r="H121" s="28">
        <v>20</v>
      </c>
      <c r="I121" s="28">
        <v>2800</v>
      </c>
      <c r="J121" s="28">
        <v>120</v>
      </c>
      <c r="K121" s="28">
        <v>5194</v>
      </c>
      <c r="L121" s="28">
        <v>16</v>
      </c>
      <c r="M121" s="28">
        <v>20</v>
      </c>
      <c r="N121" s="28">
        <v>20</v>
      </c>
      <c r="O121" s="28">
        <v>20</v>
      </c>
      <c r="P121" s="27" t="s">
        <v>77</v>
      </c>
      <c r="Q121" s="27" t="s">
        <v>76</v>
      </c>
      <c r="R121" s="27" t="s">
        <v>77</v>
      </c>
      <c r="S121" s="27" t="s">
        <v>83</v>
      </c>
      <c r="T121" s="27" t="s">
        <v>77</v>
      </c>
      <c r="U121" s="27" t="s">
        <v>157</v>
      </c>
      <c r="V121" s="27"/>
      <c r="W121" s="27"/>
      <c r="X121" s="27" t="s">
        <v>79</v>
      </c>
      <c r="Y121" s="27" t="s">
        <v>85</v>
      </c>
      <c r="Z121" s="27"/>
      <c r="AA121" s="27"/>
    </row>
    <row r="122" spans="1:27">
      <c r="A122" s="42">
        <v>120</v>
      </c>
      <c r="B122" s="26" t="s">
        <v>451</v>
      </c>
      <c r="C122" s="29">
        <v>0</v>
      </c>
      <c r="D122" s="29">
        <f t="shared" si="6"/>
        <v>1730</v>
      </c>
      <c r="E122" s="38">
        <v>1750</v>
      </c>
      <c r="F122" s="38">
        <v>2800</v>
      </c>
      <c r="G122" s="38">
        <v>1900</v>
      </c>
      <c r="H122" s="38">
        <v>20</v>
      </c>
      <c r="I122" s="38">
        <v>2800</v>
      </c>
      <c r="J122" s="38">
        <v>120</v>
      </c>
      <c r="K122" s="38">
        <v>5292</v>
      </c>
      <c r="L122" s="38">
        <v>16</v>
      </c>
      <c r="M122" s="38">
        <v>20</v>
      </c>
      <c r="N122" s="38">
        <v>20</v>
      </c>
      <c r="O122" s="38">
        <v>20</v>
      </c>
      <c r="P122" s="39" t="s">
        <v>77</v>
      </c>
      <c r="Q122" s="39" t="s">
        <v>76</v>
      </c>
      <c r="R122" s="39" t="s">
        <v>77</v>
      </c>
      <c r="S122" s="39" t="s">
        <v>83</v>
      </c>
      <c r="T122" s="39" t="s">
        <v>77</v>
      </c>
      <c r="U122" s="39" t="s">
        <v>157</v>
      </c>
      <c r="V122" s="27"/>
      <c r="W122" s="27"/>
      <c r="X122" s="27" t="s">
        <v>79</v>
      </c>
      <c r="Y122" s="27" t="s">
        <v>85</v>
      </c>
      <c r="Z122" s="27"/>
      <c r="AA122" s="27"/>
    </row>
    <row r="123" spans="1:27">
      <c r="A123" s="42">
        <v>121</v>
      </c>
      <c r="B123" s="26" t="s">
        <v>452</v>
      </c>
      <c r="C123" s="29">
        <v>0</v>
      </c>
      <c r="D123" s="29">
        <f t="shared" si="6"/>
        <v>1730</v>
      </c>
      <c r="E123" s="28">
        <v>1750</v>
      </c>
      <c r="F123" s="28">
        <v>2800</v>
      </c>
      <c r="G123" s="28">
        <v>1900</v>
      </c>
      <c r="H123" s="28">
        <v>20</v>
      </c>
      <c r="I123" s="28">
        <v>2800</v>
      </c>
      <c r="J123" s="28">
        <v>120</v>
      </c>
      <c r="K123" s="28">
        <v>5393</v>
      </c>
      <c r="L123" s="28">
        <v>16</v>
      </c>
      <c r="M123" s="28">
        <v>20</v>
      </c>
      <c r="N123" s="28">
        <v>20</v>
      </c>
      <c r="O123" s="28">
        <v>20</v>
      </c>
      <c r="P123" s="27" t="s">
        <v>77</v>
      </c>
      <c r="Q123" s="27" t="s">
        <v>76</v>
      </c>
      <c r="R123" s="27" t="s">
        <v>77</v>
      </c>
      <c r="S123" s="27" t="s">
        <v>83</v>
      </c>
      <c r="T123" s="27" t="s">
        <v>77</v>
      </c>
      <c r="U123" s="27" t="s">
        <v>157</v>
      </c>
      <c r="V123" s="27"/>
      <c r="W123" s="27"/>
      <c r="X123" s="27" t="s">
        <v>79</v>
      </c>
      <c r="Y123" s="27" t="s">
        <v>85</v>
      </c>
      <c r="Z123" s="27"/>
      <c r="AA123" s="27"/>
    </row>
    <row r="124" spans="1:27">
      <c r="A124" s="42">
        <v>122</v>
      </c>
      <c r="B124" s="26" t="s">
        <v>453</v>
      </c>
      <c r="C124" s="29">
        <v>0</v>
      </c>
      <c r="D124" s="29">
        <f t="shared" si="6"/>
        <v>1730</v>
      </c>
      <c r="E124" s="28">
        <v>1750</v>
      </c>
      <c r="F124" s="28">
        <v>2800</v>
      </c>
      <c r="G124" s="28">
        <v>1900</v>
      </c>
      <c r="H124" s="28">
        <v>20</v>
      </c>
      <c r="I124" s="28">
        <v>2800</v>
      </c>
      <c r="J124" s="28">
        <v>120</v>
      </c>
      <c r="K124" s="28">
        <v>5499</v>
      </c>
      <c r="L124" s="28">
        <v>16</v>
      </c>
      <c r="M124" s="28">
        <v>20</v>
      </c>
      <c r="N124" s="28">
        <v>20</v>
      </c>
      <c r="O124" s="28">
        <v>20</v>
      </c>
      <c r="P124" s="27" t="s">
        <v>77</v>
      </c>
      <c r="Q124" s="27" t="s">
        <v>76</v>
      </c>
      <c r="R124" s="27" t="s">
        <v>77</v>
      </c>
      <c r="S124" s="27" t="s">
        <v>83</v>
      </c>
      <c r="T124" s="27" t="s">
        <v>77</v>
      </c>
      <c r="U124" s="27" t="s">
        <v>157</v>
      </c>
      <c r="V124" s="27"/>
      <c r="W124" s="27"/>
      <c r="X124" s="27" t="s">
        <v>79</v>
      </c>
      <c r="Y124" s="27" t="s">
        <v>85</v>
      </c>
      <c r="Z124" s="27"/>
      <c r="AA124" s="27"/>
    </row>
    <row r="125" spans="1:27">
      <c r="A125" s="42">
        <v>123</v>
      </c>
      <c r="B125" s="26" t="s">
        <v>454</v>
      </c>
      <c r="C125" s="29">
        <v>0</v>
      </c>
      <c r="D125" s="29">
        <f t="shared" ref="D125:D133" si="7">E125-H125</f>
        <v>1730</v>
      </c>
      <c r="E125" s="28">
        <v>1750</v>
      </c>
      <c r="F125" s="28">
        <v>2800</v>
      </c>
      <c r="G125" s="28">
        <v>1900</v>
      </c>
      <c r="H125" s="28">
        <v>20</v>
      </c>
      <c r="I125" s="28">
        <v>2800</v>
      </c>
      <c r="J125" s="28">
        <v>120</v>
      </c>
      <c r="K125" s="28">
        <v>5608</v>
      </c>
      <c r="L125" s="28">
        <v>16</v>
      </c>
      <c r="M125" s="28">
        <v>20</v>
      </c>
      <c r="N125" s="28">
        <v>20</v>
      </c>
      <c r="O125" s="28">
        <v>20</v>
      </c>
      <c r="P125" s="27" t="s">
        <v>77</v>
      </c>
      <c r="Q125" s="27" t="s">
        <v>76</v>
      </c>
      <c r="R125" s="27" t="s">
        <v>77</v>
      </c>
      <c r="S125" s="27" t="s">
        <v>83</v>
      </c>
      <c r="T125" s="27" t="s">
        <v>77</v>
      </c>
      <c r="U125" s="27" t="s">
        <v>157</v>
      </c>
      <c r="V125" s="27"/>
      <c r="W125" s="27"/>
      <c r="X125" s="27" t="s">
        <v>79</v>
      </c>
      <c r="Y125" s="27" t="s">
        <v>85</v>
      </c>
      <c r="Z125" s="27"/>
      <c r="AA125" s="27"/>
    </row>
    <row r="126" spans="1:27">
      <c r="A126" s="42">
        <v>124</v>
      </c>
      <c r="B126" s="26" t="s">
        <v>455</v>
      </c>
      <c r="C126" s="29">
        <v>0</v>
      </c>
      <c r="D126" s="29">
        <f t="shared" si="7"/>
        <v>1730</v>
      </c>
      <c r="E126" s="38">
        <v>1750</v>
      </c>
      <c r="F126" s="38">
        <v>2800</v>
      </c>
      <c r="G126" s="38">
        <v>1900</v>
      </c>
      <c r="H126" s="38">
        <v>20</v>
      </c>
      <c r="I126" s="38">
        <v>2800</v>
      </c>
      <c r="J126" s="38">
        <v>120</v>
      </c>
      <c r="K126" s="38">
        <v>5722</v>
      </c>
      <c r="L126" s="38">
        <v>16</v>
      </c>
      <c r="M126" s="38">
        <v>20</v>
      </c>
      <c r="N126" s="38">
        <v>20</v>
      </c>
      <c r="O126" s="38">
        <v>20</v>
      </c>
      <c r="P126" s="39" t="s">
        <v>77</v>
      </c>
      <c r="Q126" s="39" t="s">
        <v>76</v>
      </c>
      <c r="R126" s="39" t="s">
        <v>77</v>
      </c>
      <c r="S126" s="39" t="s">
        <v>83</v>
      </c>
      <c r="T126" s="39" t="s">
        <v>77</v>
      </c>
      <c r="U126" s="39" t="s">
        <v>157</v>
      </c>
      <c r="V126" s="27"/>
      <c r="W126" s="27"/>
      <c r="X126" s="27" t="s">
        <v>79</v>
      </c>
      <c r="Y126" s="27" t="s">
        <v>85</v>
      </c>
      <c r="Z126" s="27"/>
      <c r="AA126" s="27"/>
    </row>
    <row r="127" spans="1:27">
      <c r="A127" s="42">
        <v>125</v>
      </c>
      <c r="B127" s="26" t="s">
        <v>456</v>
      </c>
      <c r="C127" s="29">
        <v>0</v>
      </c>
      <c r="D127" s="29">
        <f t="shared" si="7"/>
        <v>1730</v>
      </c>
      <c r="E127" s="28">
        <v>1750</v>
      </c>
      <c r="F127" s="28">
        <v>2800</v>
      </c>
      <c r="G127" s="28">
        <v>1900</v>
      </c>
      <c r="H127" s="28">
        <v>20</v>
      </c>
      <c r="I127" s="28">
        <v>2800</v>
      </c>
      <c r="J127" s="28">
        <v>120</v>
      </c>
      <c r="K127" s="28">
        <v>5839</v>
      </c>
      <c r="L127" s="28">
        <v>16</v>
      </c>
      <c r="M127" s="28">
        <v>20</v>
      </c>
      <c r="N127" s="28">
        <v>20</v>
      </c>
      <c r="O127" s="28">
        <v>20</v>
      </c>
      <c r="P127" s="27" t="s">
        <v>77</v>
      </c>
      <c r="Q127" s="27" t="s">
        <v>76</v>
      </c>
      <c r="R127" s="27" t="s">
        <v>77</v>
      </c>
      <c r="S127" s="27" t="s">
        <v>83</v>
      </c>
      <c r="T127" s="27" t="s">
        <v>77</v>
      </c>
      <c r="U127" s="27" t="s">
        <v>157</v>
      </c>
      <c r="V127" s="27"/>
      <c r="W127" s="27"/>
      <c r="X127" s="27" t="s">
        <v>79</v>
      </c>
      <c r="Y127" s="27" t="s">
        <v>85</v>
      </c>
      <c r="Z127" s="27"/>
      <c r="AA127" s="27"/>
    </row>
    <row r="128" spans="1:27">
      <c r="A128" s="42">
        <v>126</v>
      </c>
      <c r="B128" s="26" t="s">
        <v>457</v>
      </c>
      <c r="C128" s="29">
        <v>0</v>
      </c>
      <c r="D128" s="29">
        <f t="shared" si="7"/>
        <v>1730</v>
      </c>
      <c r="E128" s="28">
        <v>1750</v>
      </c>
      <c r="F128" s="28">
        <v>2800</v>
      </c>
      <c r="G128" s="28">
        <v>1900</v>
      </c>
      <c r="H128" s="28">
        <v>20</v>
      </c>
      <c r="I128" s="28">
        <v>2800</v>
      </c>
      <c r="J128" s="28">
        <v>120</v>
      </c>
      <c r="K128" s="28">
        <v>5960</v>
      </c>
      <c r="L128" s="28">
        <v>16</v>
      </c>
      <c r="M128" s="28">
        <v>20</v>
      </c>
      <c r="N128" s="28">
        <v>20</v>
      </c>
      <c r="O128" s="28">
        <v>20</v>
      </c>
      <c r="P128" s="27" t="s">
        <v>77</v>
      </c>
      <c r="Q128" s="27" t="s">
        <v>76</v>
      </c>
      <c r="R128" s="27" t="s">
        <v>77</v>
      </c>
      <c r="S128" s="27" t="s">
        <v>83</v>
      </c>
      <c r="T128" s="27" t="s">
        <v>77</v>
      </c>
      <c r="U128" s="27" t="s">
        <v>157</v>
      </c>
      <c r="V128" s="27"/>
      <c r="W128" s="27"/>
      <c r="X128" s="27" t="s">
        <v>79</v>
      </c>
      <c r="Y128" s="27" t="s">
        <v>85</v>
      </c>
      <c r="Z128" s="27"/>
      <c r="AA128" s="27"/>
    </row>
    <row r="129" spans="1:27">
      <c r="A129" s="42">
        <v>127</v>
      </c>
      <c r="B129" s="26" t="s">
        <v>458</v>
      </c>
      <c r="C129" s="29">
        <v>0</v>
      </c>
      <c r="D129" s="29">
        <f t="shared" si="7"/>
        <v>1730</v>
      </c>
      <c r="E129" s="28">
        <v>1750</v>
      </c>
      <c r="F129" s="28">
        <v>2800</v>
      </c>
      <c r="G129" s="28">
        <v>1900</v>
      </c>
      <c r="H129" s="28">
        <v>20</v>
      </c>
      <c r="I129" s="28">
        <v>2800</v>
      </c>
      <c r="J129" s="28">
        <v>120</v>
      </c>
      <c r="K129" s="28">
        <v>6085</v>
      </c>
      <c r="L129" s="28">
        <v>16</v>
      </c>
      <c r="M129" s="28">
        <v>20</v>
      </c>
      <c r="N129" s="28">
        <v>20</v>
      </c>
      <c r="O129" s="28">
        <v>20</v>
      </c>
      <c r="P129" s="27" t="s">
        <v>77</v>
      </c>
      <c r="Q129" s="27" t="s">
        <v>76</v>
      </c>
      <c r="R129" s="27" t="s">
        <v>77</v>
      </c>
      <c r="S129" s="27" t="s">
        <v>83</v>
      </c>
      <c r="T129" s="27" t="s">
        <v>77</v>
      </c>
      <c r="U129" s="27" t="s">
        <v>157</v>
      </c>
      <c r="V129" s="27"/>
      <c r="W129" s="27"/>
      <c r="X129" s="27" t="s">
        <v>79</v>
      </c>
      <c r="Y129" s="27" t="s">
        <v>85</v>
      </c>
      <c r="Z129" s="27"/>
      <c r="AA129" s="27"/>
    </row>
    <row r="130" spans="1:27">
      <c r="A130" s="42">
        <v>128</v>
      </c>
      <c r="B130" s="26" t="s">
        <v>459</v>
      </c>
      <c r="C130" s="29">
        <v>0</v>
      </c>
      <c r="D130" s="29">
        <f t="shared" si="7"/>
        <v>1730</v>
      </c>
      <c r="E130" s="38">
        <v>1750</v>
      </c>
      <c r="F130" s="38">
        <v>2800</v>
      </c>
      <c r="G130" s="38">
        <v>1900</v>
      </c>
      <c r="H130" s="38">
        <v>20</v>
      </c>
      <c r="I130" s="38">
        <v>2800</v>
      </c>
      <c r="J130" s="38">
        <v>120</v>
      </c>
      <c r="K130" s="38">
        <v>6214</v>
      </c>
      <c r="L130" s="38">
        <v>16</v>
      </c>
      <c r="M130" s="38">
        <v>20</v>
      </c>
      <c r="N130" s="38">
        <v>20</v>
      </c>
      <c r="O130" s="38">
        <v>20</v>
      </c>
      <c r="P130" s="39" t="s">
        <v>77</v>
      </c>
      <c r="Q130" s="39" t="s">
        <v>76</v>
      </c>
      <c r="R130" s="39" t="s">
        <v>77</v>
      </c>
      <c r="S130" s="39" t="s">
        <v>83</v>
      </c>
      <c r="T130" s="39" t="s">
        <v>77</v>
      </c>
      <c r="U130" s="39" t="s">
        <v>157</v>
      </c>
      <c r="V130" s="27"/>
      <c r="W130" s="27"/>
      <c r="X130" s="27" t="s">
        <v>79</v>
      </c>
      <c r="Y130" s="27" t="s">
        <v>85</v>
      </c>
      <c r="Z130" s="27"/>
      <c r="AA130" s="27"/>
    </row>
    <row r="131" spans="1:27">
      <c r="A131" s="42">
        <v>129</v>
      </c>
      <c r="B131" s="26" t="s">
        <v>460</v>
      </c>
      <c r="C131" s="29">
        <v>0</v>
      </c>
      <c r="D131" s="29">
        <f t="shared" si="7"/>
        <v>1730</v>
      </c>
      <c r="E131" s="28">
        <v>1750</v>
      </c>
      <c r="F131" s="28">
        <v>2800</v>
      </c>
      <c r="G131" s="28">
        <v>1900</v>
      </c>
      <c r="H131" s="28">
        <v>20</v>
      </c>
      <c r="I131" s="28">
        <v>2800</v>
      </c>
      <c r="J131" s="28">
        <v>120</v>
      </c>
      <c r="K131" s="28">
        <v>6358</v>
      </c>
      <c r="L131" s="28">
        <v>16</v>
      </c>
      <c r="M131" s="28">
        <v>20</v>
      </c>
      <c r="N131" s="28">
        <v>20</v>
      </c>
      <c r="O131" s="28">
        <v>20</v>
      </c>
      <c r="P131" s="27" t="s">
        <v>77</v>
      </c>
      <c r="Q131" s="27" t="s">
        <v>76</v>
      </c>
      <c r="R131" s="27" t="s">
        <v>77</v>
      </c>
      <c r="S131" s="27" t="s">
        <v>83</v>
      </c>
      <c r="T131" s="27" t="s">
        <v>77</v>
      </c>
      <c r="U131" s="27" t="s">
        <v>157</v>
      </c>
      <c r="V131" s="27"/>
      <c r="W131" s="27"/>
      <c r="X131" s="27" t="s">
        <v>79</v>
      </c>
      <c r="Y131" s="27" t="s">
        <v>85</v>
      </c>
      <c r="Z131" s="27"/>
      <c r="AA131" s="27"/>
    </row>
    <row r="132" spans="1:27">
      <c r="A132" s="42">
        <v>130</v>
      </c>
      <c r="B132" s="26" t="s">
        <v>461</v>
      </c>
      <c r="C132" s="29">
        <v>0</v>
      </c>
      <c r="D132" s="29">
        <f t="shared" si="7"/>
        <v>1730</v>
      </c>
      <c r="E132" s="28">
        <v>1750</v>
      </c>
      <c r="F132" s="28">
        <v>2800</v>
      </c>
      <c r="G132" s="28">
        <v>1900</v>
      </c>
      <c r="H132" s="28">
        <v>20</v>
      </c>
      <c r="I132" s="28">
        <v>2800</v>
      </c>
      <c r="J132" s="28">
        <v>120</v>
      </c>
      <c r="K132" s="28">
        <v>6500</v>
      </c>
      <c r="L132" s="28">
        <v>16</v>
      </c>
      <c r="M132" s="28">
        <v>20</v>
      </c>
      <c r="N132" s="28">
        <v>20</v>
      </c>
      <c r="O132" s="28">
        <v>20</v>
      </c>
      <c r="P132" s="27" t="s">
        <v>77</v>
      </c>
      <c r="Q132" s="27" t="s">
        <v>76</v>
      </c>
      <c r="R132" s="27" t="s">
        <v>77</v>
      </c>
      <c r="S132" s="27" t="s">
        <v>83</v>
      </c>
      <c r="T132" s="27" t="s">
        <v>77</v>
      </c>
      <c r="U132" s="27" t="s">
        <v>157</v>
      </c>
      <c r="V132" s="27"/>
      <c r="W132" s="27"/>
      <c r="X132" s="27" t="s">
        <v>79</v>
      </c>
      <c r="Y132" s="27" t="s">
        <v>85</v>
      </c>
      <c r="Z132" s="27"/>
      <c r="AA132" s="27"/>
    </row>
    <row r="133" spans="1:27">
      <c r="A133" s="42">
        <v>131</v>
      </c>
      <c r="B133" s="26" t="s">
        <v>462</v>
      </c>
      <c r="C133" s="29">
        <v>0</v>
      </c>
      <c r="D133" s="29">
        <f t="shared" si="7"/>
        <v>1730</v>
      </c>
      <c r="E133" s="35">
        <v>1750</v>
      </c>
      <c r="F133" s="35">
        <v>2800</v>
      </c>
      <c r="G133" s="35">
        <v>1900</v>
      </c>
      <c r="H133" s="35">
        <v>20</v>
      </c>
      <c r="I133" s="35">
        <v>2800</v>
      </c>
      <c r="J133" s="35">
        <v>120</v>
      </c>
      <c r="K133" s="35">
        <v>6500</v>
      </c>
      <c r="L133" s="35">
        <v>16</v>
      </c>
      <c r="M133" s="35">
        <v>20</v>
      </c>
      <c r="N133" s="35">
        <v>20</v>
      </c>
      <c r="O133" s="35">
        <v>20</v>
      </c>
      <c r="P133" s="27" t="s">
        <v>77</v>
      </c>
      <c r="Q133" s="27" t="s">
        <v>76</v>
      </c>
      <c r="R133" s="27" t="s">
        <v>77</v>
      </c>
      <c r="S133" s="27" t="s">
        <v>83</v>
      </c>
      <c r="T133" s="27" t="s">
        <v>77</v>
      </c>
      <c r="U133" s="27" t="s">
        <v>157</v>
      </c>
      <c r="V133" s="27"/>
      <c r="W133" s="27"/>
      <c r="X133" s="27" t="s">
        <v>79</v>
      </c>
      <c r="Y133" s="27" t="s">
        <v>85</v>
      </c>
      <c r="Z133" s="27"/>
      <c r="AA133" s="27"/>
    </row>
    <row r="134" spans="1:27">
      <c r="A134" s="42">
        <v>132</v>
      </c>
      <c r="B134" s="26" t="s">
        <v>463</v>
      </c>
      <c r="C134" s="29">
        <v>0</v>
      </c>
      <c r="D134" s="29">
        <f t="shared" ref="D134:D135" si="8">E134-H134</f>
        <v>1730</v>
      </c>
      <c r="E134" s="28">
        <v>1750</v>
      </c>
      <c r="F134" s="28">
        <v>2800</v>
      </c>
      <c r="G134" s="28">
        <v>1900</v>
      </c>
      <c r="H134" s="28">
        <v>20</v>
      </c>
      <c r="I134" s="28">
        <v>2800</v>
      </c>
      <c r="J134" s="28">
        <v>120</v>
      </c>
      <c r="K134" s="28">
        <v>6500</v>
      </c>
      <c r="L134" s="28">
        <v>16</v>
      </c>
      <c r="M134" s="28">
        <v>20</v>
      </c>
      <c r="N134" s="28">
        <v>20</v>
      </c>
      <c r="O134" s="28">
        <v>20</v>
      </c>
      <c r="P134" s="27" t="s">
        <v>77</v>
      </c>
      <c r="Q134" s="27" t="s">
        <v>76</v>
      </c>
      <c r="R134" s="27" t="s">
        <v>77</v>
      </c>
      <c r="S134" s="27" t="s">
        <v>82</v>
      </c>
      <c r="T134" s="27" t="s">
        <v>77</v>
      </c>
      <c r="U134" s="27" t="s">
        <v>157</v>
      </c>
      <c r="V134" s="27"/>
      <c r="W134" s="27"/>
      <c r="X134" s="27" t="s">
        <v>79</v>
      </c>
      <c r="Y134" s="27" t="s">
        <v>85</v>
      </c>
      <c r="Z134" s="27"/>
      <c r="AA134" s="27"/>
    </row>
    <row r="135" spans="1:27">
      <c r="A135" s="42">
        <v>133</v>
      </c>
      <c r="B135" s="26" t="s">
        <v>464</v>
      </c>
      <c r="C135" s="29">
        <v>0</v>
      </c>
      <c r="D135" s="29">
        <f t="shared" si="8"/>
        <v>1730</v>
      </c>
      <c r="E135" s="28">
        <v>1750</v>
      </c>
      <c r="F135" s="28">
        <v>2800</v>
      </c>
      <c r="G135" s="28">
        <v>1900</v>
      </c>
      <c r="H135" s="28">
        <v>20</v>
      </c>
      <c r="I135" s="28">
        <v>2800</v>
      </c>
      <c r="J135" s="28">
        <v>120</v>
      </c>
      <c r="K135" s="28">
        <v>6358</v>
      </c>
      <c r="L135" s="28">
        <v>16</v>
      </c>
      <c r="M135" s="28">
        <v>20</v>
      </c>
      <c r="N135" s="28">
        <v>20</v>
      </c>
      <c r="O135" s="28">
        <v>20</v>
      </c>
      <c r="P135" s="27" t="s">
        <v>77</v>
      </c>
      <c r="Q135" s="27" t="s">
        <v>76</v>
      </c>
      <c r="R135" s="27" t="s">
        <v>77</v>
      </c>
      <c r="S135" s="27" t="s">
        <v>82</v>
      </c>
      <c r="T135" s="27" t="s">
        <v>77</v>
      </c>
      <c r="U135" s="27" t="s">
        <v>157</v>
      </c>
      <c r="V135" s="27"/>
      <c r="W135" s="27"/>
      <c r="X135" s="27" t="s">
        <v>79</v>
      </c>
      <c r="Y135" s="27" t="s">
        <v>85</v>
      </c>
      <c r="Z135" s="27"/>
      <c r="AA135" s="27"/>
    </row>
    <row r="136" spans="1:27">
      <c r="A136" s="42">
        <v>134</v>
      </c>
      <c r="B136" s="26" t="s">
        <v>465</v>
      </c>
      <c r="C136" s="29">
        <v>0</v>
      </c>
      <c r="D136" s="29">
        <f t="shared" ref="D136:D171" si="9">E136-H136</f>
        <v>1730</v>
      </c>
      <c r="E136" s="38">
        <v>1750</v>
      </c>
      <c r="F136" s="38">
        <v>2800</v>
      </c>
      <c r="G136" s="38">
        <v>1900</v>
      </c>
      <c r="H136" s="38">
        <v>20</v>
      </c>
      <c r="I136" s="38">
        <v>2800</v>
      </c>
      <c r="J136" s="38">
        <v>120</v>
      </c>
      <c r="K136" s="38">
        <v>6214</v>
      </c>
      <c r="L136" s="38">
        <v>16</v>
      </c>
      <c r="M136" s="38">
        <v>20</v>
      </c>
      <c r="N136" s="38">
        <v>20</v>
      </c>
      <c r="O136" s="38">
        <v>20</v>
      </c>
      <c r="P136" s="27" t="s">
        <v>77</v>
      </c>
      <c r="Q136" s="27" t="s">
        <v>76</v>
      </c>
      <c r="R136" s="27" t="s">
        <v>77</v>
      </c>
      <c r="S136" s="27" t="s">
        <v>82</v>
      </c>
      <c r="T136" s="27" t="s">
        <v>77</v>
      </c>
      <c r="U136" s="27" t="s">
        <v>157</v>
      </c>
      <c r="V136" s="27"/>
      <c r="W136" s="27"/>
      <c r="X136" s="27" t="s">
        <v>79</v>
      </c>
      <c r="Y136" s="27" t="s">
        <v>85</v>
      </c>
      <c r="Z136" s="27"/>
      <c r="AA136" s="27"/>
    </row>
    <row r="137" spans="1:27">
      <c r="A137" s="42">
        <v>135</v>
      </c>
      <c r="B137" s="26" t="s">
        <v>466</v>
      </c>
      <c r="C137" s="29">
        <v>0</v>
      </c>
      <c r="D137" s="29">
        <f t="shared" si="9"/>
        <v>1730</v>
      </c>
      <c r="E137" s="28">
        <v>1750</v>
      </c>
      <c r="F137" s="28">
        <v>2800</v>
      </c>
      <c r="G137" s="28">
        <v>1900</v>
      </c>
      <c r="H137" s="28">
        <v>20</v>
      </c>
      <c r="I137" s="28">
        <v>2800</v>
      </c>
      <c r="J137" s="28">
        <v>120</v>
      </c>
      <c r="K137" s="28">
        <v>6085</v>
      </c>
      <c r="L137" s="28">
        <v>16</v>
      </c>
      <c r="M137" s="28">
        <v>20</v>
      </c>
      <c r="N137" s="28">
        <v>20</v>
      </c>
      <c r="O137" s="28">
        <v>20</v>
      </c>
      <c r="P137" s="27" t="s">
        <v>77</v>
      </c>
      <c r="Q137" s="27" t="s">
        <v>76</v>
      </c>
      <c r="R137" s="27" t="s">
        <v>77</v>
      </c>
      <c r="S137" s="27" t="s">
        <v>82</v>
      </c>
      <c r="T137" s="27" t="s">
        <v>77</v>
      </c>
      <c r="U137" s="27" t="s">
        <v>157</v>
      </c>
      <c r="V137" s="27"/>
      <c r="W137" s="27"/>
      <c r="X137" s="27" t="s">
        <v>79</v>
      </c>
      <c r="Y137" s="27" t="s">
        <v>85</v>
      </c>
      <c r="Z137" s="27"/>
      <c r="AA137" s="27"/>
    </row>
    <row r="138" spans="1:27">
      <c r="A138" s="42">
        <v>136</v>
      </c>
      <c r="B138" s="26" t="s">
        <v>467</v>
      </c>
      <c r="C138" s="29">
        <v>0</v>
      </c>
      <c r="D138" s="29">
        <f t="shared" si="9"/>
        <v>1730</v>
      </c>
      <c r="E138" s="28">
        <v>1750</v>
      </c>
      <c r="F138" s="28">
        <v>2800</v>
      </c>
      <c r="G138" s="28">
        <v>1900</v>
      </c>
      <c r="H138" s="28">
        <v>20</v>
      </c>
      <c r="I138" s="28">
        <v>2800</v>
      </c>
      <c r="J138" s="28">
        <v>120</v>
      </c>
      <c r="K138" s="28">
        <v>5960</v>
      </c>
      <c r="L138" s="28">
        <v>16</v>
      </c>
      <c r="M138" s="28">
        <v>20</v>
      </c>
      <c r="N138" s="28">
        <v>20</v>
      </c>
      <c r="O138" s="28">
        <v>20</v>
      </c>
      <c r="P138" s="27" t="s">
        <v>77</v>
      </c>
      <c r="Q138" s="27" t="s">
        <v>76</v>
      </c>
      <c r="R138" s="27" t="s">
        <v>77</v>
      </c>
      <c r="S138" s="27" t="s">
        <v>82</v>
      </c>
      <c r="T138" s="27" t="s">
        <v>77</v>
      </c>
      <c r="U138" s="27" t="s">
        <v>157</v>
      </c>
      <c r="V138" s="27"/>
      <c r="W138" s="27"/>
      <c r="X138" s="27" t="s">
        <v>79</v>
      </c>
      <c r="Y138" s="27" t="s">
        <v>85</v>
      </c>
      <c r="Z138" s="27"/>
      <c r="AA138" s="27"/>
    </row>
    <row r="139" spans="1:27">
      <c r="A139" s="42">
        <v>137</v>
      </c>
      <c r="B139" s="26" t="s">
        <v>468</v>
      </c>
      <c r="C139" s="29">
        <v>0</v>
      </c>
      <c r="D139" s="29">
        <f t="shared" si="9"/>
        <v>1730</v>
      </c>
      <c r="E139" s="28">
        <v>1750</v>
      </c>
      <c r="F139" s="28">
        <v>2800</v>
      </c>
      <c r="G139" s="28">
        <v>1900</v>
      </c>
      <c r="H139" s="28">
        <v>20</v>
      </c>
      <c r="I139" s="28">
        <v>2800</v>
      </c>
      <c r="J139" s="28">
        <v>120</v>
      </c>
      <c r="K139" s="28">
        <v>5839</v>
      </c>
      <c r="L139" s="28">
        <v>16</v>
      </c>
      <c r="M139" s="28">
        <v>20</v>
      </c>
      <c r="N139" s="28">
        <v>20</v>
      </c>
      <c r="O139" s="28">
        <v>20</v>
      </c>
      <c r="P139" s="27" t="s">
        <v>77</v>
      </c>
      <c r="Q139" s="27" t="s">
        <v>76</v>
      </c>
      <c r="R139" s="27" t="s">
        <v>77</v>
      </c>
      <c r="S139" s="27" t="s">
        <v>82</v>
      </c>
      <c r="T139" s="27" t="s">
        <v>77</v>
      </c>
      <c r="U139" s="27" t="s">
        <v>157</v>
      </c>
      <c r="V139" s="27"/>
      <c r="W139" s="27"/>
      <c r="X139" s="27" t="s">
        <v>79</v>
      </c>
      <c r="Y139" s="27" t="s">
        <v>85</v>
      </c>
      <c r="Z139" s="27"/>
      <c r="AA139" s="27"/>
    </row>
    <row r="140" spans="1:27">
      <c r="A140" s="42">
        <v>138</v>
      </c>
      <c r="B140" s="26" t="s">
        <v>469</v>
      </c>
      <c r="C140" s="29">
        <v>0</v>
      </c>
      <c r="D140" s="29">
        <f t="shared" si="9"/>
        <v>1730</v>
      </c>
      <c r="E140" s="38">
        <v>1750</v>
      </c>
      <c r="F140" s="38">
        <v>2800</v>
      </c>
      <c r="G140" s="38">
        <v>1900</v>
      </c>
      <c r="H140" s="38">
        <v>20</v>
      </c>
      <c r="I140" s="38">
        <v>2800</v>
      </c>
      <c r="J140" s="38">
        <v>120</v>
      </c>
      <c r="K140" s="38">
        <v>5722</v>
      </c>
      <c r="L140" s="38">
        <v>16</v>
      </c>
      <c r="M140" s="38">
        <v>20</v>
      </c>
      <c r="N140" s="38">
        <v>20</v>
      </c>
      <c r="O140" s="38">
        <v>20</v>
      </c>
      <c r="P140" s="27" t="s">
        <v>77</v>
      </c>
      <c r="Q140" s="27" t="s">
        <v>76</v>
      </c>
      <c r="R140" s="27" t="s">
        <v>77</v>
      </c>
      <c r="S140" s="27" t="s">
        <v>82</v>
      </c>
      <c r="T140" s="27" t="s">
        <v>77</v>
      </c>
      <c r="U140" s="27" t="s">
        <v>157</v>
      </c>
      <c r="V140" s="27"/>
      <c r="W140" s="27"/>
      <c r="X140" s="27" t="s">
        <v>79</v>
      </c>
      <c r="Y140" s="27" t="s">
        <v>85</v>
      </c>
      <c r="Z140" s="27"/>
      <c r="AA140" s="27"/>
    </row>
    <row r="141" spans="1:27">
      <c r="A141" s="42">
        <v>139</v>
      </c>
      <c r="B141" s="26" t="s">
        <v>470</v>
      </c>
      <c r="C141" s="29">
        <v>0</v>
      </c>
      <c r="D141" s="29">
        <f t="shared" si="9"/>
        <v>1730</v>
      </c>
      <c r="E141" s="28">
        <v>1750</v>
      </c>
      <c r="F141" s="28">
        <v>2800</v>
      </c>
      <c r="G141" s="28">
        <v>1900</v>
      </c>
      <c r="H141" s="28">
        <v>20</v>
      </c>
      <c r="I141" s="28">
        <v>2800</v>
      </c>
      <c r="J141" s="28">
        <v>120</v>
      </c>
      <c r="K141" s="28">
        <v>5608</v>
      </c>
      <c r="L141" s="28">
        <v>16</v>
      </c>
      <c r="M141" s="28">
        <v>20</v>
      </c>
      <c r="N141" s="28">
        <v>20</v>
      </c>
      <c r="O141" s="28">
        <v>20</v>
      </c>
      <c r="P141" s="27" t="s">
        <v>77</v>
      </c>
      <c r="Q141" s="27" t="s">
        <v>76</v>
      </c>
      <c r="R141" s="27" t="s">
        <v>77</v>
      </c>
      <c r="S141" s="27" t="s">
        <v>82</v>
      </c>
      <c r="T141" s="27" t="s">
        <v>77</v>
      </c>
      <c r="U141" s="27" t="s">
        <v>157</v>
      </c>
      <c r="V141" s="27"/>
      <c r="W141" s="27"/>
      <c r="X141" s="27" t="s">
        <v>79</v>
      </c>
      <c r="Y141" s="27" t="s">
        <v>85</v>
      </c>
      <c r="Z141" s="27"/>
      <c r="AA141" s="27"/>
    </row>
    <row r="142" spans="1:27">
      <c r="A142" s="42">
        <v>140</v>
      </c>
      <c r="B142" s="26" t="s">
        <v>471</v>
      </c>
      <c r="C142" s="29">
        <v>0</v>
      </c>
      <c r="D142" s="29">
        <f t="shared" si="9"/>
        <v>1730</v>
      </c>
      <c r="E142" s="28">
        <v>1750</v>
      </c>
      <c r="F142" s="28">
        <v>2800</v>
      </c>
      <c r="G142" s="28">
        <v>1900</v>
      </c>
      <c r="H142" s="28">
        <v>20</v>
      </c>
      <c r="I142" s="28">
        <v>2800</v>
      </c>
      <c r="J142" s="28">
        <v>120</v>
      </c>
      <c r="K142" s="28">
        <v>5499</v>
      </c>
      <c r="L142" s="28">
        <v>16</v>
      </c>
      <c r="M142" s="28">
        <v>20</v>
      </c>
      <c r="N142" s="28">
        <v>20</v>
      </c>
      <c r="O142" s="28">
        <v>20</v>
      </c>
      <c r="P142" s="27" t="s">
        <v>77</v>
      </c>
      <c r="Q142" s="27" t="s">
        <v>76</v>
      </c>
      <c r="R142" s="27" t="s">
        <v>77</v>
      </c>
      <c r="S142" s="27" t="s">
        <v>82</v>
      </c>
      <c r="T142" s="27" t="s">
        <v>77</v>
      </c>
      <c r="U142" s="27" t="s">
        <v>157</v>
      </c>
      <c r="V142" s="27"/>
      <c r="W142" s="27"/>
      <c r="X142" s="27" t="s">
        <v>79</v>
      </c>
      <c r="Y142" s="27" t="s">
        <v>85</v>
      </c>
      <c r="Z142" s="27"/>
      <c r="AA142" s="27"/>
    </row>
    <row r="143" spans="1:27">
      <c r="A143" s="42">
        <v>141</v>
      </c>
      <c r="B143" s="26" t="s">
        <v>472</v>
      </c>
      <c r="C143" s="29">
        <v>0</v>
      </c>
      <c r="D143" s="29">
        <f t="shared" si="9"/>
        <v>1730</v>
      </c>
      <c r="E143" s="28">
        <v>1750</v>
      </c>
      <c r="F143" s="28">
        <v>2800</v>
      </c>
      <c r="G143" s="28">
        <v>1900</v>
      </c>
      <c r="H143" s="28">
        <v>20</v>
      </c>
      <c r="I143" s="28">
        <v>2800</v>
      </c>
      <c r="J143" s="28">
        <v>120</v>
      </c>
      <c r="K143" s="28">
        <v>5393</v>
      </c>
      <c r="L143" s="28">
        <v>16</v>
      </c>
      <c r="M143" s="28">
        <v>20</v>
      </c>
      <c r="N143" s="28">
        <v>20</v>
      </c>
      <c r="O143" s="28">
        <v>20</v>
      </c>
      <c r="P143" s="27" t="s">
        <v>77</v>
      </c>
      <c r="Q143" s="27" t="s">
        <v>76</v>
      </c>
      <c r="R143" s="27" t="s">
        <v>77</v>
      </c>
      <c r="S143" s="27" t="s">
        <v>82</v>
      </c>
      <c r="T143" s="27" t="s">
        <v>77</v>
      </c>
      <c r="U143" s="27" t="s">
        <v>157</v>
      </c>
      <c r="V143" s="27"/>
      <c r="W143" s="27"/>
      <c r="X143" s="27" t="s">
        <v>79</v>
      </c>
      <c r="Y143" s="27" t="s">
        <v>85</v>
      </c>
      <c r="Z143" s="27"/>
      <c r="AA143" s="27"/>
    </row>
    <row r="144" spans="1:27">
      <c r="A144" s="42">
        <v>142</v>
      </c>
      <c r="B144" s="26" t="s">
        <v>473</v>
      </c>
      <c r="C144" s="29">
        <v>0</v>
      </c>
      <c r="D144" s="29">
        <f t="shared" si="9"/>
        <v>1730</v>
      </c>
      <c r="E144" s="38">
        <v>1750</v>
      </c>
      <c r="F144" s="38">
        <v>2800</v>
      </c>
      <c r="G144" s="38">
        <v>1900</v>
      </c>
      <c r="H144" s="38">
        <v>20</v>
      </c>
      <c r="I144" s="38">
        <v>2800</v>
      </c>
      <c r="J144" s="38">
        <v>120</v>
      </c>
      <c r="K144" s="38">
        <v>5292</v>
      </c>
      <c r="L144" s="38">
        <v>16</v>
      </c>
      <c r="M144" s="38">
        <v>20</v>
      </c>
      <c r="N144" s="38">
        <v>20</v>
      </c>
      <c r="O144" s="38">
        <v>20</v>
      </c>
      <c r="P144" s="27" t="s">
        <v>77</v>
      </c>
      <c r="Q144" s="27" t="s">
        <v>76</v>
      </c>
      <c r="R144" s="27" t="s">
        <v>77</v>
      </c>
      <c r="S144" s="27" t="s">
        <v>82</v>
      </c>
      <c r="T144" s="27" t="s">
        <v>77</v>
      </c>
      <c r="U144" s="27" t="s">
        <v>157</v>
      </c>
      <c r="V144" s="27"/>
      <c r="W144" s="27"/>
      <c r="X144" s="27" t="s">
        <v>79</v>
      </c>
      <c r="Y144" s="27" t="s">
        <v>85</v>
      </c>
      <c r="Z144" s="27"/>
      <c r="AA144" s="27"/>
    </row>
    <row r="145" spans="1:27">
      <c r="A145" s="42">
        <v>143</v>
      </c>
      <c r="B145" s="26" t="s">
        <v>474</v>
      </c>
      <c r="C145" s="29">
        <v>0</v>
      </c>
      <c r="D145" s="29">
        <f t="shared" si="9"/>
        <v>1730</v>
      </c>
      <c r="E145" s="28">
        <v>1750</v>
      </c>
      <c r="F145" s="28">
        <v>2800</v>
      </c>
      <c r="G145" s="28">
        <v>1900</v>
      </c>
      <c r="H145" s="28">
        <v>20</v>
      </c>
      <c r="I145" s="28">
        <v>2800</v>
      </c>
      <c r="J145" s="28">
        <v>120</v>
      </c>
      <c r="K145" s="28">
        <v>5194</v>
      </c>
      <c r="L145" s="28">
        <v>16</v>
      </c>
      <c r="M145" s="28">
        <v>20</v>
      </c>
      <c r="N145" s="28">
        <v>20</v>
      </c>
      <c r="O145" s="28">
        <v>20</v>
      </c>
      <c r="P145" s="27" t="s">
        <v>77</v>
      </c>
      <c r="Q145" s="27" t="s">
        <v>76</v>
      </c>
      <c r="R145" s="27" t="s">
        <v>77</v>
      </c>
      <c r="S145" s="27" t="s">
        <v>82</v>
      </c>
      <c r="T145" s="27" t="s">
        <v>77</v>
      </c>
      <c r="U145" s="27" t="s">
        <v>157</v>
      </c>
      <c r="V145" s="27"/>
      <c r="W145" s="27"/>
      <c r="X145" s="27" t="s">
        <v>79</v>
      </c>
      <c r="Y145" s="27" t="s">
        <v>85</v>
      </c>
      <c r="Z145" s="27"/>
      <c r="AA145" s="27"/>
    </row>
    <row r="146" spans="1:27">
      <c r="A146" s="42">
        <v>144</v>
      </c>
      <c r="B146" s="26" t="s">
        <v>475</v>
      </c>
      <c r="C146" s="29">
        <v>0</v>
      </c>
      <c r="D146" s="29">
        <f t="shared" si="9"/>
        <v>1730</v>
      </c>
      <c r="E146" s="28">
        <v>1750</v>
      </c>
      <c r="F146" s="28">
        <v>2800</v>
      </c>
      <c r="G146" s="28">
        <v>1900</v>
      </c>
      <c r="H146" s="28">
        <v>20</v>
      </c>
      <c r="I146" s="28">
        <v>2800</v>
      </c>
      <c r="J146" s="28">
        <v>120</v>
      </c>
      <c r="K146" s="28">
        <v>5100</v>
      </c>
      <c r="L146" s="28">
        <v>16</v>
      </c>
      <c r="M146" s="28">
        <v>20</v>
      </c>
      <c r="N146" s="28">
        <v>20</v>
      </c>
      <c r="O146" s="28">
        <v>20</v>
      </c>
      <c r="P146" s="27" t="s">
        <v>77</v>
      </c>
      <c r="Q146" s="27" t="s">
        <v>76</v>
      </c>
      <c r="R146" s="27" t="s">
        <v>77</v>
      </c>
      <c r="S146" s="27" t="s">
        <v>82</v>
      </c>
      <c r="T146" s="27" t="s">
        <v>77</v>
      </c>
      <c r="U146" s="27" t="s">
        <v>157</v>
      </c>
      <c r="V146" s="27"/>
      <c r="W146" s="27"/>
      <c r="X146" s="27" t="s">
        <v>79</v>
      </c>
      <c r="Y146" s="27" t="s">
        <v>85</v>
      </c>
      <c r="Z146" s="27"/>
      <c r="AA146" s="27"/>
    </row>
    <row r="147" spans="1:27">
      <c r="A147" s="42">
        <v>145</v>
      </c>
      <c r="B147" s="26" t="s">
        <v>476</v>
      </c>
      <c r="C147" s="29">
        <v>0</v>
      </c>
      <c r="D147" s="29">
        <f t="shared" si="9"/>
        <v>1730</v>
      </c>
      <c r="E147" s="28">
        <v>1750</v>
      </c>
      <c r="F147" s="28">
        <v>2800</v>
      </c>
      <c r="G147" s="28">
        <v>1900</v>
      </c>
      <c r="H147" s="28">
        <v>20</v>
      </c>
      <c r="I147" s="28">
        <v>2800</v>
      </c>
      <c r="J147" s="28">
        <v>120</v>
      </c>
      <c r="K147" s="28">
        <v>5010</v>
      </c>
      <c r="L147" s="28">
        <v>16</v>
      </c>
      <c r="M147" s="28">
        <v>20</v>
      </c>
      <c r="N147" s="28">
        <v>20</v>
      </c>
      <c r="O147" s="28">
        <v>20</v>
      </c>
      <c r="P147" s="27" t="s">
        <v>77</v>
      </c>
      <c r="Q147" s="27" t="s">
        <v>76</v>
      </c>
      <c r="R147" s="27" t="s">
        <v>77</v>
      </c>
      <c r="S147" s="27" t="s">
        <v>82</v>
      </c>
      <c r="T147" s="27" t="s">
        <v>77</v>
      </c>
      <c r="U147" s="27" t="s">
        <v>157</v>
      </c>
      <c r="V147" s="27"/>
      <c r="W147" s="27"/>
      <c r="X147" s="27" t="s">
        <v>79</v>
      </c>
      <c r="Y147" s="27" t="s">
        <v>85</v>
      </c>
      <c r="Z147" s="27"/>
      <c r="AA147" s="27"/>
    </row>
    <row r="148" spans="1:27">
      <c r="A148" s="42">
        <v>146</v>
      </c>
      <c r="B148" s="26" t="s">
        <v>477</v>
      </c>
      <c r="C148" s="29">
        <v>0</v>
      </c>
      <c r="D148" s="29">
        <f t="shared" si="9"/>
        <v>1730</v>
      </c>
      <c r="E148" s="38">
        <v>1750</v>
      </c>
      <c r="F148" s="38">
        <v>2800</v>
      </c>
      <c r="G148" s="38">
        <v>1900</v>
      </c>
      <c r="H148" s="38">
        <v>20</v>
      </c>
      <c r="I148" s="38">
        <v>2800</v>
      </c>
      <c r="J148" s="38">
        <v>120</v>
      </c>
      <c r="K148" s="38">
        <v>4923</v>
      </c>
      <c r="L148" s="38">
        <v>16</v>
      </c>
      <c r="M148" s="38">
        <v>20</v>
      </c>
      <c r="N148" s="38">
        <v>20</v>
      </c>
      <c r="O148" s="38">
        <v>20</v>
      </c>
      <c r="P148" s="27" t="s">
        <v>77</v>
      </c>
      <c r="Q148" s="27" t="s">
        <v>76</v>
      </c>
      <c r="R148" s="27" t="s">
        <v>77</v>
      </c>
      <c r="S148" s="27" t="s">
        <v>82</v>
      </c>
      <c r="T148" s="27" t="s">
        <v>77</v>
      </c>
      <c r="U148" s="27" t="s">
        <v>157</v>
      </c>
      <c r="V148" s="27"/>
      <c r="W148" s="27"/>
      <c r="X148" s="27" t="s">
        <v>79</v>
      </c>
      <c r="Y148" s="27" t="s">
        <v>85</v>
      </c>
      <c r="Z148" s="27"/>
      <c r="AA148" s="27"/>
    </row>
    <row r="149" spans="1:27">
      <c r="A149" s="42">
        <v>147</v>
      </c>
      <c r="B149" s="26" t="s">
        <v>478</v>
      </c>
      <c r="C149" s="29">
        <v>0</v>
      </c>
      <c r="D149" s="29">
        <f t="shared" si="9"/>
        <v>1730</v>
      </c>
      <c r="E149" s="28">
        <v>1750</v>
      </c>
      <c r="F149" s="28">
        <v>2800</v>
      </c>
      <c r="G149" s="28">
        <v>1900</v>
      </c>
      <c r="H149" s="28">
        <v>20</v>
      </c>
      <c r="I149" s="28">
        <v>2800</v>
      </c>
      <c r="J149" s="28">
        <v>120</v>
      </c>
      <c r="K149" s="28">
        <v>4841</v>
      </c>
      <c r="L149" s="28">
        <v>16</v>
      </c>
      <c r="M149" s="28">
        <v>20</v>
      </c>
      <c r="N149" s="28">
        <v>20</v>
      </c>
      <c r="O149" s="28">
        <v>20</v>
      </c>
      <c r="P149" s="27" t="s">
        <v>77</v>
      </c>
      <c r="Q149" s="27" t="s">
        <v>76</v>
      </c>
      <c r="R149" s="27" t="s">
        <v>77</v>
      </c>
      <c r="S149" s="27" t="s">
        <v>82</v>
      </c>
      <c r="T149" s="27" t="s">
        <v>77</v>
      </c>
      <c r="U149" s="27" t="s">
        <v>157</v>
      </c>
      <c r="V149" s="27"/>
      <c r="W149" s="27"/>
      <c r="X149" s="27" t="s">
        <v>79</v>
      </c>
      <c r="Y149" s="27" t="s">
        <v>85</v>
      </c>
      <c r="Z149" s="27"/>
      <c r="AA149" s="27"/>
    </row>
    <row r="150" spans="1:27">
      <c r="A150" s="42">
        <v>148</v>
      </c>
      <c r="B150" s="26" t="s">
        <v>479</v>
      </c>
      <c r="C150" s="29">
        <v>0</v>
      </c>
      <c r="D150" s="29">
        <f t="shared" si="9"/>
        <v>1730</v>
      </c>
      <c r="E150" s="28">
        <v>1750</v>
      </c>
      <c r="F150" s="28">
        <v>2800</v>
      </c>
      <c r="G150" s="28">
        <v>1900</v>
      </c>
      <c r="H150" s="28">
        <v>20</v>
      </c>
      <c r="I150" s="28">
        <v>2800</v>
      </c>
      <c r="J150" s="28">
        <v>120</v>
      </c>
      <c r="K150" s="28">
        <v>4762</v>
      </c>
      <c r="L150" s="28">
        <v>16</v>
      </c>
      <c r="M150" s="28">
        <v>20</v>
      </c>
      <c r="N150" s="28">
        <v>20</v>
      </c>
      <c r="O150" s="28">
        <v>20</v>
      </c>
      <c r="P150" s="27" t="s">
        <v>77</v>
      </c>
      <c r="Q150" s="27" t="s">
        <v>76</v>
      </c>
      <c r="R150" s="27" t="s">
        <v>77</v>
      </c>
      <c r="S150" s="27" t="s">
        <v>82</v>
      </c>
      <c r="T150" s="27" t="s">
        <v>77</v>
      </c>
      <c r="U150" s="27" t="s">
        <v>157</v>
      </c>
      <c r="V150" s="27"/>
      <c r="W150" s="27"/>
      <c r="X150" s="27" t="s">
        <v>79</v>
      </c>
      <c r="Y150" s="27" t="s">
        <v>85</v>
      </c>
      <c r="Z150" s="27"/>
      <c r="AA150" s="27"/>
    </row>
    <row r="151" spans="1:27">
      <c r="A151" s="42">
        <v>149</v>
      </c>
      <c r="B151" s="26" t="s">
        <v>480</v>
      </c>
      <c r="C151" s="29">
        <v>0</v>
      </c>
      <c r="D151" s="29">
        <f t="shared" si="9"/>
        <v>1730</v>
      </c>
      <c r="E151" s="28">
        <v>1750</v>
      </c>
      <c r="F151" s="28">
        <v>2800</v>
      </c>
      <c r="G151" s="28">
        <v>1900</v>
      </c>
      <c r="H151" s="28">
        <v>20</v>
      </c>
      <c r="I151" s="28">
        <v>2800</v>
      </c>
      <c r="J151" s="28">
        <v>120</v>
      </c>
      <c r="K151" s="28">
        <v>4687</v>
      </c>
      <c r="L151" s="28">
        <v>16</v>
      </c>
      <c r="M151" s="28">
        <v>20</v>
      </c>
      <c r="N151" s="28">
        <v>20</v>
      </c>
      <c r="O151" s="28">
        <v>20</v>
      </c>
      <c r="P151" s="27" t="s">
        <v>77</v>
      </c>
      <c r="Q151" s="27" t="s">
        <v>76</v>
      </c>
      <c r="R151" s="27" t="s">
        <v>77</v>
      </c>
      <c r="S151" s="27" t="s">
        <v>82</v>
      </c>
      <c r="T151" s="27" t="s">
        <v>77</v>
      </c>
      <c r="U151" s="27" t="s">
        <v>157</v>
      </c>
      <c r="V151" s="27"/>
      <c r="W151" s="27"/>
      <c r="X151" s="27" t="s">
        <v>79</v>
      </c>
      <c r="Y151" s="27" t="s">
        <v>85</v>
      </c>
      <c r="Z151" s="27"/>
      <c r="AA151" s="27"/>
    </row>
    <row r="152" spans="1:27">
      <c r="A152" s="42">
        <v>150</v>
      </c>
      <c r="B152" s="26" t="s">
        <v>481</v>
      </c>
      <c r="C152" s="29">
        <v>0</v>
      </c>
      <c r="D152" s="29">
        <f t="shared" si="9"/>
        <v>1730</v>
      </c>
      <c r="E152" s="38">
        <v>1750</v>
      </c>
      <c r="F152" s="38">
        <v>2800</v>
      </c>
      <c r="G152" s="38">
        <v>1900</v>
      </c>
      <c r="H152" s="38">
        <v>20</v>
      </c>
      <c r="I152" s="38">
        <v>2800</v>
      </c>
      <c r="J152" s="38">
        <v>120</v>
      </c>
      <c r="K152" s="38">
        <v>4616</v>
      </c>
      <c r="L152" s="38">
        <v>16</v>
      </c>
      <c r="M152" s="38">
        <v>20</v>
      </c>
      <c r="N152" s="38">
        <v>20</v>
      </c>
      <c r="O152" s="38">
        <v>20</v>
      </c>
      <c r="P152" s="27" t="s">
        <v>77</v>
      </c>
      <c r="Q152" s="27" t="s">
        <v>76</v>
      </c>
      <c r="R152" s="27" t="s">
        <v>77</v>
      </c>
      <c r="S152" s="27" t="s">
        <v>82</v>
      </c>
      <c r="T152" s="27" t="s">
        <v>77</v>
      </c>
      <c r="U152" s="27" t="s">
        <v>157</v>
      </c>
      <c r="V152" s="27"/>
      <c r="W152" s="27"/>
      <c r="X152" s="27" t="s">
        <v>79</v>
      </c>
      <c r="Y152" s="27" t="s">
        <v>85</v>
      </c>
      <c r="Z152" s="27"/>
      <c r="AA152" s="27"/>
    </row>
    <row r="153" spans="1:27">
      <c r="A153" s="42">
        <v>151</v>
      </c>
      <c r="B153" s="26" t="s">
        <v>482</v>
      </c>
      <c r="C153" s="29">
        <v>0</v>
      </c>
      <c r="D153" s="29">
        <f t="shared" si="9"/>
        <v>1730</v>
      </c>
      <c r="E153" s="28">
        <v>1750</v>
      </c>
      <c r="F153" s="28">
        <v>2800</v>
      </c>
      <c r="G153" s="28">
        <v>1900</v>
      </c>
      <c r="H153" s="28">
        <v>20</v>
      </c>
      <c r="I153" s="28">
        <v>2800</v>
      </c>
      <c r="J153" s="28">
        <v>120</v>
      </c>
      <c r="K153" s="28">
        <v>4550</v>
      </c>
      <c r="L153" s="28">
        <v>16</v>
      </c>
      <c r="M153" s="28">
        <v>20</v>
      </c>
      <c r="N153" s="28">
        <v>20</v>
      </c>
      <c r="O153" s="28">
        <v>20</v>
      </c>
      <c r="P153" s="27" t="s">
        <v>77</v>
      </c>
      <c r="Q153" s="27" t="s">
        <v>76</v>
      </c>
      <c r="R153" s="27" t="s">
        <v>77</v>
      </c>
      <c r="S153" s="27" t="s">
        <v>82</v>
      </c>
      <c r="T153" s="27" t="s">
        <v>77</v>
      </c>
      <c r="U153" s="27" t="s">
        <v>157</v>
      </c>
      <c r="V153" s="27"/>
      <c r="W153" s="27"/>
      <c r="X153" s="27" t="s">
        <v>79</v>
      </c>
      <c r="Y153" s="27" t="s">
        <v>85</v>
      </c>
      <c r="Z153" s="27"/>
      <c r="AA153" s="27"/>
    </row>
    <row r="154" spans="1:27">
      <c r="A154" s="42">
        <v>152</v>
      </c>
      <c r="B154" s="26" t="s">
        <v>483</v>
      </c>
      <c r="C154" s="29">
        <v>0</v>
      </c>
      <c r="D154" s="29">
        <f t="shared" si="9"/>
        <v>1730</v>
      </c>
      <c r="E154" s="28">
        <v>1750</v>
      </c>
      <c r="F154" s="28">
        <v>2800</v>
      </c>
      <c r="G154" s="28">
        <v>1900</v>
      </c>
      <c r="H154" s="28">
        <v>20</v>
      </c>
      <c r="I154" s="28">
        <v>2800</v>
      </c>
      <c r="J154" s="28">
        <v>120</v>
      </c>
      <c r="K154" s="28">
        <v>4486</v>
      </c>
      <c r="L154" s="28">
        <v>16</v>
      </c>
      <c r="M154" s="28">
        <v>20</v>
      </c>
      <c r="N154" s="28">
        <v>20</v>
      </c>
      <c r="O154" s="28">
        <v>20</v>
      </c>
      <c r="P154" s="27" t="s">
        <v>77</v>
      </c>
      <c r="Q154" s="27" t="s">
        <v>76</v>
      </c>
      <c r="R154" s="27" t="s">
        <v>77</v>
      </c>
      <c r="S154" s="27" t="s">
        <v>82</v>
      </c>
      <c r="T154" s="27" t="s">
        <v>77</v>
      </c>
      <c r="U154" s="27" t="s">
        <v>157</v>
      </c>
      <c r="V154" s="27"/>
      <c r="W154" s="27"/>
      <c r="X154" s="27" t="s">
        <v>79</v>
      </c>
      <c r="Y154" s="27" t="s">
        <v>85</v>
      </c>
      <c r="Z154" s="27"/>
      <c r="AA154" s="27"/>
    </row>
    <row r="155" spans="1:27">
      <c r="A155" s="42">
        <v>153</v>
      </c>
      <c r="B155" s="26" t="s">
        <v>484</v>
      </c>
      <c r="C155" s="29">
        <v>0</v>
      </c>
      <c r="D155" s="29">
        <f t="shared" si="9"/>
        <v>1730</v>
      </c>
      <c r="E155" s="28">
        <v>1750</v>
      </c>
      <c r="F155" s="28">
        <v>2800</v>
      </c>
      <c r="G155" s="28">
        <v>1900</v>
      </c>
      <c r="H155" s="28">
        <v>20</v>
      </c>
      <c r="I155" s="28">
        <v>2800</v>
      </c>
      <c r="J155" s="28">
        <v>120</v>
      </c>
      <c r="K155" s="28">
        <v>4427</v>
      </c>
      <c r="L155" s="28">
        <v>16</v>
      </c>
      <c r="M155" s="28">
        <v>20</v>
      </c>
      <c r="N155" s="28">
        <v>20</v>
      </c>
      <c r="O155" s="28">
        <v>20</v>
      </c>
      <c r="P155" s="27" t="s">
        <v>77</v>
      </c>
      <c r="Q155" s="27" t="s">
        <v>76</v>
      </c>
      <c r="R155" s="27" t="s">
        <v>77</v>
      </c>
      <c r="S155" s="27" t="s">
        <v>82</v>
      </c>
      <c r="T155" s="27" t="s">
        <v>77</v>
      </c>
      <c r="U155" s="27" t="s">
        <v>157</v>
      </c>
      <c r="V155" s="27"/>
      <c r="W155" s="27"/>
      <c r="X155" s="27" t="s">
        <v>79</v>
      </c>
      <c r="Y155" s="27" t="s">
        <v>85</v>
      </c>
      <c r="Z155" s="27"/>
      <c r="AA155" s="27"/>
    </row>
    <row r="156" spans="1:27">
      <c r="A156" s="42">
        <v>154</v>
      </c>
      <c r="B156" s="26" t="s">
        <v>485</v>
      </c>
      <c r="C156" s="29">
        <v>0</v>
      </c>
      <c r="D156" s="29">
        <f t="shared" si="9"/>
        <v>1730</v>
      </c>
      <c r="E156" s="38">
        <v>1750</v>
      </c>
      <c r="F156" s="38">
        <v>2800</v>
      </c>
      <c r="G156" s="38">
        <v>1900</v>
      </c>
      <c r="H156" s="38">
        <v>20</v>
      </c>
      <c r="I156" s="38">
        <v>2800</v>
      </c>
      <c r="J156" s="38">
        <v>120</v>
      </c>
      <c r="K156" s="38">
        <v>4372</v>
      </c>
      <c r="L156" s="38">
        <v>16</v>
      </c>
      <c r="M156" s="38">
        <v>20</v>
      </c>
      <c r="N156" s="38">
        <v>20</v>
      </c>
      <c r="O156" s="38">
        <v>20</v>
      </c>
      <c r="P156" s="27" t="s">
        <v>77</v>
      </c>
      <c r="Q156" s="27" t="s">
        <v>76</v>
      </c>
      <c r="R156" s="27" t="s">
        <v>77</v>
      </c>
      <c r="S156" s="27" t="s">
        <v>82</v>
      </c>
      <c r="T156" s="27" t="s">
        <v>77</v>
      </c>
      <c r="U156" s="27" t="s">
        <v>157</v>
      </c>
      <c r="V156" s="27"/>
      <c r="W156" s="27"/>
      <c r="X156" s="27" t="s">
        <v>79</v>
      </c>
      <c r="Y156" s="27" t="s">
        <v>85</v>
      </c>
      <c r="Z156" s="27"/>
      <c r="AA156" s="27"/>
    </row>
    <row r="157" spans="1:27">
      <c r="A157" s="42">
        <v>155</v>
      </c>
      <c r="B157" s="26" t="s">
        <v>486</v>
      </c>
      <c r="C157" s="29">
        <v>0</v>
      </c>
      <c r="D157" s="29">
        <f t="shared" si="9"/>
        <v>1730</v>
      </c>
      <c r="E157" s="28">
        <v>1750</v>
      </c>
      <c r="F157" s="28">
        <v>2800</v>
      </c>
      <c r="G157" s="28">
        <v>1900</v>
      </c>
      <c r="H157" s="28">
        <v>20</v>
      </c>
      <c r="I157" s="28">
        <v>2800</v>
      </c>
      <c r="J157" s="28">
        <v>120</v>
      </c>
      <c r="K157" s="28">
        <v>4320</v>
      </c>
      <c r="L157" s="28">
        <v>16</v>
      </c>
      <c r="M157" s="28">
        <v>20</v>
      </c>
      <c r="N157" s="28">
        <v>20</v>
      </c>
      <c r="O157" s="28">
        <v>20</v>
      </c>
      <c r="P157" s="27" t="s">
        <v>77</v>
      </c>
      <c r="Q157" s="27" t="s">
        <v>76</v>
      </c>
      <c r="R157" s="27" t="s">
        <v>77</v>
      </c>
      <c r="S157" s="27" t="s">
        <v>82</v>
      </c>
      <c r="T157" s="27" t="s">
        <v>77</v>
      </c>
      <c r="U157" s="27" t="s">
        <v>157</v>
      </c>
      <c r="V157" s="27"/>
      <c r="W157" s="27"/>
      <c r="X157" s="27" t="s">
        <v>79</v>
      </c>
      <c r="Y157" s="27" t="s">
        <v>85</v>
      </c>
      <c r="Z157" s="27"/>
      <c r="AA157" s="27"/>
    </row>
    <row r="158" spans="1:27">
      <c r="A158" s="42">
        <v>156</v>
      </c>
      <c r="B158" s="26" t="s">
        <v>487</v>
      </c>
      <c r="C158" s="29">
        <v>0</v>
      </c>
      <c r="D158" s="29">
        <f t="shared" si="9"/>
        <v>1730</v>
      </c>
      <c r="E158" s="28">
        <v>1750</v>
      </c>
      <c r="F158" s="28">
        <v>2800</v>
      </c>
      <c r="G158" s="28">
        <v>1900</v>
      </c>
      <c r="H158" s="28">
        <v>20</v>
      </c>
      <c r="I158" s="28">
        <v>2800</v>
      </c>
      <c r="J158" s="28">
        <v>120</v>
      </c>
      <c r="K158" s="28">
        <v>4272</v>
      </c>
      <c r="L158" s="28">
        <v>16</v>
      </c>
      <c r="M158" s="28">
        <v>20</v>
      </c>
      <c r="N158" s="28">
        <v>20</v>
      </c>
      <c r="O158" s="28">
        <v>20</v>
      </c>
      <c r="P158" s="27" t="s">
        <v>77</v>
      </c>
      <c r="Q158" s="27" t="s">
        <v>76</v>
      </c>
      <c r="R158" s="27" t="s">
        <v>77</v>
      </c>
      <c r="S158" s="27" t="s">
        <v>82</v>
      </c>
      <c r="T158" s="27" t="s">
        <v>77</v>
      </c>
      <c r="U158" s="27" t="s">
        <v>157</v>
      </c>
      <c r="V158" s="27"/>
      <c r="W158" s="27"/>
      <c r="X158" s="27" t="s">
        <v>79</v>
      </c>
      <c r="Y158" s="27" t="s">
        <v>85</v>
      </c>
      <c r="Z158" s="27"/>
      <c r="AA158" s="27"/>
    </row>
    <row r="159" spans="1:27">
      <c r="A159" s="42">
        <v>157</v>
      </c>
      <c r="B159" s="26" t="s">
        <v>488</v>
      </c>
      <c r="C159" s="29">
        <v>0</v>
      </c>
      <c r="D159" s="29">
        <f t="shared" si="9"/>
        <v>1730</v>
      </c>
      <c r="E159" s="28">
        <v>1750</v>
      </c>
      <c r="F159" s="28">
        <v>2800</v>
      </c>
      <c r="G159" s="28">
        <v>1900</v>
      </c>
      <c r="H159" s="28">
        <v>20</v>
      </c>
      <c r="I159" s="28">
        <v>2800</v>
      </c>
      <c r="J159" s="28">
        <v>120</v>
      </c>
      <c r="K159" s="28">
        <v>4228</v>
      </c>
      <c r="L159" s="28">
        <v>16</v>
      </c>
      <c r="M159" s="28">
        <v>20</v>
      </c>
      <c r="N159" s="28">
        <v>20</v>
      </c>
      <c r="O159" s="28">
        <v>20</v>
      </c>
      <c r="P159" s="27" t="s">
        <v>77</v>
      </c>
      <c r="Q159" s="27" t="s">
        <v>76</v>
      </c>
      <c r="R159" s="27" t="s">
        <v>77</v>
      </c>
      <c r="S159" s="27" t="s">
        <v>82</v>
      </c>
      <c r="T159" s="27" t="s">
        <v>77</v>
      </c>
      <c r="U159" s="27" t="s">
        <v>157</v>
      </c>
      <c r="V159" s="27"/>
      <c r="W159" s="27"/>
      <c r="X159" s="27" t="s">
        <v>79</v>
      </c>
      <c r="Y159" s="27" t="s">
        <v>85</v>
      </c>
      <c r="Z159" s="27"/>
      <c r="AA159" s="27"/>
    </row>
    <row r="160" spans="1:27">
      <c r="A160" s="42">
        <v>158</v>
      </c>
      <c r="B160" s="26" t="s">
        <v>489</v>
      </c>
      <c r="C160" s="29">
        <v>0</v>
      </c>
      <c r="D160" s="29">
        <f t="shared" si="9"/>
        <v>1730</v>
      </c>
      <c r="E160" s="38">
        <v>1750</v>
      </c>
      <c r="F160" s="38">
        <v>2800</v>
      </c>
      <c r="G160" s="38">
        <v>1900</v>
      </c>
      <c r="H160" s="38">
        <v>20</v>
      </c>
      <c r="I160" s="38">
        <v>2800</v>
      </c>
      <c r="J160" s="38">
        <v>120</v>
      </c>
      <c r="K160" s="38">
        <v>4188</v>
      </c>
      <c r="L160" s="38">
        <v>16</v>
      </c>
      <c r="M160" s="38">
        <v>20</v>
      </c>
      <c r="N160" s="38">
        <v>20</v>
      </c>
      <c r="O160" s="38">
        <v>20</v>
      </c>
      <c r="P160" s="27" t="s">
        <v>77</v>
      </c>
      <c r="Q160" s="27" t="s">
        <v>76</v>
      </c>
      <c r="R160" s="27" t="s">
        <v>77</v>
      </c>
      <c r="S160" s="27" t="s">
        <v>82</v>
      </c>
      <c r="T160" s="27" t="s">
        <v>77</v>
      </c>
      <c r="U160" s="27" t="s">
        <v>157</v>
      </c>
      <c r="V160" s="27"/>
      <c r="W160" s="27"/>
      <c r="X160" s="27" t="s">
        <v>79</v>
      </c>
      <c r="Y160" s="27" t="s">
        <v>85</v>
      </c>
      <c r="Z160" s="27"/>
      <c r="AA160" s="27"/>
    </row>
    <row r="161" spans="1:27">
      <c r="A161" s="42">
        <v>159</v>
      </c>
      <c r="B161" s="26" t="s">
        <v>490</v>
      </c>
      <c r="C161" s="29">
        <v>0</v>
      </c>
      <c r="D161" s="29">
        <f t="shared" si="9"/>
        <v>1730</v>
      </c>
      <c r="E161" s="28">
        <v>1750</v>
      </c>
      <c r="F161" s="28">
        <v>2800</v>
      </c>
      <c r="G161" s="28">
        <v>1900</v>
      </c>
      <c r="H161" s="28">
        <v>20</v>
      </c>
      <c r="I161" s="28">
        <v>2800</v>
      </c>
      <c r="J161" s="28">
        <v>120</v>
      </c>
      <c r="K161" s="28">
        <v>4152</v>
      </c>
      <c r="L161" s="28">
        <v>16</v>
      </c>
      <c r="M161" s="28">
        <v>20</v>
      </c>
      <c r="N161" s="28">
        <v>20</v>
      </c>
      <c r="O161" s="28">
        <v>20</v>
      </c>
      <c r="P161" s="27" t="s">
        <v>77</v>
      </c>
      <c r="Q161" s="27" t="s">
        <v>76</v>
      </c>
      <c r="R161" s="27" t="s">
        <v>77</v>
      </c>
      <c r="S161" s="27" t="s">
        <v>82</v>
      </c>
      <c r="T161" s="27" t="s">
        <v>77</v>
      </c>
      <c r="U161" s="27" t="s">
        <v>157</v>
      </c>
      <c r="V161" s="27"/>
      <c r="W161" s="27"/>
      <c r="X161" s="27" t="s">
        <v>79</v>
      </c>
      <c r="Y161" s="27" t="s">
        <v>85</v>
      </c>
      <c r="Z161" s="27"/>
      <c r="AA161" s="27"/>
    </row>
    <row r="162" spans="1:27">
      <c r="A162" s="42">
        <v>160</v>
      </c>
      <c r="B162" s="26" t="s">
        <v>491</v>
      </c>
      <c r="C162" s="29">
        <v>0</v>
      </c>
      <c r="D162" s="29">
        <f t="shared" si="9"/>
        <v>1730</v>
      </c>
      <c r="E162" s="28">
        <v>1750</v>
      </c>
      <c r="F162" s="28">
        <v>2800</v>
      </c>
      <c r="G162" s="28">
        <v>1900</v>
      </c>
      <c r="H162" s="28">
        <v>20</v>
      </c>
      <c r="I162" s="28">
        <v>2800</v>
      </c>
      <c r="J162" s="28">
        <v>120</v>
      </c>
      <c r="K162" s="28">
        <v>4120</v>
      </c>
      <c r="L162" s="28">
        <v>16</v>
      </c>
      <c r="M162" s="28">
        <v>20</v>
      </c>
      <c r="N162" s="28">
        <v>20</v>
      </c>
      <c r="O162" s="28">
        <v>20</v>
      </c>
      <c r="P162" s="27" t="s">
        <v>77</v>
      </c>
      <c r="Q162" s="27" t="s">
        <v>76</v>
      </c>
      <c r="R162" s="27" t="s">
        <v>77</v>
      </c>
      <c r="S162" s="27" t="s">
        <v>82</v>
      </c>
      <c r="T162" s="27" t="s">
        <v>77</v>
      </c>
      <c r="U162" s="27" t="s">
        <v>157</v>
      </c>
      <c r="V162" s="27"/>
      <c r="W162" s="27"/>
      <c r="X162" s="27" t="s">
        <v>79</v>
      </c>
      <c r="Y162" s="27" t="s">
        <v>85</v>
      </c>
      <c r="Z162" s="27"/>
      <c r="AA162" s="27"/>
    </row>
    <row r="163" spans="1:27">
      <c r="A163" s="42">
        <v>161</v>
      </c>
      <c r="B163" s="26" t="s">
        <v>492</v>
      </c>
      <c r="C163" s="29">
        <v>0</v>
      </c>
      <c r="D163" s="29">
        <f t="shared" si="9"/>
        <v>1730</v>
      </c>
      <c r="E163" s="28">
        <v>1750</v>
      </c>
      <c r="F163" s="28">
        <v>2800</v>
      </c>
      <c r="G163" s="28">
        <v>1900</v>
      </c>
      <c r="H163" s="28">
        <v>20</v>
      </c>
      <c r="I163" s="28">
        <v>2800</v>
      </c>
      <c r="J163" s="28">
        <v>120</v>
      </c>
      <c r="K163" s="28">
        <v>4091</v>
      </c>
      <c r="L163" s="28">
        <v>16</v>
      </c>
      <c r="M163" s="28">
        <v>20</v>
      </c>
      <c r="N163" s="28">
        <v>20</v>
      </c>
      <c r="O163" s="28">
        <v>20</v>
      </c>
      <c r="P163" s="27" t="s">
        <v>77</v>
      </c>
      <c r="Q163" s="27" t="s">
        <v>76</v>
      </c>
      <c r="R163" s="27" t="s">
        <v>77</v>
      </c>
      <c r="S163" s="27" t="s">
        <v>82</v>
      </c>
      <c r="T163" s="27" t="s">
        <v>77</v>
      </c>
      <c r="U163" s="27" t="s">
        <v>157</v>
      </c>
      <c r="V163" s="27"/>
      <c r="W163" s="27"/>
      <c r="X163" s="27" t="s">
        <v>79</v>
      </c>
      <c r="Y163" s="27" t="s">
        <v>85</v>
      </c>
      <c r="Z163" s="27"/>
      <c r="AA163" s="27"/>
    </row>
    <row r="164" spans="1:27">
      <c r="A164" s="42">
        <v>162</v>
      </c>
      <c r="B164" s="26" t="s">
        <v>493</v>
      </c>
      <c r="C164" s="29">
        <v>0</v>
      </c>
      <c r="D164" s="29">
        <f t="shared" si="9"/>
        <v>1730</v>
      </c>
      <c r="E164" s="38">
        <v>1750</v>
      </c>
      <c r="F164" s="38">
        <v>2800</v>
      </c>
      <c r="G164" s="38">
        <v>1900</v>
      </c>
      <c r="H164" s="38">
        <v>20</v>
      </c>
      <c r="I164" s="38">
        <v>2800</v>
      </c>
      <c r="J164" s="38">
        <v>120</v>
      </c>
      <c r="K164" s="38">
        <v>4067</v>
      </c>
      <c r="L164" s="38">
        <v>16</v>
      </c>
      <c r="M164" s="38">
        <v>20</v>
      </c>
      <c r="N164" s="38">
        <v>20</v>
      </c>
      <c r="O164" s="38">
        <v>20</v>
      </c>
      <c r="P164" s="27" t="s">
        <v>77</v>
      </c>
      <c r="Q164" s="27" t="s">
        <v>76</v>
      </c>
      <c r="R164" s="27" t="s">
        <v>77</v>
      </c>
      <c r="S164" s="27" t="s">
        <v>82</v>
      </c>
      <c r="T164" s="27" t="s">
        <v>77</v>
      </c>
      <c r="U164" s="27" t="s">
        <v>157</v>
      </c>
      <c r="V164" s="27"/>
      <c r="W164" s="27"/>
      <c r="X164" s="27" t="s">
        <v>79</v>
      </c>
      <c r="Y164" s="27" t="s">
        <v>85</v>
      </c>
      <c r="Z164" s="27"/>
      <c r="AA164" s="27"/>
    </row>
    <row r="165" spans="1:27">
      <c r="A165" s="42">
        <v>163</v>
      </c>
      <c r="B165" s="26" t="s">
        <v>494</v>
      </c>
      <c r="C165" s="29">
        <v>0</v>
      </c>
      <c r="D165" s="29">
        <f t="shared" si="9"/>
        <v>1730</v>
      </c>
      <c r="E165" s="28">
        <v>1750</v>
      </c>
      <c r="F165" s="28">
        <v>2800</v>
      </c>
      <c r="G165" s="28">
        <v>1900</v>
      </c>
      <c r="H165" s="28">
        <v>20</v>
      </c>
      <c r="I165" s="28">
        <v>2800</v>
      </c>
      <c r="J165" s="28">
        <v>120</v>
      </c>
      <c r="K165" s="28">
        <v>4046</v>
      </c>
      <c r="L165" s="28">
        <v>16</v>
      </c>
      <c r="M165" s="28">
        <v>20</v>
      </c>
      <c r="N165" s="28">
        <v>20</v>
      </c>
      <c r="O165" s="28">
        <v>20</v>
      </c>
      <c r="P165" s="27" t="s">
        <v>77</v>
      </c>
      <c r="Q165" s="27" t="s">
        <v>76</v>
      </c>
      <c r="R165" s="27" t="s">
        <v>77</v>
      </c>
      <c r="S165" s="27" t="s">
        <v>82</v>
      </c>
      <c r="T165" s="27" t="s">
        <v>77</v>
      </c>
      <c r="U165" s="27" t="s">
        <v>157</v>
      </c>
      <c r="V165" s="27"/>
      <c r="W165" s="27"/>
      <c r="X165" s="27" t="s">
        <v>79</v>
      </c>
      <c r="Y165" s="27" t="s">
        <v>85</v>
      </c>
      <c r="Z165" s="27"/>
      <c r="AA165" s="27"/>
    </row>
    <row r="166" spans="1:27">
      <c r="A166" s="42">
        <v>164</v>
      </c>
      <c r="B166" s="26" t="s">
        <v>495</v>
      </c>
      <c r="C166" s="29">
        <v>0</v>
      </c>
      <c r="D166" s="29">
        <f t="shared" si="9"/>
        <v>1730</v>
      </c>
      <c r="E166" s="28">
        <v>1750</v>
      </c>
      <c r="F166" s="28">
        <v>2800</v>
      </c>
      <c r="G166" s="28">
        <v>1900</v>
      </c>
      <c r="H166" s="28">
        <v>20</v>
      </c>
      <c r="I166" s="28">
        <v>2800</v>
      </c>
      <c r="J166" s="28">
        <v>120</v>
      </c>
      <c r="K166" s="28">
        <v>4029</v>
      </c>
      <c r="L166" s="28">
        <v>16</v>
      </c>
      <c r="M166" s="28">
        <v>20</v>
      </c>
      <c r="N166" s="28">
        <v>20</v>
      </c>
      <c r="O166" s="28">
        <v>20</v>
      </c>
      <c r="P166" s="27" t="s">
        <v>77</v>
      </c>
      <c r="Q166" s="27" t="s">
        <v>76</v>
      </c>
      <c r="R166" s="27" t="s">
        <v>77</v>
      </c>
      <c r="S166" s="27" t="s">
        <v>82</v>
      </c>
      <c r="T166" s="27" t="s">
        <v>77</v>
      </c>
      <c r="U166" s="27" t="s">
        <v>157</v>
      </c>
      <c r="V166" s="27"/>
      <c r="W166" s="27"/>
      <c r="X166" s="27" t="s">
        <v>79</v>
      </c>
      <c r="Y166" s="27" t="s">
        <v>85</v>
      </c>
      <c r="Z166" s="27"/>
      <c r="AA166" s="27"/>
    </row>
    <row r="167" spans="1:27">
      <c r="A167" s="42">
        <v>165</v>
      </c>
      <c r="B167" s="26" t="s">
        <v>496</v>
      </c>
      <c r="C167" s="29">
        <v>0</v>
      </c>
      <c r="D167" s="29">
        <f t="shared" si="9"/>
        <v>1730</v>
      </c>
      <c r="E167" s="28">
        <v>1750</v>
      </c>
      <c r="F167" s="28">
        <v>2800</v>
      </c>
      <c r="G167" s="28">
        <v>1900</v>
      </c>
      <c r="H167" s="28">
        <v>20</v>
      </c>
      <c r="I167" s="28">
        <v>2800</v>
      </c>
      <c r="J167" s="28">
        <v>120</v>
      </c>
      <c r="K167" s="28">
        <v>4016</v>
      </c>
      <c r="L167" s="28">
        <v>16</v>
      </c>
      <c r="M167" s="28">
        <v>20</v>
      </c>
      <c r="N167" s="28">
        <v>20</v>
      </c>
      <c r="O167" s="28">
        <v>20</v>
      </c>
      <c r="P167" s="27" t="s">
        <v>77</v>
      </c>
      <c r="Q167" s="27" t="s">
        <v>76</v>
      </c>
      <c r="R167" s="27" t="s">
        <v>77</v>
      </c>
      <c r="S167" s="27" t="s">
        <v>82</v>
      </c>
      <c r="T167" s="27" t="s">
        <v>77</v>
      </c>
      <c r="U167" s="27" t="s">
        <v>157</v>
      </c>
      <c r="V167" s="27"/>
      <c r="W167" s="27"/>
      <c r="X167" s="27" t="s">
        <v>79</v>
      </c>
      <c r="Y167" s="27" t="s">
        <v>85</v>
      </c>
      <c r="Z167" s="27"/>
      <c r="AA167" s="27"/>
    </row>
    <row r="168" spans="1:27">
      <c r="A168" s="42">
        <v>166</v>
      </c>
      <c r="B168" s="26" t="s">
        <v>497</v>
      </c>
      <c r="C168" s="29">
        <v>0</v>
      </c>
      <c r="D168" s="29">
        <f t="shared" si="9"/>
        <v>1730</v>
      </c>
      <c r="E168" s="38">
        <v>1750</v>
      </c>
      <c r="F168" s="38">
        <v>2800</v>
      </c>
      <c r="G168" s="38">
        <v>1900</v>
      </c>
      <c r="H168" s="38">
        <v>20</v>
      </c>
      <c r="I168" s="38">
        <v>2800</v>
      </c>
      <c r="J168" s="38">
        <v>120</v>
      </c>
      <c r="K168" s="38">
        <v>4007</v>
      </c>
      <c r="L168" s="38">
        <v>16</v>
      </c>
      <c r="M168" s="38">
        <v>20</v>
      </c>
      <c r="N168" s="38">
        <v>20</v>
      </c>
      <c r="O168" s="38">
        <v>20</v>
      </c>
      <c r="P168" s="27" t="s">
        <v>77</v>
      </c>
      <c r="Q168" s="27" t="s">
        <v>76</v>
      </c>
      <c r="R168" s="27" t="s">
        <v>77</v>
      </c>
      <c r="S168" s="27" t="s">
        <v>82</v>
      </c>
      <c r="T168" s="27" t="s">
        <v>77</v>
      </c>
      <c r="U168" s="27" t="s">
        <v>157</v>
      </c>
      <c r="V168" s="27"/>
      <c r="W168" s="27"/>
      <c r="X168" s="27" t="s">
        <v>79</v>
      </c>
      <c r="Y168" s="27" t="s">
        <v>85</v>
      </c>
      <c r="Z168" s="27"/>
      <c r="AA168" s="27"/>
    </row>
    <row r="169" spans="1:27">
      <c r="A169" s="42">
        <v>167</v>
      </c>
      <c r="B169" s="26" t="s">
        <v>498</v>
      </c>
      <c r="C169" s="29">
        <v>0</v>
      </c>
      <c r="D169" s="29">
        <f t="shared" si="9"/>
        <v>1730</v>
      </c>
      <c r="E169" s="28">
        <v>1750</v>
      </c>
      <c r="F169" s="28">
        <v>2800</v>
      </c>
      <c r="G169" s="28">
        <v>1900</v>
      </c>
      <c r="H169" s="28">
        <v>20</v>
      </c>
      <c r="I169" s="28">
        <v>2800</v>
      </c>
      <c r="J169" s="28">
        <v>120</v>
      </c>
      <c r="K169" s="28">
        <v>4002</v>
      </c>
      <c r="L169" s="28">
        <v>16</v>
      </c>
      <c r="M169" s="28">
        <v>20</v>
      </c>
      <c r="N169" s="28">
        <v>20</v>
      </c>
      <c r="O169" s="28">
        <v>20</v>
      </c>
      <c r="P169" s="27" t="s">
        <v>77</v>
      </c>
      <c r="Q169" s="27" t="s">
        <v>76</v>
      </c>
      <c r="R169" s="27" t="s">
        <v>77</v>
      </c>
      <c r="S169" s="27" t="s">
        <v>82</v>
      </c>
      <c r="T169" s="27" t="s">
        <v>77</v>
      </c>
      <c r="U169" s="27" t="s">
        <v>157</v>
      </c>
      <c r="V169" s="27"/>
      <c r="W169" s="27"/>
      <c r="X169" s="27" t="s">
        <v>79</v>
      </c>
      <c r="Y169" s="27" t="s">
        <v>85</v>
      </c>
      <c r="Z169" s="27"/>
      <c r="AA169" s="27"/>
    </row>
    <row r="170" spans="1:27">
      <c r="A170" s="42">
        <v>168</v>
      </c>
      <c r="B170" s="26" t="s">
        <v>499</v>
      </c>
      <c r="C170" s="29">
        <v>0</v>
      </c>
      <c r="D170" s="29">
        <f t="shared" si="9"/>
        <v>1730</v>
      </c>
      <c r="E170" s="28">
        <v>1750</v>
      </c>
      <c r="F170" s="28">
        <v>2800</v>
      </c>
      <c r="G170" s="28">
        <v>1900</v>
      </c>
      <c r="H170" s="28">
        <v>20</v>
      </c>
      <c r="I170" s="28">
        <v>2800</v>
      </c>
      <c r="J170" s="28">
        <v>120</v>
      </c>
      <c r="K170" s="28">
        <v>4000</v>
      </c>
      <c r="L170" s="28">
        <v>16</v>
      </c>
      <c r="M170" s="28">
        <v>20</v>
      </c>
      <c r="N170" s="28">
        <v>20</v>
      </c>
      <c r="O170" s="28">
        <v>20</v>
      </c>
      <c r="P170" s="27" t="s">
        <v>77</v>
      </c>
      <c r="Q170" s="27" t="s">
        <v>76</v>
      </c>
      <c r="R170" s="27" t="s">
        <v>77</v>
      </c>
      <c r="S170" s="27" t="s">
        <v>82</v>
      </c>
      <c r="T170" s="27" t="s">
        <v>77</v>
      </c>
      <c r="U170" s="27" t="s">
        <v>157</v>
      </c>
      <c r="V170" s="27"/>
      <c r="W170" s="27"/>
      <c r="X170" s="27" t="s">
        <v>79</v>
      </c>
      <c r="Y170" s="27" t="s">
        <v>85</v>
      </c>
      <c r="Z170" s="27"/>
      <c r="AA170" s="27"/>
    </row>
    <row r="171" spans="1:27">
      <c r="A171" s="42">
        <v>169</v>
      </c>
      <c r="B171" s="26" t="s">
        <v>500</v>
      </c>
      <c r="C171" s="29">
        <v>0</v>
      </c>
      <c r="D171" s="29">
        <f t="shared" si="9"/>
        <v>1730</v>
      </c>
      <c r="E171" s="28">
        <v>1750</v>
      </c>
      <c r="F171" s="28">
        <v>2800</v>
      </c>
      <c r="G171" s="28">
        <v>1900</v>
      </c>
      <c r="H171" s="28">
        <v>20</v>
      </c>
      <c r="I171" s="28">
        <v>2800</v>
      </c>
      <c r="J171" s="28">
        <v>120</v>
      </c>
      <c r="K171" s="28">
        <v>4000</v>
      </c>
      <c r="L171" s="28">
        <v>16</v>
      </c>
      <c r="M171" s="28">
        <v>20</v>
      </c>
      <c r="N171" s="28">
        <v>20</v>
      </c>
      <c r="O171" s="28">
        <v>20</v>
      </c>
      <c r="P171" s="27" t="s">
        <v>77</v>
      </c>
      <c r="Q171" s="27" t="s">
        <v>76</v>
      </c>
      <c r="R171" s="27" t="s">
        <v>77</v>
      </c>
      <c r="S171" s="27" t="s">
        <v>82</v>
      </c>
      <c r="T171" s="27" t="s">
        <v>77</v>
      </c>
      <c r="U171" s="27" t="s">
        <v>157</v>
      </c>
      <c r="V171" s="27"/>
      <c r="W171" s="27"/>
      <c r="X171" s="27" t="s">
        <v>79</v>
      </c>
      <c r="Y171" s="27" t="s">
        <v>85</v>
      </c>
      <c r="Z171" s="27"/>
      <c r="AA171" s="27"/>
    </row>
    <row r="172" spans="1:27">
      <c r="A172" s="42">
        <v>170</v>
      </c>
      <c r="B172" s="26" t="s">
        <v>501</v>
      </c>
      <c r="C172" s="29">
        <v>0</v>
      </c>
      <c r="D172" s="29">
        <f t="shared" ref="D172:D211" si="10">E172-H172</f>
        <v>1730</v>
      </c>
      <c r="E172" s="38">
        <v>1750</v>
      </c>
      <c r="F172" s="38">
        <v>2800</v>
      </c>
      <c r="G172" s="38">
        <v>1900</v>
      </c>
      <c r="H172" s="38">
        <v>20</v>
      </c>
      <c r="I172" s="38">
        <v>2800</v>
      </c>
      <c r="J172" s="38">
        <v>120</v>
      </c>
      <c r="K172" s="38">
        <v>4000</v>
      </c>
      <c r="L172" s="38">
        <v>16</v>
      </c>
      <c r="M172" s="38">
        <v>20</v>
      </c>
      <c r="N172" s="38">
        <v>20</v>
      </c>
      <c r="O172" s="38">
        <v>20</v>
      </c>
      <c r="P172" s="27" t="s">
        <v>77</v>
      </c>
      <c r="Q172" s="27" t="s">
        <v>76</v>
      </c>
      <c r="R172" s="27" t="s">
        <v>77</v>
      </c>
      <c r="S172" s="27" t="s">
        <v>82</v>
      </c>
      <c r="T172" s="27" t="s">
        <v>77</v>
      </c>
      <c r="U172" s="27" t="s">
        <v>157</v>
      </c>
      <c r="V172" s="27"/>
      <c r="W172" s="27"/>
      <c r="X172" s="27" t="s">
        <v>79</v>
      </c>
      <c r="Y172" s="27" t="s">
        <v>85</v>
      </c>
      <c r="Z172" s="27"/>
      <c r="AA172" s="27"/>
    </row>
    <row r="173" spans="1:27">
      <c r="A173" s="42">
        <v>171</v>
      </c>
      <c r="B173" s="26" t="s">
        <v>502</v>
      </c>
      <c r="C173" s="29">
        <v>0</v>
      </c>
      <c r="D173" s="29">
        <f t="shared" si="10"/>
        <v>1730</v>
      </c>
      <c r="E173" s="28">
        <v>1750</v>
      </c>
      <c r="F173" s="28">
        <v>2800</v>
      </c>
      <c r="G173" s="28">
        <v>1900</v>
      </c>
      <c r="H173" s="28">
        <v>20</v>
      </c>
      <c r="I173" s="28">
        <v>2800</v>
      </c>
      <c r="J173" s="28">
        <v>120</v>
      </c>
      <c r="K173" s="28">
        <v>4000</v>
      </c>
      <c r="L173" s="28">
        <v>16</v>
      </c>
      <c r="M173" s="28">
        <v>20</v>
      </c>
      <c r="N173" s="28">
        <v>20</v>
      </c>
      <c r="O173" s="28">
        <v>20</v>
      </c>
      <c r="P173" s="27" t="s">
        <v>77</v>
      </c>
      <c r="Q173" s="27" t="s">
        <v>76</v>
      </c>
      <c r="R173" s="27" t="s">
        <v>77</v>
      </c>
      <c r="S173" s="27" t="s">
        <v>82</v>
      </c>
      <c r="T173" s="27" t="s">
        <v>77</v>
      </c>
      <c r="U173" s="27" t="s">
        <v>157</v>
      </c>
      <c r="V173" s="27"/>
      <c r="W173" s="27"/>
      <c r="X173" s="27" t="s">
        <v>79</v>
      </c>
      <c r="Y173" s="27" t="s">
        <v>85</v>
      </c>
      <c r="Z173" s="27"/>
      <c r="AA173" s="27"/>
    </row>
    <row r="174" spans="1:27">
      <c r="A174" s="42">
        <v>172</v>
      </c>
      <c r="B174" s="26" t="s">
        <v>503</v>
      </c>
      <c r="C174" s="29">
        <v>0</v>
      </c>
      <c r="D174" s="29">
        <f t="shared" si="10"/>
        <v>1730</v>
      </c>
      <c r="E174" s="28">
        <v>1750</v>
      </c>
      <c r="F174" s="28">
        <v>2800</v>
      </c>
      <c r="G174" s="28">
        <v>1900</v>
      </c>
      <c r="H174" s="28">
        <v>20</v>
      </c>
      <c r="I174" s="28">
        <v>2800</v>
      </c>
      <c r="J174" s="28">
        <v>120</v>
      </c>
      <c r="K174" s="28">
        <v>4000</v>
      </c>
      <c r="L174" s="28">
        <v>16</v>
      </c>
      <c r="M174" s="28">
        <v>20</v>
      </c>
      <c r="N174" s="28">
        <v>20</v>
      </c>
      <c r="O174" s="28">
        <v>20</v>
      </c>
      <c r="P174" s="27" t="s">
        <v>77</v>
      </c>
      <c r="Q174" s="27" t="s">
        <v>76</v>
      </c>
      <c r="R174" s="27" t="s">
        <v>77</v>
      </c>
      <c r="S174" s="27" t="s">
        <v>82</v>
      </c>
      <c r="T174" s="27" t="s">
        <v>77</v>
      </c>
      <c r="U174" s="27" t="s">
        <v>157</v>
      </c>
      <c r="V174" s="27"/>
      <c r="W174" s="27"/>
      <c r="X174" s="27" t="s">
        <v>79</v>
      </c>
      <c r="Y174" s="27" t="s">
        <v>85</v>
      </c>
      <c r="Z174" s="27"/>
      <c r="AA174" s="27"/>
    </row>
    <row r="175" spans="1:27">
      <c r="A175" s="42">
        <v>173</v>
      </c>
      <c r="B175" s="26" t="s">
        <v>504</v>
      </c>
      <c r="C175" s="29">
        <v>0</v>
      </c>
      <c r="D175" s="29">
        <f t="shared" si="10"/>
        <v>1730</v>
      </c>
      <c r="E175" s="28">
        <v>1750</v>
      </c>
      <c r="F175" s="28">
        <v>2800</v>
      </c>
      <c r="G175" s="28">
        <v>1900</v>
      </c>
      <c r="H175" s="28">
        <v>20</v>
      </c>
      <c r="I175" s="28">
        <v>2800</v>
      </c>
      <c r="J175" s="28">
        <v>120</v>
      </c>
      <c r="K175" s="28">
        <v>4000</v>
      </c>
      <c r="L175" s="28">
        <v>16</v>
      </c>
      <c r="M175" s="28">
        <v>20</v>
      </c>
      <c r="N175" s="28">
        <v>20</v>
      </c>
      <c r="O175" s="28">
        <v>20</v>
      </c>
      <c r="P175" s="27" t="s">
        <v>77</v>
      </c>
      <c r="Q175" s="27" t="s">
        <v>76</v>
      </c>
      <c r="R175" s="27" t="s">
        <v>77</v>
      </c>
      <c r="S175" s="27" t="s">
        <v>82</v>
      </c>
      <c r="T175" s="27" t="s">
        <v>77</v>
      </c>
      <c r="U175" s="27" t="s">
        <v>157</v>
      </c>
      <c r="V175" s="27"/>
      <c r="W175" s="27"/>
      <c r="X175" s="27" t="s">
        <v>79</v>
      </c>
      <c r="Y175" s="27" t="s">
        <v>85</v>
      </c>
      <c r="Z175" s="27"/>
      <c r="AA175" s="27"/>
    </row>
    <row r="176" spans="1:27">
      <c r="A176" s="42">
        <v>174</v>
      </c>
      <c r="B176" s="26" t="s">
        <v>505</v>
      </c>
      <c r="C176" s="29">
        <v>0</v>
      </c>
      <c r="D176" s="29">
        <f t="shared" si="10"/>
        <v>1730</v>
      </c>
      <c r="E176" s="38">
        <v>1750</v>
      </c>
      <c r="F176" s="38">
        <v>2800</v>
      </c>
      <c r="G176" s="38">
        <v>1900</v>
      </c>
      <c r="H176" s="38">
        <v>20</v>
      </c>
      <c r="I176" s="38">
        <v>2800</v>
      </c>
      <c r="J176" s="38">
        <v>120</v>
      </c>
      <c r="K176" s="38">
        <v>4000</v>
      </c>
      <c r="L176" s="38">
        <v>16</v>
      </c>
      <c r="M176" s="38">
        <v>20</v>
      </c>
      <c r="N176" s="38">
        <v>20</v>
      </c>
      <c r="O176" s="38">
        <v>20</v>
      </c>
      <c r="P176" s="27" t="s">
        <v>77</v>
      </c>
      <c r="Q176" s="27" t="s">
        <v>76</v>
      </c>
      <c r="R176" s="27" t="s">
        <v>77</v>
      </c>
      <c r="S176" s="27" t="s">
        <v>82</v>
      </c>
      <c r="T176" s="27" t="s">
        <v>77</v>
      </c>
      <c r="U176" s="27" t="s">
        <v>157</v>
      </c>
      <c r="V176" s="27"/>
      <c r="W176" s="27"/>
      <c r="X176" s="27" t="s">
        <v>79</v>
      </c>
      <c r="Y176" s="27" t="s">
        <v>85</v>
      </c>
      <c r="Z176" s="27"/>
      <c r="AA176" s="27"/>
    </row>
    <row r="177" spans="1:27">
      <c r="A177" s="42">
        <v>175</v>
      </c>
      <c r="B177" s="26" t="s">
        <v>506</v>
      </c>
      <c r="C177" s="29">
        <v>0</v>
      </c>
      <c r="D177" s="29">
        <f t="shared" si="10"/>
        <v>1730</v>
      </c>
      <c r="E177" s="28">
        <v>1750</v>
      </c>
      <c r="F177" s="28">
        <v>2800</v>
      </c>
      <c r="G177" s="28">
        <v>1900</v>
      </c>
      <c r="H177" s="28">
        <v>20</v>
      </c>
      <c r="I177" s="28">
        <v>2800</v>
      </c>
      <c r="J177" s="28">
        <v>120</v>
      </c>
      <c r="K177" s="28">
        <v>4000</v>
      </c>
      <c r="L177" s="28">
        <v>16</v>
      </c>
      <c r="M177" s="28">
        <v>20</v>
      </c>
      <c r="N177" s="28">
        <v>20</v>
      </c>
      <c r="O177" s="28">
        <v>20</v>
      </c>
      <c r="P177" s="27" t="s">
        <v>77</v>
      </c>
      <c r="Q177" s="27" t="s">
        <v>76</v>
      </c>
      <c r="R177" s="27" t="s">
        <v>77</v>
      </c>
      <c r="S177" s="27" t="s">
        <v>82</v>
      </c>
      <c r="T177" s="27" t="s">
        <v>77</v>
      </c>
      <c r="U177" s="27" t="s">
        <v>157</v>
      </c>
      <c r="V177" s="27"/>
      <c r="W177" s="27"/>
      <c r="X177" s="27" t="s">
        <v>79</v>
      </c>
      <c r="Y177" s="27" t="s">
        <v>85</v>
      </c>
      <c r="Z177" s="27"/>
      <c r="AA177" s="27"/>
    </row>
    <row r="178" spans="1:27">
      <c r="A178" s="42">
        <v>176</v>
      </c>
      <c r="B178" s="26" t="s">
        <v>507</v>
      </c>
      <c r="C178" s="29">
        <v>0</v>
      </c>
      <c r="D178" s="29">
        <f t="shared" si="10"/>
        <v>1730</v>
      </c>
      <c r="E178" s="28">
        <v>1750</v>
      </c>
      <c r="F178" s="28">
        <v>2800</v>
      </c>
      <c r="G178" s="28">
        <v>1900</v>
      </c>
      <c r="H178" s="28">
        <v>20</v>
      </c>
      <c r="I178" s="28">
        <v>2800</v>
      </c>
      <c r="J178" s="28">
        <v>120</v>
      </c>
      <c r="K178" s="28">
        <v>4000</v>
      </c>
      <c r="L178" s="28">
        <v>16</v>
      </c>
      <c r="M178" s="28">
        <v>20</v>
      </c>
      <c r="N178" s="28">
        <v>20</v>
      </c>
      <c r="O178" s="28">
        <v>20</v>
      </c>
      <c r="P178" s="27" t="s">
        <v>77</v>
      </c>
      <c r="Q178" s="27" t="s">
        <v>76</v>
      </c>
      <c r="R178" s="27" t="s">
        <v>77</v>
      </c>
      <c r="S178" s="27" t="s">
        <v>82</v>
      </c>
      <c r="T178" s="27" t="s">
        <v>77</v>
      </c>
      <c r="U178" s="27" t="s">
        <v>157</v>
      </c>
      <c r="V178" s="27"/>
      <c r="W178" s="27"/>
      <c r="X178" s="27" t="s">
        <v>79</v>
      </c>
      <c r="Y178" s="27" t="s">
        <v>85</v>
      </c>
      <c r="Z178" s="27"/>
      <c r="AA178" s="27"/>
    </row>
    <row r="179" spans="1:27">
      <c r="A179" s="42">
        <v>177</v>
      </c>
      <c r="B179" s="26" t="s">
        <v>508</v>
      </c>
      <c r="C179" s="29">
        <v>0</v>
      </c>
      <c r="D179" s="29">
        <f t="shared" si="10"/>
        <v>1730</v>
      </c>
      <c r="E179" s="38">
        <v>1750</v>
      </c>
      <c r="F179" s="38">
        <v>2800</v>
      </c>
      <c r="G179" s="38">
        <v>1900</v>
      </c>
      <c r="H179" s="38">
        <v>20</v>
      </c>
      <c r="I179" s="38">
        <v>2800</v>
      </c>
      <c r="J179" s="38">
        <v>120</v>
      </c>
      <c r="K179" s="38">
        <v>4000</v>
      </c>
      <c r="L179" s="38">
        <v>16</v>
      </c>
      <c r="M179" s="38">
        <v>20</v>
      </c>
      <c r="N179" s="38">
        <v>20</v>
      </c>
      <c r="O179" s="38">
        <v>20</v>
      </c>
      <c r="P179" s="27" t="s">
        <v>77</v>
      </c>
      <c r="Q179" s="27" t="s">
        <v>76</v>
      </c>
      <c r="R179" s="27" t="s">
        <v>77</v>
      </c>
      <c r="S179" s="27" t="s">
        <v>82</v>
      </c>
      <c r="T179" s="27" t="s">
        <v>77</v>
      </c>
      <c r="U179" s="27" t="s">
        <v>157</v>
      </c>
      <c r="V179" s="27"/>
      <c r="W179" s="27"/>
      <c r="X179" s="27" t="s">
        <v>79</v>
      </c>
      <c r="Y179" s="27" t="s">
        <v>85</v>
      </c>
      <c r="Z179" s="27"/>
      <c r="AA179" s="27"/>
    </row>
    <row r="180" spans="1:27">
      <c r="A180" s="42">
        <v>178</v>
      </c>
      <c r="B180" s="26" t="s">
        <v>509</v>
      </c>
      <c r="C180" s="29">
        <v>0</v>
      </c>
      <c r="D180" s="29">
        <f t="shared" si="10"/>
        <v>1730</v>
      </c>
      <c r="E180" s="28">
        <v>1750</v>
      </c>
      <c r="F180" s="28">
        <v>2800</v>
      </c>
      <c r="G180" s="28">
        <v>1900</v>
      </c>
      <c r="H180" s="28">
        <v>20</v>
      </c>
      <c r="I180" s="28">
        <v>2800</v>
      </c>
      <c r="J180" s="28">
        <v>120</v>
      </c>
      <c r="K180" s="28">
        <v>4000</v>
      </c>
      <c r="L180" s="28">
        <v>16</v>
      </c>
      <c r="M180" s="28">
        <v>20</v>
      </c>
      <c r="N180" s="28">
        <v>20</v>
      </c>
      <c r="O180" s="28">
        <v>20</v>
      </c>
      <c r="P180" s="27" t="s">
        <v>77</v>
      </c>
      <c r="Q180" s="27" t="s">
        <v>76</v>
      </c>
      <c r="R180" s="27" t="s">
        <v>77</v>
      </c>
      <c r="S180" s="27" t="s">
        <v>82</v>
      </c>
      <c r="T180" s="27" t="s">
        <v>77</v>
      </c>
      <c r="U180" s="27" t="s">
        <v>157</v>
      </c>
      <c r="V180" s="27"/>
      <c r="W180" s="27"/>
      <c r="X180" s="27" t="s">
        <v>79</v>
      </c>
      <c r="Y180" s="27" t="s">
        <v>85</v>
      </c>
      <c r="Z180" s="27"/>
      <c r="AA180" s="27"/>
    </row>
    <row r="181" spans="1:27">
      <c r="A181" s="42">
        <v>179</v>
      </c>
      <c r="B181" s="26" t="s">
        <v>510</v>
      </c>
      <c r="C181" s="29">
        <v>0</v>
      </c>
      <c r="D181" s="29">
        <f t="shared" si="10"/>
        <v>1730</v>
      </c>
      <c r="E181" s="28">
        <v>1750</v>
      </c>
      <c r="F181" s="28">
        <v>2800</v>
      </c>
      <c r="G181" s="28">
        <v>1900</v>
      </c>
      <c r="H181" s="28">
        <v>20</v>
      </c>
      <c r="I181" s="28">
        <v>2800</v>
      </c>
      <c r="J181" s="28">
        <v>120</v>
      </c>
      <c r="K181" s="28">
        <v>4000</v>
      </c>
      <c r="L181" s="28">
        <v>16</v>
      </c>
      <c r="M181" s="28">
        <v>20</v>
      </c>
      <c r="N181" s="28">
        <v>20</v>
      </c>
      <c r="O181" s="28">
        <v>20</v>
      </c>
      <c r="P181" s="27" t="s">
        <v>77</v>
      </c>
      <c r="Q181" s="27" t="s">
        <v>76</v>
      </c>
      <c r="R181" s="27" t="s">
        <v>77</v>
      </c>
      <c r="S181" s="27" t="s">
        <v>82</v>
      </c>
      <c r="T181" s="27" t="s">
        <v>77</v>
      </c>
      <c r="U181" s="27" t="s">
        <v>157</v>
      </c>
      <c r="V181" s="27"/>
      <c r="W181" s="27"/>
      <c r="X181" s="27" t="s">
        <v>79</v>
      </c>
      <c r="Y181" s="27" t="s">
        <v>85</v>
      </c>
      <c r="Z181" s="27"/>
      <c r="AA181" s="27"/>
    </row>
    <row r="182" spans="1:27">
      <c r="A182" s="42">
        <v>180</v>
      </c>
      <c r="B182" s="26" t="s">
        <v>511</v>
      </c>
      <c r="C182" s="29">
        <v>0</v>
      </c>
      <c r="D182" s="29">
        <f t="shared" si="10"/>
        <v>1730</v>
      </c>
      <c r="E182" s="35">
        <v>1750</v>
      </c>
      <c r="F182" s="35">
        <v>2800</v>
      </c>
      <c r="G182" s="35">
        <v>1900</v>
      </c>
      <c r="H182" s="35">
        <v>20</v>
      </c>
      <c r="I182" s="35">
        <v>2800</v>
      </c>
      <c r="J182" s="35">
        <v>120</v>
      </c>
      <c r="K182" s="35">
        <v>4000</v>
      </c>
      <c r="L182" s="35">
        <v>16</v>
      </c>
      <c r="M182" s="35">
        <v>20</v>
      </c>
      <c r="N182" s="35">
        <v>20</v>
      </c>
      <c r="O182" s="35">
        <v>20</v>
      </c>
      <c r="P182" s="27" t="s">
        <v>77</v>
      </c>
      <c r="Q182" s="27" t="s">
        <v>76</v>
      </c>
      <c r="R182" s="27" t="s">
        <v>77</v>
      </c>
      <c r="S182" s="27" t="s">
        <v>82</v>
      </c>
      <c r="T182" s="27" t="s">
        <v>77</v>
      </c>
      <c r="U182" s="27" t="s">
        <v>157</v>
      </c>
      <c r="V182" s="27"/>
      <c r="W182" s="27"/>
      <c r="X182" s="27" t="s">
        <v>79</v>
      </c>
      <c r="Y182" s="27" t="s">
        <v>85</v>
      </c>
      <c r="Z182" s="27"/>
      <c r="AA182" s="27"/>
    </row>
    <row r="183" spans="1:27">
      <c r="A183" s="42">
        <v>181</v>
      </c>
      <c r="B183" s="26" t="s">
        <v>512</v>
      </c>
      <c r="C183" s="29">
        <v>0</v>
      </c>
      <c r="D183" s="29">
        <f t="shared" si="10"/>
        <v>1730</v>
      </c>
      <c r="E183" s="28">
        <v>1750</v>
      </c>
      <c r="F183" s="28">
        <v>2800</v>
      </c>
      <c r="G183" s="28">
        <v>1900</v>
      </c>
      <c r="H183" s="28">
        <v>20</v>
      </c>
      <c r="I183" s="28">
        <v>2800</v>
      </c>
      <c r="J183" s="28">
        <v>120</v>
      </c>
      <c r="K183" s="28">
        <v>4000</v>
      </c>
      <c r="L183" s="28">
        <v>16</v>
      </c>
      <c r="M183" s="28">
        <v>20</v>
      </c>
      <c r="N183" s="28">
        <v>20</v>
      </c>
      <c r="O183" s="28">
        <v>20</v>
      </c>
      <c r="P183" s="27" t="s">
        <v>77</v>
      </c>
      <c r="Q183" s="27" t="s">
        <v>76</v>
      </c>
      <c r="R183" s="27" t="s">
        <v>77</v>
      </c>
      <c r="S183" s="27" t="s">
        <v>82</v>
      </c>
      <c r="T183" s="27" t="s">
        <v>77</v>
      </c>
      <c r="U183" s="27" t="s">
        <v>157</v>
      </c>
      <c r="V183" s="27"/>
      <c r="W183" s="27"/>
      <c r="X183" s="27" t="s">
        <v>79</v>
      </c>
      <c r="Y183" s="27" t="s">
        <v>85</v>
      </c>
      <c r="Z183" s="27"/>
      <c r="AA183" s="27"/>
    </row>
    <row r="184" spans="1:27">
      <c r="A184" s="42">
        <v>182</v>
      </c>
      <c r="B184" s="26" t="s">
        <v>513</v>
      </c>
      <c r="C184" s="29">
        <v>0</v>
      </c>
      <c r="D184" s="29">
        <f t="shared" si="10"/>
        <v>1730</v>
      </c>
      <c r="E184" s="28">
        <v>1750</v>
      </c>
      <c r="F184" s="28">
        <v>2800</v>
      </c>
      <c r="G184" s="28">
        <v>1900</v>
      </c>
      <c r="H184" s="28">
        <v>20</v>
      </c>
      <c r="I184" s="28">
        <v>2800</v>
      </c>
      <c r="J184" s="28">
        <v>120</v>
      </c>
      <c r="K184" s="28">
        <v>4000</v>
      </c>
      <c r="L184" s="28">
        <v>16</v>
      </c>
      <c r="M184" s="28">
        <v>20</v>
      </c>
      <c r="N184" s="28">
        <v>20</v>
      </c>
      <c r="O184" s="28">
        <v>20</v>
      </c>
      <c r="P184" s="27" t="s">
        <v>77</v>
      </c>
      <c r="Q184" s="27" t="s">
        <v>76</v>
      </c>
      <c r="R184" s="27" t="s">
        <v>77</v>
      </c>
      <c r="S184" s="27" t="s">
        <v>82</v>
      </c>
      <c r="T184" s="27" t="s">
        <v>77</v>
      </c>
      <c r="U184" s="27" t="s">
        <v>157</v>
      </c>
      <c r="V184" s="27"/>
      <c r="W184" s="27"/>
      <c r="X184" s="27" t="s">
        <v>79</v>
      </c>
      <c r="Y184" s="27" t="s">
        <v>85</v>
      </c>
      <c r="Z184" s="27"/>
      <c r="AA184" s="27"/>
    </row>
    <row r="185" spans="1:27">
      <c r="A185" s="42">
        <v>183</v>
      </c>
      <c r="B185" s="26" t="s">
        <v>514</v>
      </c>
      <c r="C185" s="29">
        <v>0</v>
      </c>
      <c r="D185" s="29">
        <f t="shared" si="10"/>
        <v>1730</v>
      </c>
      <c r="E185" s="28">
        <v>1750</v>
      </c>
      <c r="F185" s="28">
        <v>2800</v>
      </c>
      <c r="G185" s="28">
        <v>1900</v>
      </c>
      <c r="H185" s="28">
        <v>20</v>
      </c>
      <c r="I185" s="28">
        <v>2800</v>
      </c>
      <c r="J185" s="28">
        <v>120</v>
      </c>
      <c r="K185" s="28">
        <v>4000</v>
      </c>
      <c r="L185" s="28">
        <v>16</v>
      </c>
      <c r="M185" s="28">
        <v>20</v>
      </c>
      <c r="N185" s="28">
        <v>20</v>
      </c>
      <c r="O185" s="28">
        <v>20</v>
      </c>
      <c r="P185" s="27" t="s">
        <v>77</v>
      </c>
      <c r="Q185" s="27" t="s">
        <v>76</v>
      </c>
      <c r="R185" s="27" t="s">
        <v>77</v>
      </c>
      <c r="S185" s="27" t="s">
        <v>82</v>
      </c>
      <c r="T185" s="27" t="s">
        <v>77</v>
      </c>
      <c r="U185" s="27" t="s">
        <v>157</v>
      </c>
      <c r="V185" s="27"/>
      <c r="W185" s="27"/>
      <c r="X185" s="27" t="s">
        <v>79</v>
      </c>
      <c r="Y185" s="27" t="s">
        <v>85</v>
      </c>
      <c r="Z185" s="27"/>
      <c r="AA185" s="27"/>
    </row>
    <row r="186" spans="1:27">
      <c r="A186" s="42">
        <v>184</v>
      </c>
      <c r="B186" s="26" t="s">
        <v>515</v>
      </c>
      <c r="C186" s="29">
        <v>0</v>
      </c>
      <c r="D186" s="29">
        <f t="shared" si="10"/>
        <v>1730</v>
      </c>
      <c r="E186" s="38">
        <v>1750</v>
      </c>
      <c r="F186" s="38">
        <v>2800</v>
      </c>
      <c r="G186" s="38">
        <v>1900</v>
      </c>
      <c r="H186" s="38">
        <v>20</v>
      </c>
      <c r="I186" s="38">
        <v>2800</v>
      </c>
      <c r="J186" s="38">
        <v>120</v>
      </c>
      <c r="K186" s="38">
        <v>4000</v>
      </c>
      <c r="L186" s="38">
        <v>16</v>
      </c>
      <c r="M186" s="38">
        <v>20</v>
      </c>
      <c r="N186" s="38">
        <v>20</v>
      </c>
      <c r="O186" s="38">
        <v>20</v>
      </c>
      <c r="P186" s="27" t="s">
        <v>77</v>
      </c>
      <c r="Q186" s="27" t="s">
        <v>76</v>
      </c>
      <c r="R186" s="27" t="s">
        <v>77</v>
      </c>
      <c r="S186" s="27" t="s">
        <v>82</v>
      </c>
      <c r="T186" s="27" t="s">
        <v>77</v>
      </c>
      <c r="U186" s="27" t="s">
        <v>157</v>
      </c>
      <c r="V186" s="27"/>
      <c r="W186" s="27"/>
      <c r="X186" s="27" t="s">
        <v>79</v>
      </c>
      <c r="Y186" s="27" t="s">
        <v>85</v>
      </c>
      <c r="Z186" s="27"/>
      <c r="AA186" s="27"/>
    </row>
    <row r="187" spans="1:27">
      <c r="A187" s="42">
        <v>185</v>
      </c>
      <c r="B187" s="26" t="s">
        <v>516</v>
      </c>
      <c r="C187" s="29">
        <v>0</v>
      </c>
      <c r="D187" s="29">
        <f t="shared" si="10"/>
        <v>1730</v>
      </c>
      <c r="E187" s="28">
        <v>1750</v>
      </c>
      <c r="F187" s="28">
        <v>2800</v>
      </c>
      <c r="G187" s="28">
        <v>1900</v>
      </c>
      <c r="H187" s="28">
        <v>20</v>
      </c>
      <c r="I187" s="28">
        <v>2800</v>
      </c>
      <c r="J187" s="28">
        <v>120</v>
      </c>
      <c r="K187" s="28">
        <v>4000</v>
      </c>
      <c r="L187" s="28">
        <v>16</v>
      </c>
      <c r="M187" s="28">
        <v>20</v>
      </c>
      <c r="N187" s="28">
        <v>20</v>
      </c>
      <c r="O187" s="28">
        <v>20</v>
      </c>
      <c r="P187" s="27" t="s">
        <v>77</v>
      </c>
      <c r="Q187" s="27" t="s">
        <v>76</v>
      </c>
      <c r="R187" s="27" t="s">
        <v>77</v>
      </c>
      <c r="S187" s="27" t="s">
        <v>82</v>
      </c>
      <c r="T187" s="27" t="s">
        <v>77</v>
      </c>
      <c r="U187" s="27" t="s">
        <v>157</v>
      </c>
      <c r="V187" s="27"/>
      <c r="W187" s="27"/>
      <c r="X187" s="27" t="s">
        <v>79</v>
      </c>
      <c r="Y187" s="27" t="s">
        <v>85</v>
      </c>
      <c r="Z187" s="27"/>
      <c r="AA187" s="27"/>
    </row>
    <row r="188" spans="1:27">
      <c r="A188" s="42">
        <v>186</v>
      </c>
      <c r="B188" s="26" t="s">
        <v>517</v>
      </c>
      <c r="C188" s="29">
        <v>0</v>
      </c>
      <c r="D188" s="29">
        <f t="shared" si="10"/>
        <v>1730</v>
      </c>
      <c r="E188" s="28">
        <v>1750</v>
      </c>
      <c r="F188" s="28">
        <v>2800</v>
      </c>
      <c r="G188" s="28">
        <v>1900</v>
      </c>
      <c r="H188" s="28">
        <v>20</v>
      </c>
      <c r="I188" s="28">
        <v>2800</v>
      </c>
      <c r="J188" s="28">
        <v>120</v>
      </c>
      <c r="K188" s="28">
        <v>4000</v>
      </c>
      <c r="L188" s="28">
        <v>16</v>
      </c>
      <c r="M188" s="28">
        <v>20</v>
      </c>
      <c r="N188" s="28">
        <v>20</v>
      </c>
      <c r="O188" s="28">
        <v>20</v>
      </c>
      <c r="P188" s="27" t="s">
        <v>77</v>
      </c>
      <c r="Q188" s="27" t="s">
        <v>76</v>
      </c>
      <c r="R188" s="27" t="s">
        <v>77</v>
      </c>
      <c r="S188" s="27" t="s">
        <v>82</v>
      </c>
      <c r="T188" s="27" t="s">
        <v>77</v>
      </c>
      <c r="U188" s="27" t="s">
        <v>157</v>
      </c>
      <c r="V188" s="27"/>
      <c r="W188" s="27"/>
      <c r="X188" s="27" t="s">
        <v>79</v>
      </c>
      <c r="Y188" s="27" t="s">
        <v>85</v>
      </c>
      <c r="Z188" s="27"/>
      <c r="AA188" s="27"/>
    </row>
    <row r="189" spans="1:27">
      <c r="A189" s="42">
        <v>187</v>
      </c>
      <c r="B189" s="26" t="s">
        <v>518</v>
      </c>
      <c r="C189" s="29">
        <v>0</v>
      </c>
      <c r="D189" s="29">
        <f t="shared" si="10"/>
        <v>1730</v>
      </c>
      <c r="E189" s="28">
        <v>1750</v>
      </c>
      <c r="F189" s="28">
        <v>2800</v>
      </c>
      <c r="G189" s="28">
        <v>1900</v>
      </c>
      <c r="H189" s="28">
        <v>20</v>
      </c>
      <c r="I189" s="28">
        <v>2800</v>
      </c>
      <c r="J189" s="28">
        <v>120</v>
      </c>
      <c r="K189" s="28">
        <v>4000</v>
      </c>
      <c r="L189" s="28">
        <v>16</v>
      </c>
      <c r="M189" s="28">
        <v>20</v>
      </c>
      <c r="N189" s="28">
        <v>20</v>
      </c>
      <c r="O189" s="28">
        <v>20</v>
      </c>
      <c r="P189" s="27" t="s">
        <v>77</v>
      </c>
      <c r="Q189" s="27" t="s">
        <v>76</v>
      </c>
      <c r="R189" s="27" t="s">
        <v>77</v>
      </c>
      <c r="S189" s="27" t="s">
        <v>82</v>
      </c>
      <c r="T189" s="27" t="s">
        <v>77</v>
      </c>
      <c r="U189" s="27" t="s">
        <v>157</v>
      </c>
      <c r="V189" s="27"/>
      <c r="W189" s="27"/>
      <c r="X189" s="27" t="s">
        <v>79</v>
      </c>
      <c r="Y189" s="27" t="s">
        <v>85</v>
      </c>
      <c r="Z189" s="27"/>
      <c r="AA189" s="27"/>
    </row>
    <row r="190" spans="1:27">
      <c r="A190" s="42">
        <v>188</v>
      </c>
      <c r="B190" s="26" t="s">
        <v>519</v>
      </c>
      <c r="C190" s="29">
        <v>0</v>
      </c>
      <c r="D190" s="29">
        <f t="shared" si="10"/>
        <v>1730</v>
      </c>
      <c r="E190" s="38">
        <v>1750</v>
      </c>
      <c r="F190" s="38">
        <v>2800</v>
      </c>
      <c r="G190" s="38">
        <v>1900</v>
      </c>
      <c r="H190" s="38">
        <v>20</v>
      </c>
      <c r="I190" s="38">
        <v>2800</v>
      </c>
      <c r="J190" s="38">
        <v>120</v>
      </c>
      <c r="K190" s="38">
        <v>4000</v>
      </c>
      <c r="L190" s="38">
        <v>16</v>
      </c>
      <c r="M190" s="38">
        <v>20</v>
      </c>
      <c r="N190" s="38">
        <v>20</v>
      </c>
      <c r="O190" s="38">
        <v>20</v>
      </c>
      <c r="P190" s="27" t="s">
        <v>77</v>
      </c>
      <c r="Q190" s="27" t="s">
        <v>76</v>
      </c>
      <c r="R190" s="27" t="s">
        <v>77</v>
      </c>
      <c r="S190" s="27" t="s">
        <v>82</v>
      </c>
      <c r="T190" s="27" t="s">
        <v>77</v>
      </c>
      <c r="U190" s="27" t="s">
        <v>157</v>
      </c>
      <c r="V190" s="27"/>
      <c r="W190" s="27"/>
      <c r="X190" s="27" t="s">
        <v>79</v>
      </c>
      <c r="Y190" s="27" t="s">
        <v>85</v>
      </c>
      <c r="Z190" s="27"/>
      <c r="AA190" s="27"/>
    </row>
    <row r="191" spans="1:27">
      <c r="A191" s="42">
        <v>189</v>
      </c>
      <c r="B191" s="26" t="s">
        <v>520</v>
      </c>
      <c r="C191" s="29">
        <v>0</v>
      </c>
      <c r="D191" s="29">
        <f t="shared" si="10"/>
        <v>1730</v>
      </c>
      <c r="E191" s="28">
        <v>1750</v>
      </c>
      <c r="F191" s="28">
        <v>2800</v>
      </c>
      <c r="G191" s="28">
        <v>1900</v>
      </c>
      <c r="H191" s="28">
        <v>20</v>
      </c>
      <c r="I191" s="28">
        <v>2800</v>
      </c>
      <c r="J191" s="28">
        <v>120</v>
      </c>
      <c r="K191" s="28">
        <v>4000</v>
      </c>
      <c r="L191" s="28">
        <v>16</v>
      </c>
      <c r="M191" s="28">
        <v>20</v>
      </c>
      <c r="N191" s="28">
        <v>20</v>
      </c>
      <c r="O191" s="28">
        <v>20</v>
      </c>
      <c r="P191" s="27" t="s">
        <v>77</v>
      </c>
      <c r="Q191" s="27" t="s">
        <v>76</v>
      </c>
      <c r="R191" s="27" t="s">
        <v>77</v>
      </c>
      <c r="S191" s="27" t="s">
        <v>82</v>
      </c>
      <c r="T191" s="27" t="s">
        <v>77</v>
      </c>
      <c r="U191" s="27" t="s">
        <v>157</v>
      </c>
      <c r="V191" s="27"/>
      <c r="W191" s="27"/>
      <c r="X191" s="27" t="s">
        <v>79</v>
      </c>
      <c r="Y191" s="27" t="s">
        <v>85</v>
      </c>
      <c r="Z191" s="27"/>
      <c r="AA191" s="27"/>
    </row>
    <row r="192" spans="1:27">
      <c r="A192" s="42">
        <v>190</v>
      </c>
      <c r="B192" s="26" t="s">
        <v>521</v>
      </c>
      <c r="C192" s="29">
        <v>0</v>
      </c>
      <c r="D192" s="29">
        <f t="shared" si="10"/>
        <v>1730</v>
      </c>
      <c r="E192" s="28">
        <v>1750</v>
      </c>
      <c r="F192" s="28">
        <v>2800</v>
      </c>
      <c r="G192" s="28">
        <v>1900</v>
      </c>
      <c r="H192" s="28">
        <v>20</v>
      </c>
      <c r="I192" s="28">
        <v>2800</v>
      </c>
      <c r="J192" s="28">
        <v>120</v>
      </c>
      <c r="K192" s="28">
        <v>4000</v>
      </c>
      <c r="L192" s="28">
        <v>16</v>
      </c>
      <c r="M192" s="28">
        <v>20</v>
      </c>
      <c r="N192" s="28">
        <v>20</v>
      </c>
      <c r="O192" s="28">
        <v>20</v>
      </c>
      <c r="P192" s="27" t="s">
        <v>77</v>
      </c>
      <c r="Q192" s="27" t="s">
        <v>76</v>
      </c>
      <c r="R192" s="27" t="s">
        <v>77</v>
      </c>
      <c r="S192" s="27" t="s">
        <v>82</v>
      </c>
      <c r="T192" s="27" t="s">
        <v>77</v>
      </c>
      <c r="U192" s="27" t="s">
        <v>157</v>
      </c>
      <c r="V192" s="27"/>
      <c r="W192" s="27"/>
      <c r="X192" s="27" t="s">
        <v>79</v>
      </c>
      <c r="Y192" s="27" t="s">
        <v>85</v>
      </c>
      <c r="Z192" s="27"/>
      <c r="AA192" s="27"/>
    </row>
    <row r="193" spans="1:27">
      <c r="A193" s="42">
        <v>191</v>
      </c>
      <c r="B193" s="26" t="s">
        <v>522</v>
      </c>
      <c r="C193" s="29">
        <v>0</v>
      </c>
      <c r="D193" s="29">
        <f t="shared" si="10"/>
        <v>1730</v>
      </c>
      <c r="E193" s="28">
        <v>1750</v>
      </c>
      <c r="F193" s="28">
        <v>2800</v>
      </c>
      <c r="G193" s="28">
        <v>1900</v>
      </c>
      <c r="H193" s="28">
        <v>20</v>
      </c>
      <c r="I193" s="28">
        <v>2800</v>
      </c>
      <c r="J193" s="28">
        <v>120</v>
      </c>
      <c r="K193" s="28">
        <v>4000</v>
      </c>
      <c r="L193" s="28">
        <v>16</v>
      </c>
      <c r="M193" s="28">
        <v>20</v>
      </c>
      <c r="N193" s="28">
        <v>20</v>
      </c>
      <c r="O193" s="28">
        <v>20</v>
      </c>
      <c r="P193" s="27" t="s">
        <v>77</v>
      </c>
      <c r="Q193" s="27" t="s">
        <v>76</v>
      </c>
      <c r="R193" s="27" t="s">
        <v>77</v>
      </c>
      <c r="S193" s="27" t="s">
        <v>82</v>
      </c>
      <c r="T193" s="27" t="s">
        <v>77</v>
      </c>
      <c r="U193" s="27" t="s">
        <v>157</v>
      </c>
      <c r="V193" s="27"/>
      <c r="W193" s="27"/>
      <c r="X193" s="27" t="s">
        <v>79</v>
      </c>
      <c r="Y193" s="27" t="s">
        <v>85</v>
      </c>
      <c r="Z193" s="27"/>
      <c r="AA193" s="27"/>
    </row>
    <row r="194" spans="1:27">
      <c r="A194" s="42">
        <v>192</v>
      </c>
      <c r="B194" s="26" t="s">
        <v>523</v>
      </c>
      <c r="C194" s="29">
        <v>0</v>
      </c>
      <c r="D194" s="29">
        <f t="shared" si="10"/>
        <v>1730</v>
      </c>
      <c r="E194" s="38">
        <v>1750</v>
      </c>
      <c r="F194" s="38">
        <v>2800</v>
      </c>
      <c r="G194" s="38">
        <v>1900</v>
      </c>
      <c r="H194" s="38">
        <v>20</v>
      </c>
      <c r="I194" s="38">
        <v>2800</v>
      </c>
      <c r="J194" s="38">
        <v>120</v>
      </c>
      <c r="K194" s="38">
        <v>4000</v>
      </c>
      <c r="L194" s="38">
        <v>16</v>
      </c>
      <c r="M194" s="38">
        <v>20</v>
      </c>
      <c r="N194" s="38">
        <v>20</v>
      </c>
      <c r="O194" s="38">
        <v>20</v>
      </c>
      <c r="P194" s="27" t="s">
        <v>77</v>
      </c>
      <c r="Q194" s="27" t="s">
        <v>76</v>
      </c>
      <c r="R194" s="27" t="s">
        <v>77</v>
      </c>
      <c r="S194" s="27" t="s">
        <v>82</v>
      </c>
      <c r="T194" s="27" t="s">
        <v>77</v>
      </c>
      <c r="U194" s="27" t="s">
        <v>157</v>
      </c>
      <c r="V194" s="27"/>
      <c r="W194" s="27"/>
      <c r="X194" s="27" t="s">
        <v>79</v>
      </c>
      <c r="Y194" s="27" t="s">
        <v>85</v>
      </c>
      <c r="Z194" s="27"/>
      <c r="AA194" s="27"/>
    </row>
    <row r="195" spans="1:27">
      <c r="A195" s="42">
        <v>193</v>
      </c>
      <c r="B195" s="26" t="s">
        <v>524</v>
      </c>
      <c r="C195" s="29">
        <v>0</v>
      </c>
      <c r="D195" s="29">
        <f t="shared" si="10"/>
        <v>1730</v>
      </c>
      <c r="E195" s="28">
        <v>1750</v>
      </c>
      <c r="F195" s="28">
        <v>2800</v>
      </c>
      <c r="G195" s="28">
        <v>1900</v>
      </c>
      <c r="H195" s="28">
        <v>20</v>
      </c>
      <c r="I195" s="28">
        <v>2800</v>
      </c>
      <c r="J195" s="28">
        <v>120</v>
      </c>
      <c r="K195" s="28">
        <v>4000</v>
      </c>
      <c r="L195" s="28">
        <v>16</v>
      </c>
      <c r="M195" s="28">
        <v>20</v>
      </c>
      <c r="N195" s="28">
        <v>20</v>
      </c>
      <c r="O195" s="28">
        <v>20</v>
      </c>
      <c r="P195" s="27" t="s">
        <v>77</v>
      </c>
      <c r="Q195" s="27" t="s">
        <v>76</v>
      </c>
      <c r="R195" s="27" t="s">
        <v>77</v>
      </c>
      <c r="S195" s="27" t="s">
        <v>82</v>
      </c>
      <c r="T195" s="27" t="s">
        <v>77</v>
      </c>
      <c r="U195" s="27" t="s">
        <v>157</v>
      </c>
      <c r="V195" s="27"/>
      <c r="W195" s="27"/>
      <c r="X195" s="27" t="s">
        <v>79</v>
      </c>
      <c r="Y195" s="27" t="s">
        <v>85</v>
      </c>
      <c r="Z195" s="27"/>
      <c r="AA195" s="27"/>
    </row>
    <row r="196" spans="1:27">
      <c r="A196" s="42">
        <v>194</v>
      </c>
      <c r="B196" s="26" t="s">
        <v>525</v>
      </c>
      <c r="C196" s="29">
        <v>0</v>
      </c>
      <c r="D196" s="29">
        <f t="shared" si="10"/>
        <v>1730</v>
      </c>
      <c r="E196" s="28">
        <v>1750</v>
      </c>
      <c r="F196" s="28">
        <v>2800</v>
      </c>
      <c r="G196" s="28">
        <v>1900</v>
      </c>
      <c r="H196" s="28">
        <v>20</v>
      </c>
      <c r="I196" s="28">
        <v>2800</v>
      </c>
      <c r="J196" s="28">
        <v>120</v>
      </c>
      <c r="K196" s="28">
        <v>4000</v>
      </c>
      <c r="L196" s="28">
        <v>16</v>
      </c>
      <c r="M196" s="28">
        <v>20</v>
      </c>
      <c r="N196" s="28">
        <v>20</v>
      </c>
      <c r="O196" s="28">
        <v>20</v>
      </c>
      <c r="P196" s="27" t="s">
        <v>77</v>
      </c>
      <c r="Q196" s="27" t="s">
        <v>76</v>
      </c>
      <c r="R196" s="27" t="s">
        <v>77</v>
      </c>
      <c r="S196" s="27" t="s">
        <v>82</v>
      </c>
      <c r="T196" s="27" t="s">
        <v>77</v>
      </c>
      <c r="U196" s="27" t="s">
        <v>157</v>
      </c>
      <c r="V196" s="27"/>
      <c r="W196" s="27"/>
      <c r="X196" s="27" t="s">
        <v>79</v>
      </c>
      <c r="Y196" s="27" t="s">
        <v>85</v>
      </c>
      <c r="Z196" s="27"/>
      <c r="AA196" s="27"/>
    </row>
    <row r="197" spans="1:27">
      <c r="A197" s="42">
        <v>195</v>
      </c>
      <c r="B197" s="26" t="s">
        <v>526</v>
      </c>
      <c r="C197" s="29">
        <v>0</v>
      </c>
      <c r="D197" s="29">
        <f t="shared" si="10"/>
        <v>1730</v>
      </c>
      <c r="E197" s="28">
        <v>1750</v>
      </c>
      <c r="F197" s="28">
        <v>2800</v>
      </c>
      <c r="G197" s="28">
        <v>1900</v>
      </c>
      <c r="H197" s="28">
        <v>20</v>
      </c>
      <c r="I197" s="28">
        <v>2800</v>
      </c>
      <c r="J197" s="28">
        <v>120</v>
      </c>
      <c r="K197" s="28">
        <v>4000</v>
      </c>
      <c r="L197" s="28">
        <v>16</v>
      </c>
      <c r="M197" s="28">
        <v>20</v>
      </c>
      <c r="N197" s="28">
        <v>20</v>
      </c>
      <c r="O197" s="28">
        <v>20</v>
      </c>
      <c r="P197" s="27" t="s">
        <v>77</v>
      </c>
      <c r="Q197" s="27" t="s">
        <v>76</v>
      </c>
      <c r="R197" s="27" t="s">
        <v>77</v>
      </c>
      <c r="S197" s="27" t="s">
        <v>82</v>
      </c>
      <c r="T197" s="27" t="s">
        <v>77</v>
      </c>
      <c r="U197" s="27" t="s">
        <v>157</v>
      </c>
      <c r="V197" s="27"/>
      <c r="W197" s="27"/>
      <c r="X197" s="27" t="s">
        <v>79</v>
      </c>
      <c r="Y197" s="27" t="s">
        <v>85</v>
      </c>
      <c r="Z197" s="27"/>
      <c r="AA197" s="27"/>
    </row>
    <row r="198" spans="1:27">
      <c r="A198" s="42">
        <v>196</v>
      </c>
      <c r="B198" s="26" t="s">
        <v>527</v>
      </c>
      <c r="C198" s="29">
        <v>0</v>
      </c>
      <c r="D198" s="29">
        <f t="shared" si="10"/>
        <v>1730</v>
      </c>
      <c r="E198" s="38">
        <v>1750</v>
      </c>
      <c r="F198" s="38">
        <v>2800</v>
      </c>
      <c r="G198" s="38">
        <v>1900</v>
      </c>
      <c r="H198" s="38">
        <v>20</v>
      </c>
      <c r="I198" s="38">
        <v>2800</v>
      </c>
      <c r="J198" s="38">
        <v>120</v>
      </c>
      <c r="K198" s="38">
        <v>4000</v>
      </c>
      <c r="L198" s="38">
        <v>16</v>
      </c>
      <c r="M198" s="38">
        <v>20</v>
      </c>
      <c r="N198" s="38">
        <v>20</v>
      </c>
      <c r="O198" s="38">
        <v>20</v>
      </c>
      <c r="P198" s="27" t="s">
        <v>77</v>
      </c>
      <c r="Q198" s="27" t="s">
        <v>76</v>
      </c>
      <c r="R198" s="27" t="s">
        <v>77</v>
      </c>
      <c r="S198" s="27" t="s">
        <v>82</v>
      </c>
      <c r="T198" s="27" t="s">
        <v>77</v>
      </c>
      <c r="U198" s="27" t="s">
        <v>157</v>
      </c>
      <c r="V198" s="27"/>
      <c r="W198" s="27"/>
      <c r="X198" s="27" t="s">
        <v>79</v>
      </c>
      <c r="Y198" s="27" t="s">
        <v>85</v>
      </c>
      <c r="Z198" s="27"/>
      <c r="AA198" s="27"/>
    </row>
    <row r="199" spans="1:27">
      <c r="A199" s="42">
        <v>197</v>
      </c>
      <c r="B199" s="26" t="s">
        <v>528</v>
      </c>
      <c r="C199" s="29">
        <v>0</v>
      </c>
      <c r="D199" s="29">
        <f t="shared" si="10"/>
        <v>1730</v>
      </c>
      <c r="E199" s="28">
        <v>1750</v>
      </c>
      <c r="F199" s="28">
        <v>2800</v>
      </c>
      <c r="G199" s="28">
        <v>1900</v>
      </c>
      <c r="H199" s="28">
        <v>20</v>
      </c>
      <c r="I199" s="28">
        <v>2800</v>
      </c>
      <c r="J199" s="28">
        <v>120</v>
      </c>
      <c r="K199" s="28">
        <v>4000</v>
      </c>
      <c r="L199" s="28">
        <v>16</v>
      </c>
      <c r="M199" s="28">
        <v>20</v>
      </c>
      <c r="N199" s="28">
        <v>20</v>
      </c>
      <c r="O199" s="28">
        <v>20</v>
      </c>
      <c r="P199" s="27" t="s">
        <v>77</v>
      </c>
      <c r="Q199" s="27" t="s">
        <v>76</v>
      </c>
      <c r="R199" s="27" t="s">
        <v>77</v>
      </c>
      <c r="S199" s="27" t="s">
        <v>82</v>
      </c>
      <c r="T199" s="27" t="s">
        <v>77</v>
      </c>
      <c r="U199" s="27" t="s">
        <v>157</v>
      </c>
      <c r="V199" s="27"/>
      <c r="W199" s="27"/>
      <c r="X199" s="27" t="s">
        <v>79</v>
      </c>
      <c r="Y199" s="27" t="s">
        <v>85</v>
      </c>
      <c r="Z199" s="27"/>
      <c r="AA199" s="27"/>
    </row>
    <row r="200" spans="1:27">
      <c r="A200" s="42">
        <v>198</v>
      </c>
      <c r="B200" s="26" t="s">
        <v>529</v>
      </c>
      <c r="C200" s="29">
        <v>0</v>
      </c>
      <c r="D200" s="29">
        <f t="shared" si="10"/>
        <v>1730</v>
      </c>
      <c r="E200" s="28">
        <v>1750</v>
      </c>
      <c r="F200" s="28">
        <v>2800</v>
      </c>
      <c r="G200" s="28">
        <v>1900</v>
      </c>
      <c r="H200" s="28">
        <v>20</v>
      </c>
      <c r="I200" s="28">
        <v>2800</v>
      </c>
      <c r="J200" s="28">
        <v>120</v>
      </c>
      <c r="K200" s="28">
        <v>4000</v>
      </c>
      <c r="L200" s="28">
        <v>16</v>
      </c>
      <c r="M200" s="28">
        <v>20</v>
      </c>
      <c r="N200" s="28">
        <v>20</v>
      </c>
      <c r="O200" s="28">
        <v>20</v>
      </c>
      <c r="P200" s="27" t="s">
        <v>77</v>
      </c>
      <c r="Q200" s="27" t="s">
        <v>76</v>
      </c>
      <c r="R200" s="27" t="s">
        <v>77</v>
      </c>
      <c r="S200" s="27" t="s">
        <v>82</v>
      </c>
      <c r="T200" s="27" t="s">
        <v>77</v>
      </c>
      <c r="U200" s="27" t="s">
        <v>157</v>
      </c>
      <c r="V200" s="27"/>
      <c r="W200" s="27"/>
      <c r="X200" s="27" t="s">
        <v>79</v>
      </c>
      <c r="Y200" s="27" t="s">
        <v>85</v>
      </c>
      <c r="Z200" s="27"/>
      <c r="AA200" s="27"/>
    </row>
    <row r="201" spans="1:27">
      <c r="A201" s="42">
        <v>199</v>
      </c>
      <c r="B201" s="26" t="s">
        <v>530</v>
      </c>
      <c r="C201" s="29">
        <v>0</v>
      </c>
      <c r="D201" s="29">
        <f t="shared" si="10"/>
        <v>1730</v>
      </c>
      <c r="E201" s="28">
        <v>1750</v>
      </c>
      <c r="F201" s="28">
        <v>2800</v>
      </c>
      <c r="G201" s="28">
        <v>1900</v>
      </c>
      <c r="H201" s="28">
        <v>20</v>
      </c>
      <c r="I201" s="28">
        <v>2800</v>
      </c>
      <c r="J201" s="28">
        <v>120</v>
      </c>
      <c r="K201" s="28">
        <v>4000</v>
      </c>
      <c r="L201" s="28">
        <v>16</v>
      </c>
      <c r="M201" s="28">
        <v>20</v>
      </c>
      <c r="N201" s="28">
        <v>20</v>
      </c>
      <c r="O201" s="28">
        <v>20</v>
      </c>
      <c r="P201" s="27" t="s">
        <v>77</v>
      </c>
      <c r="Q201" s="27" t="s">
        <v>76</v>
      </c>
      <c r="R201" s="27" t="s">
        <v>77</v>
      </c>
      <c r="S201" s="27" t="s">
        <v>82</v>
      </c>
      <c r="T201" s="27" t="s">
        <v>77</v>
      </c>
      <c r="U201" s="27" t="s">
        <v>157</v>
      </c>
      <c r="V201" s="27"/>
      <c r="W201" s="27"/>
      <c r="X201" s="27" t="s">
        <v>79</v>
      </c>
      <c r="Y201" s="27" t="s">
        <v>85</v>
      </c>
      <c r="Z201" s="27"/>
      <c r="AA201" s="27"/>
    </row>
    <row r="202" spans="1:27">
      <c r="A202" s="42">
        <v>200</v>
      </c>
      <c r="B202" s="26" t="s">
        <v>531</v>
      </c>
      <c r="C202" s="29">
        <v>0</v>
      </c>
      <c r="D202" s="29">
        <f t="shared" si="10"/>
        <v>1730</v>
      </c>
      <c r="E202" s="38">
        <v>1750</v>
      </c>
      <c r="F202" s="38">
        <v>2800</v>
      </c>
      <c r="G202" s="38">
        <v>1900</v>
      </c>
      <c r="H202" s="38">
        <v>20</v>
      </c>
      <c r="I202" s="38">
        <v>2800</v>
      </c>
      <c r="J202" s="38">
        <v>120</v>
      </c>
      <c r="K202" s="38">
        <v>4000</v>
      </c>
      <c r="L202" s="38">
        <v>16</v>
      </c>
      <c r="M202" s="38">
        <v>20</v>
      </c>
      <c r="N202" s="38">
        <v>20</v>
      </c>
      <c r="O202" s="38">
        <v>20</v>
      </c>
      <c r="P202" s="27" t="s">
        <v>77</v>
      </c>
      <c r="Q202" s="27" t="s">
        <v>76</v>
      </c>
      <c r="R202" s="27" t="s">
        <v>77</v>
      </c>
      <c r="S202" s="27" t="s">
        <v>82</v>
      </c>
      <c r="T202" s="27" t="s">
        <v>77</v>
      </c>
      <c r="U202" s="27" t="s">
        <v>157</v>
      </c>
      <c r="V202" s="27"/>
      <c r="W202" s="27"/>
      <c r="X202" s="27" t="s">
        <v>79</v>
      </c>
      <c r="Y202" s="27" t="s">
        <v>85</v>
      </c>
      <c r="Z202" s="27"/>
      <c r="AA202" s="27"/>
    </row>
    <row r="203" spans="1:27">
      <c r="A203" s="42">
        <v>201</v>
      </c>
      <c r="B203" s="26" t="s">
        <v>532</v>
      </c>
      <c r="C203" s="29">
        <v>0</v>
      </c>
      <c r="D203" s="29">
        <f t="shared" si="10"/>
        <v>1730</v>
      </c>
      <c r="E203" s="28">
        <v>1750</v>
      </c>
      <c r="F203" s="28">
        <v>2800</v>
      </c>
      <c r="G203" s="28">
        <v>1900</v>
      </c>
      <c r="H203" s="28">
        <v>20</v>
      </c>
      <c r="I203" s="28">
        <v>2800</v>
      </c>
      <c r="J203" s="28">
        <v>120</v>
      </c>
      <c r="K203" s="28">
        <v>4000</v>
      </c>
      <c r="L203" s="28">
        <v>16</v>
      </c>
      <c r="M203" s="28">
        <v>20</v>
      </c>
      <c r="N203" s="28">
        <v>20</v>
      </c>
      <c r="O203" s="28">
        <v>20</v>
      </c>
      <c r="P203" s="27" t="s">
        <v>77</v>
      </c>
      <c r="Q203" s="27" t="s">
        <v>76</v>
      </c>
      <c r="R203" s="27" t="s">
        <v>77</v>
      </c>
      <c r="S203" s="27" t="s">
        <v>82</v>
      </c>
      <c r="T203" s="27" t="s">
        <v>77</v>
      </c>
      <c r="U203" s="27" t="s">
        <v>157</v>
      </c>
      <c r="V203" s="27"/>
      <c r="W203" s="27"/>
      <c r="X203" s="27" t="s">
        <v>79</v>
      </c>
      <c r="Y203" s="27" t="s">
        <v>85</v>
      </c>
      <c r="Z203" s="27"/>
      <c r="AA203" s="27"/>
    </row>
    <row r="204" spans="1:27">
      <c r="A204" s="42">
        <v>202</v>
      </c>
      <c r="B204" s="26" t="s">
        <v>533</v>
      </c>
      <c r="C204" s="29">
        <v>0</v>
      </c>
      <c r="D204" s="29">
        <f t="shared" si="10"/>
        <v>1730</v>
      </c>
      <c r="E204" s="28">
        <v>1750</v>
      </c>
      <c r="F204" s="28">
        <v>2800</v>
      </c>
      <c r="G204" s="28">
        <v>1900</v>
      </c>
      <c r="H204" s="28">
        <v>20</v>
      </c>
      <c r="I204" s="28">
        <v>2800</v>
      </c>
      <c r="J204" s="28">
        <v>120</v>
      </c>
      <c r="K204" s="28">
        <v>4000</v>
      </c>
      <c r="L204" s="28">
        <v>16</v>
      </c>
      <c r="M204" s="28">
        <v>20</v>
      </c>
      <c r="N204" s="28">
        <v>20</v>
      </c>
      <c r="O204" s="28">
        <v>20</v>
      </c>
      <c r="P204" s="27" t="s">
        <v>77</v>
      </c>
      <c r="Q204" s="27" t="s">
        <v>76</v>
      </c>
      <c r="R204" s="27" t="s">
        <v>77</v>
      </c>
      <c r="S204" s="27" t="s">
        <v>82</v>
      </c>
      <c r="T204" s="27" t="s">
        <v>77</v>
      </c>
      <c r="U204" s="27" t="s">
        <v>157</v>
      </c>
      <c r="V204" s="27"/>
      <c r="W204" s="27"/>
      <c r="X204" s="27" t="s">
        <v>79</v>
      </c>
      <c r="Y204" s="27" t="s">
        <v>85</v>
      </c>
      <c r="Z204" s="27"/>
      <c r="AA204" s="27"/>
    </row>
    <row r="205" spans="1:27">
      <c r="A205" s="42">
        <v>203</v>
      </c>
      <c r="B205" s="26" t="s">
        <v>534</v>
      </c>
      <c r="C205" s="29">
        <v>0</v>
      </c>
      <c r="D205" s="29">
        <f t="shared" si="10"/>
        <v>1730</v>
      </c>
      <c r="E205" s="28">
        <v>1750</v>
      </c>
      <c r="F205" s="28">
        <v>2800</v>
      </c>
      <c r="G205" s="28">
        <v>1900</v>
      </c>
      <c r="H205" s="28">
        <v>20</v>
      </c>
      <c r="I205" s="28">
        <v>2800</v>
      </c>
      <c r="J205" s="28">
        <v>120</v>
      </c>
      <c r="K205" s="28">
        <v>4000</v>
      </c>
      <c r="L205" s="28">
        <v>16</v>
      </c>
      <c r="M205" s="28">
        <v>20</v>
      </c>
      <c r="N205" s="28">
        <v>20</v>
      </c>
      <c r="O205" s="28">
        <v>20</v>
      </c>
      <c r="P205" s="27" t="s">
        <v>77</v>
      </c>
      <c r="Q205" s="27" t="s">
        <v>76</v>
      </c>
      <c r="R205" s="27" t="s">
        <v>77</v>
      </c>
      <c r="S205" s="27" t="s">
        <v>82</v>
      </c>
      <c r="T205" s="27" t="s">
        <v>77</v>
      </c>
      <c r="U205" s="27" t="s">
        <v>157</v>
      </c>
      <c r="V205" s="27"/>
      <c r="W205" s="27"/>
      <c r="X205" s="27" t="s">
        <v>79</v>
      </c>
      <c r="Y205" s="27" t="s">
        <v>85</v>
      </c>
      <c r="Z205" s="27"/>
      <c r="AA205" s="27"/>
    </row>
    <row r="206" spans="1:27">
      <c r="A206" s="42">
        <v>204</v>
      </c>
      <c r="B206" s="26" t="s">
        <v>535</v>
      </c>
      <c r="C206" s="29">
        <v>0</v>
      </c>
      <c r="D206" s="29">
        <f t="shared" si="10"/>
        <v>1730</v>
      </c>
      <c r="E206" s="38">
        <v>1750</v>
      </c>
      <c r="F206" s="38">
        <v>2800</v>
      </c>
      <c r="G206" s="38">
        <v>1900</v>
      </c>
      <c r="H206" s="38">
        <v>20</v>
      </c>
      <c r="I206" s="38">
        <v>2800</v>
      </c>
      <c r="J206" s="38">
        <v>120</v>
      </c>
      <c r="K206" s="38">
        <v>4000</v>
      </c>
      <c r="L206" s="38">
        <v>16</v>
      </c>
      <c r="M206" s="38">
        <v>20</v>
      </c>
      <c r="N206" s="38">
        <v>20</v>
      </c>
      <c r="O206" s="38">
        <v>20</v>
      </c>
      <c r="P206" s="27" t="s">
        <v>77</v>
      </c>
      <c r="Q206" s="27" t="s">
        <v>76</v>
      </c>
      <c r="R206" s="27" t="s">
        <v>77</v>
      </c>
      <c r="S206" s="27" t="s">
        <v>82</v>
      </c>
      <c r="T206" s="27" t="s">
        <v>77</v>
      </c>
      <c r="U206" s="27" t="s">
        <v>157</v>
      </c>
      <c r="V206" s="27"/>
      <c r="W206" s="27"/>
      <c r="X206" s="27" t="s">
        <v>79</v>
      </c>
      <c r="Y206" s="27" t="s">
        <v>85</v>
      </c>
      <c r="Z206" s="27"/>
      <c r="AA206" s="27"/>
    </row>
    <row r="207" spans="1:27">
      <c r="A207" s="42">
        <v>205</v>
      </c>
      <c r="B207" s="26" t="s">
        <v>536</v>
      </c>
      <c r="C207" s="29">
        <v>0</v>
      </c>
      <c r="D207" s="29">
        <f t="shared" si="10"/>
        <v>1730</v>
      </c>
      <c r="E207" s="28">
        <v>1750</v>
      </c>
      <c r="F207" s="28">
        <v>2800</v>
      </c>
      <c r="G207" s="28">
        <v>1900</v>
      </c>
      <c r="H207" s="28">
        <v>20</v>
      </c>
      <c r="I207" s="28">
        <v>2800</v>
      </c>
      <c r="J207" s="28">
        <v>120</v>
      </c>
      <c r="K207" s="28">
        <v>3708</v>
      </c>
      <c r="L207" s="28">
        <v>16</v>
      </c>
      <c r="M207" s="28">
        <v>20</v>
      </c>
      <c r="N207" s="28">
        <v>20</v>
      </c>
      <c r="O207" s="28">
        <v>20</v>
      </c>
      <c r="P207" s="27" t="s">
        <v>77</v>
      </c>
      <c r="Q207" s="27" t="s">
        <v>76</v>
      </c>
      <c r="R207" s="27" t="s">
        <v>77</v>
      </c>
      <c r="S207" s="27" t="s">
        <v>82</v>
      </c>
      <c r="T207" s="27" t="s">
        <v>77</v>
      </c>
      <c r="U207" s="27" t="s">
        <v>157</v>
      </c>
      <c r="V207" s="27"/>
      <c r="W207" s="27"/>
      <c r="X207" s="27" t="s">
        <v>79</v>
      </c>
      <c r="Y207" s="27" t="s">
        <v>85</v>
      </c>
      <c r="Z207" s="27"/>
      <c r="AA207" s="27"/>
    </row>
    <row r="208" spans="1:27">
      <c r="A208" s="42">
        <v>206</v>
      </c>
      <c r="B208" s="26" t="s">
        <v>537</v>
      </c>
      <c r="C208" s="29">
        <v>0</v>
      </c>
      <c r="D208" s="29">
        <f t="shared" si="10"/>
        <v>1730</v>
      </c>
      <c r="E208" s="28">
        <v>1750</v>
      </c>
      <c r="F208" s="28">
        <v>2800</v>
      </c>
      <c r="G208" s="28">
        <v>1900</v>
      </c>
      <c r="H208" s="28">
        <v>20</v>
      </c>
      <c r="I208" s="28">
        <v>2800</v>
      </c>
      <c r="J208" s="28">
        <v>120</v>
      </c>
      <c r="K208" s="28">
        <v>3400</v>
      </c>
      <c r="L208" s="28">
        <v>16</v>
      </c>
      <c r="M208" s="28">
        <v>20</v>
      </c>
      <c r="N208" s="28">
        <v>20</v>
      </c>
      <c r="O208" s="28">
        <v>20</v>
      </c>
      <c r="P208" s="27" t="s">
        <v>77</v>
      </c>
      <c r="Q208" s="27" t="s">
        <v>76</v>
      </c>
      <c r="R208" s="27" t="s">
        <v>77</v>
      </c>
      <c r="S208" s="27" t="s">
        <v>82</v>
      </c>
      <c r="T208" s="27" t="s">
        <v>77</v>
      </c>
      <c r="U208" s="27" t="s">
        <v>157</v>
      </c>
      <c r="V208" s="27"/>
      <c r="W208" s="27"/>
      <c r="X208" s="27" t="s">
        <v>79</v>
      </c>
      <c r="Y208" s="27" t="s">
        <v>85</v>
      </c>
      <c r="Z208" s="27"/>
      <c r="AA208" s="27"/>
    </row>
    <row r="209" spans="1:27">
      <c r="A209" s="42">
        <v>207</v>
      </c>
      <c r="B209" s="26" t="s">
        <v>538</v>
      </c>
      <c r="C209" s="29">
        <v>0</v>
      </c>
      <c r="D209" s="29">
        <f t="shared" si="10"/>
        <v>1730</v>
      </c>
      <c r="E209" s="28">
        <v>1750</v>
      </c>
      <c r="F209" s="28">
        <v>2800</v>
      </c>
      <c r="G209" s="28">
        <v>1900</v>
      </c>
      <c r="H209" s="28">
        <v>20</v>
      </c>
      <c r="I209" s="28">
        <v>2800</v>
      </c>
      <c r="J209" s="28">
        <v>120</v>
      </c>
      <c r="K209" s="28">
        <v>3092</v>
      </c>
      <c r="L209" s="28">
        <v>16</v>
      </c>
      <c r="M209" s="28">
        <v>20</v>
      </c>
      <c r="N209" s="28">
        <v>20</v>
      </c>
      <c r="O209" s="28">
        <v>20</v>
      </c>
      <c r="P209" s="27" t="s">
        <v>77</v>
      </c>
      <c r="Q209" s="27" t="s">
        <v>76</v>
      </c>
      <c r="R209" s="27" t="s">
        <v>77</v>
      </c>
      <c r="S209" s="27" t="s">
        <v>82</v>
      </c>
      <c r="T209" s="27" t="s">
        <v>77</v>
      </c>
      <c r="U209" s="27" t="s">
        <v>157</v>
      </c>
      <c r="V209" s="27"/>
      <c r="W209" s="27"/>
      <c r="X209" s="27" t="s">
        <v>79</v>
      </c>
      <c r="Y209" s="27" t="s">
        <v>85</v>
      </c>
      <c r="Z209" s="27"/>
      <c r="AA209" s="27"/>
    </row>
    <row r="210" spans="1:27">
      <c r="A210" s="42">
        <v>208</v>
      </c>
      <c r="B210" s="26" t="s">
        <v>539</v>
      </c>
      <c r="C210" s="29">
        <v>0</v>
      </c>
      <c r="D210" s="29">
        <f t="shared" si="10"/>
        <v>1730</v>
      </c>
      <c r="E210" s="38">
        <v>1750</v>
      </c>
      <c r="F210" s="38">
        <v>2800</v>
      </c>
      <c r="G210" s="38">
        <v>1900</v>
      </c>
      <c r="H210" s="38">
        <v>20</v>
      </c>
      <c r="I210" s="38">
        <v>2800</v>
      </c>
      <c r="J210" s="38">
        <v>120</v>
      </c>
      <c r="K210" s="38">
        <v>2800</v>
      </c>
      <c r="L210" s="38">
        <v>16</v>
      </c>
      <c r="M210" s="38">
        <v>20</v>
      </c>
      <c r="N210" s="38">
        <v>20</v>
      </c>
      <c r="O210" s="38">
        <v>20</v>
      </c>
      <c r="P210" s="27" t="s">
        <v>77</v>
      </c>
      <c r="Q210" s="27" t="s">
        <v>76</v>
      </c>
      <c r="R210" s="27" t="s">
        <v>77</v>
      </c>
      <c r="S210" s="27" t="s">
        <v>82</v>
      </c>
      <c r="T210" s="27" t="s">
        <v>77</v>
      </c>
      <c r="U210" s="27" t="s">
        <v>157</v>
      </c>
      <c r="V210" s="27"/>
      <c r="W210" s="27"/>
      <c r="X210" s="27" t="s">
        <v>79</v>
      </c>
      <c r="Y210" s="27" t="s">
        <v>85</v>
      </c>
      <c r="Z210" s="27"/>
      <c r="AA210" s="27"/>
    </row>
    <row r="211" spans="1:27">
      <c r="A211" s="42">
        <v>209</v>
      </c>
      <c r="B211" s="26" t="s">
        <v>540</v>
      </c>
      <c r="C211" s="29">
        <v>0</v>
      </c>
      <c r="D211" s="29">
        <f t="shared" si="10"/>
        <v>1730</v>
      </c>
      <c r="E211" s="35">
        <v>1750</v>
      </c>
      <c r="F211" s="35">
        <v>2800</v>
      </c>
      <c r="G211" s="35">
        <v>1900</v>
      </c>
      <c r="H211" s="35">
        <v>20</v>
      </c>
      <c r="I211" s="35">
        <v>2800</v>
      </c>
      <c r="J211" s="35">
        <v>120</v>
      </c>
      <c r="K211" s="35">
        <v>2800</v>
      </c>
      <c r="L211" s="35">
        <v>16</v>
      </c>
      <c r="M211" s="35">
        <v>20</v>
      </c>
      <c r="N211" s="35">
        <v>20</v>
      </c>
      <c r="O211" s="35">
        <v>20</v>
      </c>
      <c r="P211" s="27" t="s">
        <v>77</v>
      </c>
      <c r="Q211" s="27" t="s">
        <v>76</v>
      </c>
      <c r="R211" s="27" t="s">
        <v>77</v>
      </c>
      <c r="S211" s="27" t="s">
        <v>82</v>
      </c>
      <c r="T211" s="27" t="s">
        <v>77</v>
      </c>
      <c r="U211" s="27" t="s">
        <v>157</v>
      </c>
      <c r="V211" s="27"/>
      <c r="W211" s="27"/>
      <c r="X211" s="27" t="s">
        <v>79</v>
      </c>
      <c r="Y211" s="27" t="s">
        <v>85</v>
      </c>
      <c r="Z211" s="27"/>
      <c r="AA211" s="27"/>
    </row>
  </sheetData>
  <phoneticPr fontId="9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87" r:id="rId3" name="Button 39">
              <controlPr defaultSize="0" print="0" autoFill="0" autoPict="0" macro="[0]!欄開關_斷面參數">
                <anchor moveWithCells="1" sizeWithCells="1">
                  <from>
                    <xdr:col>1</xdr:col>
                    <xdr:colOff>228600</xdr:colOff>
                    <xdr:row>7</xdr:row>
                    <xdr:rowOff>133350</xdr:rowOff>
                  </from>
                  <to>
                    <xdr:col>3</xdr:col>
                    <xdr:colOff>28575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4" name="Button 40">
              <controlPr defaultSize="0" print="0" autoFill="0" autoPict="0" macro="[0]!欄開關_頂版加勁鈑">
                <anchor moveWithCells="1" sizeWithCells="1">
                  <from>
                    <xdr:col>1</xdr:col>
                    <xdr:colOff>228600</xdr:colOff>
                    <xdr:row>10</xdr:row>
                    <xdr:rowOff>228600</xdr:rowOff>
                  </from>
                  <to>
                    <xdr:col>3</xdr:col>
                    <xdr:colOff>28575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5" name="Button 41">
              <controlPr defaultSize="0" print="0" autoFill="0" autoPict="0" macro="[0]!欄開關_底版加勁鈑">
                <anchor moveWithCells="1" sizeWithCells="1">
                  <from>
                    <xdr:col>1</xdr:col>
                    <xdr:colOff>228600</xdr:colOff>
                    <xdr:row>14</xdr:row>
                    <xdr:rowOff>85725</xdr:rowOff>
                  </from>
                  <to>
                    <xdr:col>3</xdr:col>
                    <xdr:colOff>28575</xdr:colOff>
                    <xdr:row>18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>
    <tabColor theme="5" tint="0.79998168889431442"/>
    <outlinePr summaryBelow="0"/>
  </sheetPr>
  <dimension ref="A1:G3"/>
  <sheetViews>
    <sheetView workbookViewId="0">
      <selection activeCell="B19" sqref="B19"/>
    </sheetView>
  </sheetViews>
  <sheetFormatPr defaultRowHeight="15.75"/>
  <cols>
    <col min="1" max="2" width="12.42578125" style="14" bestFit="1" customWidth="1"/>
    <col min="3" max="7" width="12.42578125" style="15" bestFit="1" customWidth="1"/>
  </cols>
  <sheetData>
    <row r="1" spans="1:7" ht="17.25" customHeight="1">
      <c r="A1" s="17" t="s">
        <v>1</v>
      </c>
      <c r="B1" s="17" t="s">
        <v>3</v>
      </c>
      <c r="C1" s="18" t="s">
        <v>43</v>
      </c>
      <c r="D1" s="18" t="s">
        <v>44</v>
      </c>
      <c r="E1" s="18" t="s">
        <v>45</v>
      </c>
      <c r="F1" s="18" t="s">
        <v>46</v>
      </c>
      <c r="G1" s="18" t="s">
        <v>47</v>
      </c>
    </row>
    <row r="2" spans="1:7" ht="17.25" customHeight="1">
      <c r="A2" s="19" t="s">
        <v>48</v>
      </c>
      <c r="B2" s="19" t="s">
        <v>78</v>
      </c>
      <c r="C2" s="20">
        <v>216</v>
      </c>
      <c r="D2" s="20">
        <v>60</v>
      </c>
      <c r="E2" s="20">
        <v>13</v>
      </c>
      <c r="F2" s="20">
        <v>16</v>
      </c>
      <c r="G2" s="20">
        <v>0</v>
      </c>
    </row>
    <row r="3" spans="1:7" ht="17.25" customHeight="1">
      <c r="A3" s="19" t="s">
        <v>49</v>
      </c>
      <c r="B3" s="19" t="s">
        <v>80</v>
      </c>
      <c r="C3" s="20">
        <v>250</v>
      </c>
      <c r="D3" s="20">
        <v>20</v>
      </c>
      <c r="E3" s="20">
        <v>0</v>
      </c>
      <c r="F3" s="20">
        <v>0</v>
      </c>
      <c r="G3" s="20">
        <v>0</v>
      </c>
    </row>
  </sheetData>
  <phoneticPr fontId="9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>
    <tabColor theme="7" tint="0.79998168889431442"/>
    <outlinePr summaryBelow="0"/>
  </sheetPr>
  <dimension ref="A1:AK233"/>
  <sheetViews>
    <sheetView topLeftCell="J1" zoomScale="85" zoomScaleNormal="85" workbookViewId="0">
      <selection activeCell="Z4" sqref="Z4"/>
    </sheetView>
  </sheetViews>
  <sheetFormatPr defaultRowHeight="15.75"/>
  <cols>
    <col min="1" max="1" width="6" style="14" bestFit="1" customWidth="1"/>
    <col min="2" max="2" width="22.28515625" style="14" bestFit="1" customWidth="1"/>
    <col min="3" max="4" width="8.7109375" style="14" bestFit="1" customWidth="1"/>
    <col min="5" max="5" width="11.7109375" style="15" bestFit="1" customWidth="1"/>
    <col min="6" max="6" width="16.28515625" style="16" bestFit="1" customWidth="1"/>
    <col min="7" max="7" width="16.140625" style="16" bestFit="1" customWidth="1"/>
    <col min="8" max="9" width="31.5703125" style="16" bestFit="1" customWidth="1"/>
    <col min="10" max="10" width="31.7109375" style="16" bestFit="1" customWidth="1"/>
    <col min="11" max="14" width="13.28515625" style="16" bestFit="1" customWidth="1"/>
    <col min="15" max="16" width="8.85546875" style="15" bestFit="1" customWidth="1"/>
    <col min="17" max="18" width="10.140625" style="15" bestFit="1" customWidth="1"/>
    <col min="19" max="19" width="25.28515625" style="14" bestFit="1" customWidth="1"/>
    <col min="20" max="20" width="26.85546875" style="14" bestFit="1" customWidth="1"/>
    <col min="21" max="21" width="39.28515625" style="14" bestFit="1" customWidth="1"/>
    <col min="22" max="27" width="17.5703125" style="14" bestFit="1" customWidth="1"/>
    <col min="28" max="30" width="7.42578125" style="14" bestFit="1" customWidth="1"/>
    <col min="31" max="33" width="17.5703125" style="14" bestFit="1" customWidth="1"/>
    <col min="34" max="37" width="7.42578125" style="14" bestFit="1" customWidth="1"/>
  </cols>
  <sheetData>
    <row r="1" spans="1:37" ht="23.25" customHeight="1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4" t="s">
        <v>11</v>
      </c>
      <c r="M1" s="4" t="s">
        <v>12</v>
      </c>
      <c r="N1" s="4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5" t="s">
        <v>5</v>
      </c>
      <c r="T1" s="5" t="s">
        <v>6</v>
      </c>
      <c r="U1" s="5" t="s">
        <v>7</v>
      </c>
      <c r="V1" s="6" t="s">
        <v>18</v>
      </c>
      <c r="W1" s="6" t="s">
        <v>19</v>
      </c>
      <c r="X1" s="6" t="s">
        <v>20</v>
      </c>
      <c r="Y1" s="6" t="s">
        <v>21</v>
      </c>
      <c r="Z1" s="6" t="s">
        <v>22</v>
      </c>
      <c r="AA1" s="6" t="s">
        <v>23</v>
      </c>
      <c r="AB1" s="6" t="s">
        <v>24</v>
      </c>
      <c r="AC1" s="6" t="s">
        <v>25</v>
      </c>
      <c r="AD1" s="6" t="s">
        <v>4</v>
      </c>
      <c r="AE1" s="7" t="s">
        <v>26</v>
      </c>
      <c r="AF1" s="6" t="s">
        <v>27</v>
      </c>
      <c r="AG1" s="6" t="s">
        <v>28</v>
      </c>
      <c r="AH1" s="6" t="s">
        <v>29</v>
      </c>
      <c r="AI1" s="6" t="s">
        <v>30</v>
      </c>
      <c r="AJ1" s="6" t="s">
        <v>31</v>
      </c>
      <c r="AK1" s="6" t="s">
        <v>32</v>
      </c>
    </row>
    <row r="2" spans="1:37" ht="24" customHeight="1">
      <c r="A2" s="1" t="s">
        <v>33</v>
      </c>
      <c r="B2" s="2" t="s">
        <v>33</v>
      </c>
      <c r="C2" s="2" t="s">
        <v>33</v>
      </c>
      <c r="D2" s="2" t="s">
        <v>33</v>
      </c>
      <c r="E2" s="3" t="s">
        <v>34</v>
      </c>
      <c r="F2" s="4" t="s">
        <v>34</v>
      </c>
      <c r="G2" s="4" t="s">
        <v>34</v>
      </c>
      <c r="H2" s="4" t="s">
        <v>35</v>
      </c>
      <c r="I2" s="4" t="s">
        <v>35</v>
      </c>
      <c r="J2" s="4" t="s">
        <v>35</v>
      </c>
      <c r="K2" s="4" t="s">
        <v>36</v>
      </c>
      <c r="L2" s="4" t="s">
        <v>36</v>
      </c>
      <c r="M2" s="4" t="s">
        <v>36</v>
      </c>
      <c r="N2" s="4" t="s">
        <v>36</v>
      </c>
      <c r="O2" s="3" t="s">
        <v>34</v>
      </c>
      <c r="P2" s="3" t="s">
        <v>34</v>
      </c>
      <c r="Q2" s="3" t="s">
        <v>36</v>
      </c>
      <c r="R2" s="3" t="s">
        <v>36</v>
      </c>
      <c r="S2" s="5" t="s">
        <v>34</v>
      </c>
      <c r="T2" s="5" t="s">
        <v>34</v>
      </c>
      <c r="U2" s="5" t="s">
        <v>35</v>
      </c>
      <c r="V2" s="6" t="s">
        <v>37</v>
      </c>
      <c r="W2" s="6" t="s">
        <v>37</v>
      </c>
      <c r="X2" s="6" t="s">
        <v>37</v>
      </c>
      <c r="Y2" s="6" t="s">
        <v>37</v>
      </c>
      <c r="Z2" s="6" t="s">
        <v>38</v>
      </c>
      <c r="AA2" s="6" t="s">
        <v>38</v>
      </c>
      <c r="AB2" s="6" t="s">
        <v>38</v>
      </c>
      <c r="AC2" s="6" t="s">
        <v>38</v>
      </c>
      <c r="AD2" s="6" t="s">
        <v>39</v>
      </c>
      <c r="AE2" s="6" t="s">
        <v>40</v>
      </c>
      <c r="AF2" s="6" t="s">
        <v>39</v>
      </c>
      <c r="AG2" s="6" t="s">
        <v>39</v>
      </c>
      <c r="AH2" s="6" t="s">
        <v>40</v>
      </c>
      <c r="AI2" s="6" t="s">
        <v>40</v>
      </c>
      <c r="AJ2" s="6" t="s">
        <v>37</v>
      </c>
      <c r="AK2" s="6" t="s">
        <v>37</v>
      </c>
    </row>
    <row r="3" spans="1:37" ht="23.25" customHeight="1">
      <c r="A3" s="8">
        <f>鋼床鈑!A3</f>
        <v>1</v>
      </c>
      <c r="B3" s="44" t="s">
        <v>41</v>
      </c>
      <c r="C3" s="44" t="s">
        <v>42</v>
      </c>
      <c r="D3" s="44" t="s">
        <v>81</v>
      </c>
      <c r="E3" s="45">
        <v>400192</v>
      </c>
      <c r="F3" s="46">
        <v>139835.06460000001</v>
      </c>
      <c r="G3" s="46">
        <v>86180.915900000007</v>
      </c>
      <c r="H3" s="46">
        <v>431090007299.27802</v>
      </c>
      <c r="I3" s="46">
        <v>540067195120.409</v>
      </c>
      <c r="J3" s="46">
        <v>1241528946705.71</v>
      </c>
      <c r="K3" s="46">
        <v>3950.9621999999999</v>
      </c>
      <c r="L3" s="46">
        <v>3483.5378000000001</v>
      </c>
      <c r="M3" s="46">
        <v>1012.9807</v>
      </c>
      <c r="N3" s="46">
        <v>1823.0192999999999</v>
      </c>
      <c r="O3" s="45">
        <v>0</v>
      </c>
      <c r="P3" s="45">
        <v>0</v>
      </c>
      <c r="Q3" s="45">
        <v>28631</v>
      </c>
      <c r="R3" s="45">
        <v>18434</v>
      </c>
      <c r="S3" s="11">
        <f>(鋼床鈑!F3+鋼床鈑!N3+鋼床鈑!O3)*鋼床鈑!L3+(鋼床鈑!I3+鋼床鈑!N3+鋼床鈑!O3)*鋼床鈑!M3</f>
        <v>102240</v>
      </c>
      <c r="T3" s="11">
        <f>(鋼床鈑!K3)*鋼床鈑!N3+(鋼床鈑!K3)*鋼床鈑!O3</f>
        <v>112000</v>
      </c>
      <c r="U3" s="11">
        <f>4*((鋼床鈑!I3+鋼床鈑!N3/2+鋼床鈑!O3/2)*(鋼床鈑!K3+鋼床鈑!L3/2+鋼床鈑!M3/2))^2/((鋼床鈑!F3+鋼床鈑!N3/2+鋼床鈑!O3/2)/鋼床鈑!L3+(鋼床鈑!I3+鋼床鈑!N3/2+鋼床鈑!O3/2)/鋼床鈑!M3+(鋼床鈑!K3+鋼床鈑!L3/2+鋼床鈑!M3/2)/鋼床鈑!N3+(鋼床鈑!K3+鋼床鈑!L3/2+鋼床鈑!M3/2)/鋼床鈑!O3)</f>
        <v>421674280928.80396</v>
      </c>
      <c r="V3" s="12">
        <f>AH3/(L3/1000)</f>
        <v>0.3563988732103639</v>
      </c>
      <c r="W3" s="12">
        <f>AH3/(K3/1000)</f>
        <v>0.31423457979570396</v>
      </c>
      <c r="X3" s="12">
        <f>AI3/(M3/1000)</f>
        <v>0.5331465793182526</v>
      </c>
      <c r="Y3" s="12">
        <f>AI3/(N3/1000)</f>
        <v>0.29624875343909363</v>
      </c>
      <c r="Z3" s="12">
        <f>SQRT(AH3/AD3)</f>
        <v>1.7613441591028736</v>
      </c>
      <c r="AA3" s="12">
        <f>SQRT(AI3/AD3)</f>
        <v>1.1616885202567582</v>
      </c>
      <c r="AB3" s="10">
        <f>(M3+N3)/1000</f>
        <v>2.8359999999999999</v>
      </c>
      <c r="AC3" s="9">
        <f>(K3+L3)/1000</f>
        <v>7.4344999999999999</v>
      </c>
      <c r="AD3" s="10">
        <f>E3/1000^2</f>
        <v>0.40019199999999999</v>
      </c>
      <c r="AE3" s="12">
        <f>U3/(1000^4)</f>
        <v>0.42167428092880394</v>
      </c>
      <c r="AF3" s="12">
        <f>T3/1000^2</f>
        <v>0.112</v>
      </c>
      <c r="AG3" s="12">
        <f>S3/1000^2</f>
        <v>0.10224</v>
      </c>
      <c r="AH3" s="10">
        <f>J3/(1000^4)</f>
        <v>1.24152894670571</v>
      </c>
      <c r="AI3" s="10">
        <f>I3/(1000^4)</f>
        <v>0.54006719512040902</v>
      </c>
      <c r="AJ3" s="13">
        <f>AH3</f>
        <v>1.24152894670571</v>
      </c>
      <c r="AK3" s="13">
        <f>AI3</f>
        <v>0.54006719512040902</v>
      </c>
    </row>
    <row r="4" spans="1:37" ht="23.25" customHeight="1">
      <c r="A4" s="8">
        <f>鋼床鈑!A4</f>
        <v>2</v>
      </c>
      <c r="B4" s="44" t="s">
        <v>41</v>
      </c>
      <c r="C4" s="44" t="s">
        <v>42</v>
      </c>
      <c r="D4" s="44" t="s">
        <v>86</v>
      </c>
      <c r="E4" s="45">
        <v>399832</v>
      </c>
      <c r="F4" s="46">
        <v>139675.05179999999</v>
      </c>
      <c r="G4" s="46">
        <v>86210.006500000003</v>
      </c>
      <c r="H4" s="46">
        <v>431268241146.90601</v>
      </c>
      <c r="I4" s="46">
        <v>539703265026.021</v>
      </c>
      <c r="J4" s="46">
        <v>1235336534557.8401</v>
      </c>
      <c r="K4" s="46">
        <v>3932.2098000000001</v>
      </c>
      <c r="L4" s="46">
        <v>3479.7901999999999</v>
      </c>
      <c r="M4" s="46">
        <v>1013.8856</v>
      </c>
      <c r="N4" s="46">
        <v>1822.1143999999999</v>
      </c>
      <c r="O4" s="45">
        <v>0</v>
      </c>
      <c r="P4" s="45">
        <v>0</v>
      </c>
      <c r="Q4" s="45">
        <v>28586</v>
      </c>
      <c r="R4" s="45">
        <v>18434</v>
      </c>
      <c r="S4" s="11">
        <f>(鋼床鈑!F4+鋼床鈑!N4+鋼床鈑!O4)*鋼床鈑!L4+(鋼床鈑!I4+鋼床鈑!N4+鋼床鈑!O4)*鋼床鈑!M4</f>
        <v>102240</v>
      </c>
      <c r="T4" s="11">
        <f>(鋼床鈑!K4)*鋼床鈑!N4+(鋼床鈑!K4)*鋼床鈑!O4</f>
        <v>112000</v>
      </c>
      <c r="U4" s="11">
        <f>4*((鋼床鈑!I4+鋼床鈑!N4/2+鋼床鈑!O4/2)*(鋼床鈑!K4+鋼床鈑!L4/2+鋼床鈑!M4/2))^2/((鋼床鈑!F4+鋼床鈑!N4/2+鋼床鈑!O4/2)/鋼床鈑!L4+(鋼床鈑!I4+鋼床鈑!N4/2+鋼床鈑!O4/2)/鋼床鈑!M4+(鋼床鈑!K4+鋼床鈑!L4/2+鋼床鈑!M4/2)/鋼床鈑!N4+(鋼床鈑!K4+鋼床鈑!L4/2+鋼床鈑!M4/2)/鋼床鈑!O4)</f>
        <v>421674280928.80396</v>
      </c>
      <c r="V4" s="12">
        <f>AH4/(L4/1000)</f>
        <v>0.3550031650062811</v>
      </c>
      <c r="W4" s="12">
        <f>AH4/(K4/1000)</f>
        <v>0.3141583479492473</v>
      </c>
      <c r="X4" s="12">
        <f>AI4/(M4/1000)</f>
        <v>0.53231179634666959</v>
      </c>
      <c r="Y4" s="12">
        <f>AI4/(N4/1000)</f>
        <v>0.29619614719362347</v>
      </c>
      <c r="Z4" s="12">
        <f t="shared" ref="Z4:Z67" si="0">SQRT(AH4/AD4)</f>
        <v>1.7577368929302821</v>
      </c>
      <c r="AA4" s="12">
        <f t="shared" ref="AA4:AA67" si="1">SQRT(AI4/AD4)</f>
        <v>1.1618197317581052</v>
      </c>
      <c r="AB4" s="10">
        <f>(M4+N4)/1000</f>
        <v>2.8359999999999999</v>
      </c>
      <c r="AC4" s="10">
        <f>(K4+L4)/1000</f>
        <v>7.4119999999999999</v>
      </c>
      <c r="AD4" s="10">
        <f>E4/1000^2</f>
        <v>0.39983200000000002</v>
      </c>
      <c r="AE4" s="12">
        <f>U4/(1000^4)</f>
        <v>0.42167428092880394</v>
      </c>
      <c r="AF4" s="12">
        <f>T4/1000^2</f>
        <v>0.112</v>
      </c>
      <c r="AG4" s="12">
        <f>S4/1000^2</f>
        <v>0.10224</v>
      </c>
      <c r="AH4" s="10">
        <f>J4/(1000^4)</f>
        <v>1.23533653455784</v>
      </c>
      <c r="AI4" s="10">
        <f>I4/(1000^4)</f>
        <v>0.53970326502602095</v>
      </c>
      <c r="AJ4" s="13">
        <f>AH4</f>
        <v>1.23533653455784</v>
      </c>
      <c r="AK4" s="13">
        <f>AI4</f>
        <v>0.53970326502602095</v>
      </c>
    </row>
    <row r="5" spans="1:37">
      <c r="A5" s="8">
        <f>鋼床鈑!A5</f>
        <v>3</v>
      </c>
      <c r="B5" s="47" t="s">
        <v>41</v>
      </c>
      <c r="C5" s="47" t="s">
        <v>42</v>
      </c>
      <c r="D5" s="47" t="s">
        <v>87</v>
      </c>
      <c r="E5" s="48">
        <v>414952</v>
      </c>
      <c r="F5" s="49">
        <v>138146.69589999999</v>
      </c>
      <c r="G5" s="49">
        <v>101591.6805</v>
      </c>
      <c r="H5" s="49">
        <v>524784764444.15503</v>
      </c>
      <c r="I5" s="49">
        <v>721123086157.80603</v>
      </c>
      <c r="J5" s="49">
        <v>1258073399916.49</v>
      </c>
      <c r="K5" s="49">
        <v>3915.4267</v>
      </c>
      <c r="L5" s="49">
        <v>3461.5733</v>
      </c>
      <c r="M5" s="49">
        <v>1169.9115999999999</v>
      </c>
      <c r="N5" s="49">
        <v>2058.0884000000001</v>
      </c>
      <c r="O5" s="48">
        <v>0</v>
      </c>
      <c r="P5" s="48">
        <v>0</v>
      </c>
      <c r="Q5" s="48">
        <v>29300</v>
      </c>
      <c r="R5" s="48">
        <v>19218</v>
      </c>
      <c r="S5" s="11">
        <f>(鋼床鈑!F5+鋼床鈑!N5+鋼床鈑!O5)*鋼床鈑!L5+(鋼床鈑!I5+鋼床鈑!N5+鋼床鈑!O5)*鋼床鈑!M5</f>
        <v>102240</v>
      </c>
      <c r="T5" s="11">
        <f>(鋼床鈑!K5)*鋼床鈑!N5+(鋼床鈑!K5)*鋼床鈑!O5</f>
        <v>127680</v>
      </c>
      <c r="U5" s="11">
        <f>4*((鋼床鈑!I5+鋼床鈑!N5/2+鋼床鈑!O5/2)*(鋼床鈑!K5+鋼床鈑!L5/2+鋼床鈑!M5/2))^2/((鋼床鈑!F5+鋼床鈑!N5/2+鋼床鈑!O5/2)/鋼床鈑!L5+(鋼床鈑!I5+鋼床鈑!N5/2+鋼床鈑!O5/2)/鋼床鈑!M5+(鋼床鈑!K5+鋼床鈑!L5/2+鋼床鈑!M5/2)/鋼床鈑!N5+(鋼床鈑!K5+鋼床鈑!L5/2+鋼床鈑!M5/2)/鋼床鈑!O5)</f>
        <v>513543751445.3584</v>
      </c>
      <c r="V5" s="12">
        <f t="shared" ref="V5:V68" si="2">AH5/(L5/1000)</f>
        <v>0.3634397688231793</v>
      </c>
      <c r="W5" s="12">
        <f t="shared" ref="W5:W68" si="3">AH5/(K5/1000)</f>
        <v>0.32131195302838639</v>
      </c>
      <c r="X5" s="12">
        <f t="shared" ref="X5:X68" si="4">AI5/(M5/1000)</f>
        <v>0.61639108985482849</v>
      </c>
      <c r="Y5" s="12">
        <f t="shared" ref="Y5:Y68" si="5">AI5/(N5/1000)</f>
        <v>0.35038489413662022</v>
      </c>
      <c r="Z5" s="12">
        <f t="shared" si="0"/>
        <v>1.7412216517747681</v>
      </c>
      <c r="AA5" s="12">
        <f t="shared" si="1"/>
        <v>1.3182742486794823</v>
      </c>
      <c r="AB5" s="10">
        <f t="shared" ref="AB5:AB68" si="6">(M5+N5)/1000</f>
        <v>3.2280000000000002</v>
      </c>
      <c r="AC5" s="10">
        <f t="shared" ref="AC5:AC68" si="7">(K5+L5)/1000</f>
        <v>7.3769999999999998</v>
      </c>
      <c r="AD5" s="10">
        <f t="shared" ref="AD5:AD68" si="8">E5/1000^2</f>
        <v>0.41495199999999999</v>
      </c>
      <c r="AE5" s="12">
        <f t="shared" ref="AE5:AE68" si="9">U5/(1000^4)</f>
        <v>0.51354375144535835</v>
      </c>
      <c r="AF5" s="12">
        <f t="shared" ref="AF5:AF68" si="10">T5/1000^2</f>
        <v>0.12767999999999999</v>
      </c>
      <c r="AG5" s="12">
        <f t="shared" ref="AG5:AG68" si="11">S5/1000^2</f>
        <v>0.10224</v>
      </c>
      <c r="AH5" s="10">
        <f t="shared" ref="AH5:AH68" si="12">J5/(1000^4)</f>
        <v>1.2580733999164899</v>
      </c>
      <c r="AI5" s="10">
        <f t="shared" ref="AI5:AI68" si="13">I5/(1000^4)</f>
        <v>0.72112308615780607</v>
      </c>
      <c r="AJ5" s="13">
        <f t="shared" ref="AJ5:AJ68" si="14">AH5</f>
        <v>1.2580733999164899</v>
      </c>
      <c r="AK5" s="13">
        <f t="shared" ref="AK5:AK68" si="15">AI5</f>
        <v>0.72112308615780607</v>
      </c>
    </row>
    <row r="6" spans="1:37">
      <c r="A6" s="8">
        <f>鋼床鈑!A6</f>
        <v>4</v>
      </c>
      <c r="B6" s="47" t="s">
        <v>41</v>
      </c>
      <c r="C6" s="47" t="s">
        <v>42</v>
      </c>
      <c r="D6" s="47" t="s">
        <v>88</v>
      </c>
      <c r="E6" s="48">
        <v>431504</v>
      </c>
      <c r="F6" s="49">
        <v>136424.93659999999</v>
      </c>
      <c r="G6" s="49">
        <v>118108.6485</v>
      </c>
      <c r="H6" s="49">
        <v>629125337992.80701</v>
      </c>
      <c r="I6" s="49">
        <v>951173282435.55798</v>
      </c>
      <c r="J6" s="49">
        <v>1286658671603.72</v>
      </c>
      <c r="K6" s="49">
        <v>3908.2869000000001</v>
      </c>
      <c r="L6" s="49">
        <v>3445.7130999999999</v>
      </c>
      <c r="M6" s="49">
        <v>1341.2611999999999</v>
      </c>
      <c r="N6" s="49">
        <v>2309.7388000000001</v>
      </c>
      <c r="O6" s="48">
        <v>0</v>
      </c>
      <c r="P6" s="48">
        <v>0</v>
      </c>
      <c r="Q6" s="48">
        <v>30100</v>
      </c>
      <c r="R6" s="48">
        <v>20064</v>
      </c>
      <c r="S6" s="11">
        <f>(鋼床鈑!F6+鋼床鈑!N6+鋼床鈑!O6)*鋼床鈑!L6+(鋼床鈑!I6+鋼床鈑!N6+鋼床鈑!O6)*鋼床鈑!M6</f>
        <v>102240</v>
      </c>
      <c r="T6" s="11">
        <f>(鋼床鈑!K6)*鋼床鈑!N6+(鋼床鈑!K6)*鋼床鈑!O6</f>
        <v>144600</v>
      </c>
      <c r="U6" s="11">
        <f>4*((鋼床鈑!I6+鋼床鈑!N6/2+鋼床鈑!O6/2)*(鋼床鈑!K6+鋼床鈑!L6/2+鋼床鈑!M6/2))^2/((鋼床鈑!F6+鋼床鈑!N6/2+鋼床鈑!O6/2)/鋼床鈑!L6+(鋼床鈑!I6+鋼床鈑!N6/2+鋼床鈑!O6/2)/鋼床鈑!M6+(鋼床鈑!K6+鋼床鈑!L6/2+鋼床鈑!M6/2)/鋼床鈑!N6+(鋼床鈑!K6+鋼床鈑!L6/2+鋼床鈑!M6/2)/鋼床鈑!O6)</f>
        <v>616920164006.17151</v>
      </c>
      <c r="V6" s="12">
        <f t="shared" si="2"/>
        <v>0.37340853235973714</v>
      </c>
      <c r="W6" s="12">
        <f t="shared" si="3"/>
        <v>0.32921295302136594</v>
      </c>
      <c r="X6" s="12">
        <f t="shared" si="4"/>
        <v>0.70916334747889376</v>
      </c>
      <c r="Y6" s="12">
        <f t="shared" si="5"/>
        <v>0.41180989055366696</v>
      </c>
      <c r="Z6" s="12">
        <f t="shared" si="0"/>
        <v>1.7267889572569481</v>
      </c>
      <c r="AA6" s="12">
        <f t="shared" si="1"/>
        <v>1.484695555522618</v>
      </c>
      <c r="AB6" s="10">
        <f t="shared" si="6"/>
        <v>3.6509999999999998</v>
      </c>
      <c r="AC6" s="10">
        <f t="shared" si="7"/>
        <v>7.3540000000000001</v>
      </c>
      <c r="AD6" s="10">
        <f t="shared" si="8"/>
        <v>0.431504</v>
      </c>
      <c r="AE6" s="12">
        <f t="shared" si="9"/>
        <v>0.61692016400617156</v>
      </c>
      <c r="AF6" s="12">
        <f t="shared" si="10"/>
        <v>0.14460000000000001</v>
      </c>
      <c r="AG6" s="12">
        <f t="shared" si="11"/>
        <v>0.10224</v>
      </c>
      <c r="AH6" s="10">
        <f t="shared" si="12"/>
        <v>1.28665867160372</v>
      </c>
      <c r="AI6" s="10">
        <f t="shared" si="13"/>
        <v>0.95117328243555799</v>
      </c>
      <c r="AJ6" s="13">
        <f t="shared" si="14"/>
        <v>1.28665867160372</v>
      </c>
      <c r="AK6" s="13">
        <f t="shared" si="15"/>
        <v>0.95117328243555799</v>
      </c>
    </row>
    <row r="7" spans="1:37">
      <c r="A7" s="8">
        <f>鋼床鈑!A7</f>
        <v>5</v>
      </c>
      <c r="B7" s="47" t="s">
        <v>41</v>
      </c>
      <c r="C7" s="47" t="s">
        <v>42</v>
      </c>
      <c r="D7" s="47" t="s">
        <v>89</v>
      </c>
      <c r="E7" s="48">
        <v>446552</v>
      </c>
      <c r="F7" s="49">
        <v>134905.37830000001</v>
      </c>
      <c r="G7" s="49">
        <v>133374.06890000001</v>
      </c>
      <c r="H7" s="49">
        <v>728062796165.828</v>
      </c>
      <c r="I7" s="49">
        <v>1192564866901.5601</v>
      </c>
      <c r="J7" s="49">
        <v>1312241871402.6201</v>
      </c>
      <c r="K7" s="49">
        <v>3899.8521000000001</v>
      </c>
      <c r="L7" s="49">
        <v>3432.1478999999999</v>
      </c>
      <c r="M7" s="49">
        <v>1500.1649</v>
      </c>
      <c r="N7" s="49">
        <v>2535.8350999999998</v>
      </c>
      <c r="O7" s="48">
        <v>0</v>
      </c>
      <c r="P7" s="48">
        <v>0</v>
      </c>
      <c r="Q7" s="48">
        <v>30826</v>
      </c>
      <c r="R7" s="48">
        <v>20834</v>
      </c>
      <c r="S7" s="11">
        <f>(鋼床鈑!F7+鋼床鈑!N7+鋼床鈑!O7)*鋼床鈑!L7+(鋼床鈑!I7+鋼床鈑!N7+鋼床鈑!O7)*鋼床鈑!M7</f>
        <v>102240</v>
      </c>
      <c r="T7" s="11">
        <f>(鋼床鈑!K7)*鋼床鈑!N7+(鋼床鈑!K7)*鋼床鈑!O7</f>
        <v>160000</v>
      </c>
      <c r="U7" s="11">
        <f>4*((鋼床鈑!I7+鋼床鈑!N7/2+鋼床鈑!O7/2)*(鋼床鈑!K7+鋼床鈑!L7/2+鋼床鈑!M7/2))^2/((鋼床鈑!F7+鋼床鈑!N7/2+鋼床鈑!O7/2)/鋼床鈑!L7+(鋼床鈑!I7+鋼床鈑!N7/2+鋼床鈑!O7/2)/鋼床鈑!M7+(鋼床鈑!K7+鋼床鈑!L7/2+鋼床鈑!M7/2)/鋼床鈑!N7+(鋼床鈑!K7+鋼床鈑!L7/2+鋼床鈑!M7/2)/鋼床鈑!O7)</f>
        <v>714198579668.17334</v>
      </c>
      <c r="V7" s="12">
        <f t="shared" si="2"/>
        <v>0.38233838098953138</v>
      </c>
      <c r="W7" s="12">
        <f t="shared" si="3"/>
        <v>0.33648503526649642</v>
      </c>
      <c r="X7" s="12">
        <f t="shared" si="4"/>
        <v>0.79495585245432698</v>
      </c>
      <c r="Y7" s="12">
        <f t="shared" si="5"/>
        <v>0.47028486469863917</v>
      </c>
      <c r="Z7" s="12">
        <f t="shared" si="0"/>
        <v>1.714237242984654</v>
      </c>
      <c r="AA7" s="12">
        <f t="shared" si="1"/>
        <v>1.6341991715989852</v>
      </c>
      <c r="AB7" s="10">
        <f t="shared" si="6"/>
        <v>4.0359999999999996</v>
      </c>
      <c r="AC7" s="10">
        <f t="shared" si="7"/>
        <v>7.3319999999999999</v>
      </c>
      <c r="AD7" s="10">
        <f t="shared" si="8"/>
        <v>0.446552</v>
      </c>
      <c r="AE7" s="12">
        <f t="shared" si="9"/>
        <v>0.71419857966817335</v>
      </c>
      <c r="AF7" s="12">
        <f t="shared" si="10"/>
        <v>0.16</v>
      </c>
      <c r="AG7" s="12">
        <f t="shared" si="11"/>
        <v>0.10224</v>
      </c>
      <c r="AH7" s="10">
        <f t="shared" si="12"/>
        <v>1.3122418714026201</v>
      </c>
      <c r="AI7" s="10">
        <f t="shared" si="13"/>
        <v>1.1925648669015601</v>
      </c>
      <c r="AJ7" s="13">
        <f t="shared" si="14"/>
        <v>1.3122418714026201</v>
      </c>
      <c r="AK7" s="13">
        <f t="shared" si="15"/>
        <v>1.1925648669015601</v>
      </c>
    </row>
    <row r="8" spans="1:37">
      <c r="A8" s="8">
        <f>鋼床鈑!A8</f>
        <v>6</v>
      </c>
      <c r="B8" s="47" t="s">
        <v>41</v>
      </c>
      <c r="C8" s="47" t="s">
        <v>42</v>
      </c>
      <c r="D8" s="47" t="s">
        <v>90</v>
      </c>
      <c r="E8" s="48">
        <v>442992</v>
      </c>
      <c r="F8" s="49">
        <v>134296.7064</v>
      </c>
      <c r="G8" s="49">
        <v>133725.8248</v>
      </c>
      <c r="H8" s="49">
        <v>728062509514.64905</v>
      </c>
      <c r="I8" s="49">
        <v>1185958823712.46</v>
      </c>
      <c r="J8" s="49">
        <v>1268335024802.8</v>
      </c>
      <c r="K8" s="49">
        <v>3927.9618</v>
      </c>
      <c r="L8" s="49">
        <v>3404.0382</v>
      </c>
      <c r="M8" s="49">
        <v>1511.0544</v>
      </c>
      <c r="N8" s="49">
        <v>2524.9456</v>
      </c>
      <c r="O8" s="48">
        <v>0</v>
      </c>
      <c r="P8" s="48">
        <v>0</v>
      </c>
      <c r="Q8" s="48">
        <v>30300</v>
      </c>
      <c r="R8" s="48">
        <v>20834</v>
      </c>
      <c r="S8" s="11">
        <f>(鋼床鈑!F8+鋼床鈑!N8+鋼床鈑!O8)*鋼床鈑!L8+(鋼床鈑!I8+鋼床鈑!N8+鋼床鈑!O8)*鋼床鈑!M8</f>
        <v>102240</v>
      </c>
      <c r="T8" s="11">
        <f>(鋼床鈑!K8)*鋼床鈑!N8+(鋼床鈑!K8)*鋼床鈑!O8</f>
        <v>160000</v>
      </c>
      <c r="U8" s="11">
        <f>4*((鋼床鈑!I8+鋼床鈑!N8/2+鋼床鈑!O8/2)*(鋼床鈑!K8+鋼床鈑!L8/2+鋼床鈑!M8/2))^2/((鋼床鈑!F8+鋼床鈑!N8/2+鋼床鈑!O8/2)/鋼床鈑!L8+(鋼床鈑!I8+鋼床鈑!N8/2+鋼床鈑!O8/2)/鋼床鈑!M8+(鋼床鈑!K8+鋼床鈑!L8/2+鋼床鈑!M8/2)/鋼床鈑!N8+(鋼床鈑!K8+鋼床鈑!L8/2+鋼床鈑!M8/2)/鋼床鈑!O8)</f>
        <v>714198579668.17334</v>
      </c>
      <c r="V8" s="12">
        <f t="shared" si="2"/>
        <v>0.37259717731804537</v>
      </c>
      <c r="W8" s="12">
        <f t="shared" si="3"/>
        <v>0.32289902228753858</v>
      </c>
      <c r="X8" s="12">
        <f t="shared" si="4"/>
        <v>0.78485514731465655</v>
      </c>
      <c r="Y8" s="12">
        <f t="shared" si="5"/>
        <v>0.46969678226432277</v>
      </c>
      <c r="Z8" s="12">
        <f t="shared" si="0"/>
        <v>1.6920728266712937</v>
      </c>
      <c r="AA8" s="12">
        <f t="shared" si="1"/>
        <v>1.6362017907770112</v>
      </c>
      <c r="AB8" s="10">
        <f t="shared" si="6"/>
        <v>4.0359999999999996</v>
      </c>
      <c r="AC8" s="10">
        <f t="shared" si="7"/>
        <v>7.3319999999999999</v>
      </c>
      <c r="AD8" s="10">
        <f t="shared" si="8"/>
        <v>0.442992</v>
      </c>
      <c r="AE8" s="12">
        <f t="shared" si="9"/>
        <v>0.71419857966817335</v>
      </c>
      <c r="AF8" s="12">
        <f t="shared" si="10"/>
        <v>0.16</v>
      </c>
      <c r="AG8" s="12">
        <f t="shared" si="11"/>
        <v>0.10224</v>
      </c>
      <c r="AH8" s="10">
        <f t="shared" si="12"/>
        <v>1.2683350248028</v>
      </c>
      <c r="AI8" s="10">
        <f t="shared" si="13"/>
        <v>1.1859588237124599</v>
      </c>
      <c r="AJ8" s="13">
        <f t="shared" si="14"/>
        <v>1.2683350248028</v>
      </c>
      <c r="AK8" s="13">
        <f t="shared" si="15"/>
        <v>1.1859588237124599</v>
      </c>
    </row>
    <row r="9" spans="1:37">
      <c r="A9" s="8">
        <f>鋼床鈑!A9</f>
        <v>7</v>
      </c>
      <c r="B9" s="47" t="s">
        <v>41</v>
      </c>
      <c r="C9" s="47" t="s">
        <v>42</v>
      </c>
      <c r="D9" s="47" t="s">
        <v>91</v>
      </c>
      <c r="E9" s="48">
        <v>442592</v>
      </c>
      <c r="F9" s="49">
        <v>133826.12419999999</v>
      </c>
      <c r="G9" s="49">
        <v>133719.3749</v>
      </c>
      <c r="H9" s="49">
        <v>727824149748.37305</v>
      </c>
      <c r="I9" s="49">
        <v>1185054329447.02</v>
      </c>
      <c r="J9" s="49">
        <v>1261535125506.6299</v>
      </c>
      <c r="K9" s="49">
        <v>3906.7015000000001</v>
      </c>
      <c r="L9" s="49">
        <v>3400.2984999999999</v>
      </c>
      <c r="M9" s="49">
        <v>1512.4128000000001</v>
      </c>
      <c r="N9" s="49">
        <v>2523.5871999999999</v>
      </c>
      <c r="O9" s="48">
        <v>0</v>
      </c>
      <c r="P9" s="48">
        <v>0</v>
      </c>
      <c r="Q9" s="48">
        <v>30250</v>
      </c>
      <c r="R9" s="48">
        <v>20834</v>
      </c>
      <c r="S9" s="11">
        <f>(鋼床鈑!F9+鋼床鈑!N9+鋼床鈑!O9)*鋼床鈑!L9+(鋼床鈑!I9+鋼床鈑!N9+鋼床鈑!O9)*鋼床鈑!M9</f>
        <v>102240</v>
      </c>
      <c r="T9" s="11">
        <f>(鋼床鈑!K9)*鋼床鈑!N9+(鋼床鈑!K9)*鋼床鈑!O9</f>
        <v>160000</v>
      </c>
      <c r="U9" s="11">
        <f>4*((鋼床鈑!I9+鋼床鈑!N9/2+鋼床鈑!O9/2)*(鋼床鈑!K9+鋼床鈑!L9/2+鋼床鈑!M9/2))^2/((鋼床鈑!F9+鋼床鈑!N9/2+鋼床鈑!O9/2)/鋼床鈑!L9+(鋼床鈑!I9+鋼床鈑!N9/2+鋼床鈑!O9/2)/鋼床鈑!M9+(鋼床鈑!K9+鋼床鈑!L9/2+鋼床鈑!M9/2)/鋼床鈑!N9+(鋼床鈑!K9+鋼床鈑!L9/2+鋼床鈑!M9/2)/鋼床鈑!O9)</f>
        <v>714198579668.17334</v>
      </c>
      <c r="V9" s="12">
        <f t="shared" si="2"/>
        <v>0.37100717054888854</v>
      </c>
      <c r="W9" s="12">
        <f t="shared" si="3"/>
        <v>0.32291566824509876</v>
      </c>
      <c r="X9" s="12">
        <f t="shared" si="4"/>
        <v>0.78355216872471578</v>
      </c>
      <c r="Y9" s="12">
        <f t="shared" si="5"/>
        <v>0.46959119520301096</v>
      </c>
      <c r="Z9" s="12">
        <f t="shared" si="0"/>
        <v>1.6882932877440333</v>
      </c>
      <c r="AA9" s="12">
        <f t="shared" si="1"/>
        <v>1.6363166550048971</v>
      </c>
      <c r="AB9" s="10">
        <f t="shared" si="6"/>
        <v>4.0359999999999996</v>
      </c>
      <c r="AC9" s="10">
        <f t="shared" si="7"/>
        <v>7.3070000000000004</v>
      </c>
      <c r="AD9" s="10">
        <f t="shared" si="8"/>
        <v>0.44259199999999999</v>
      </c>
      <c r="AE9" s="12">
        <f t="shared" si="9"/>
        <v>0.71419857966817335</v>
      </c>
      <c r="AF9" s="12">
        <f t="shared" si="10"/>
        <v>0.16</v>
      </c>
      <c r="AG9" s="12">
        <f t="shared" si="11"/>
        <v>0.10224</v>
      </c>
      <c r="AH9" s="10">
        <f t="shared" si="12"/>
        <v>1.2615351255066298</v>
      </c>
      <c r="AI9" s="10">
        <f t="shared" si="13"/>
        <v>1.1850543294470199</v>
      </c>
      <c r="AJ9" s="13">
        <f t="shared" si="14"/>
        <v>1.2615351255066298</v>
      </c>
      <c r="AK9" s="13">
        <f t="shared" si="15"/>
        <v>1.1850543294470199</v>
      </c>
    </row>
    <row r="10" spans="1:37">
      <c r="A10" s="8">
        <f>鋼床鈑!A10</f>
        <v>8</v>
      </c>
      <c r="B10" s="47" t="s">
        <v>41</v>
      </c>
      <c r="C10" s="47" t="s">
        <v>42</v>
      </c>
      <c r="D10" s="47" t="s">
        <v>92</v>
      </c>
      <c r="E10" s="48">
        <v>442192</v>
      </c>
      <c r="F10" s="49">
        <v>133585.95199999999</v>
      </c>
      <c r="G10" s="49">
        <v>133713.6943</v>
      </c>
      <c r="H10" s="49">
        <v>727947542739.02197</v>
      </c>
      <c r="I10" s="49">
        <v>1184148198814.1399</v>
      </c>
      <c r="J10" s="49">
        <v>1254805482583.8701</v>
      </c>
      <c r="K10" s="49">
        <v>3885.4254000000001</v>
      </c>
      <c r="L10" s="49">
        <v>3396.5745999999999</v>
      </c>
      <c r="M10" s="49">
        <v>1513.7737</v>
      </c>
      <c r="N10" s="49">
        <v>2522.2262999999998</v>
      </c>
      <c r="O10" s="48">
        <v>0</v>
      </c>
      <c r="P10" s="48">
        <v>0</v>
      </c>
      <c r="Q10" s="48">
        <v>30200</v>
      </c>
      <c r="R10" s="48">
        <v>20834</v>
      </c>
      <c r="S10" s="11">
        <f>(鋼床鈑!F10+鋼床鈑!N10+鋼床鈑!O10)*鋼床鈑!L10+(鋼床鈑!I10+鋼床鈑!N10+鋼床鈑!O10)*鋼床鈑!M10</f>
        <v>102240</v>
      </c>
      <c r="T10" s="11">
        <f>(鋼床鈑!K10)*鋼床鈑!N10+(鋼床鈑!K10)*鋼床鈑!O10</f>
        <v>160000</v>
      </c>
      <c r="U10" s="11">
        <f>4*((鋼床鈑!I10+鋼床鈑!N10/2+鋼床鈑!O10/2)*(鋼床鈑!K10+鋼床鈑!L10/2+鋼床鈑!M10/2))^2/((鋼床鈑!F10+鋼床鈑!N10/2+鋼床鈑!O10/2)/鋼床鈑!L10+(鋼床鈑!I10+鋼床鈑!N10/2+鋼床鈑!O10/2)/鋼床鈑!M10+(鋼床鈑!K10+鋼床鈑!L10/2+鋼床鈑!M10/2)/鋼床鈑!N10+(鋼床鈑!K10+鋼床鈑!L10/2+鋼床鈑!M10/2)/鋼床鈑!O10)</f>
        <v>714198579668.17334</v>
      </c>
      <c r="V10" s="12">
        <f t="shared" si="2"/>
        <v>0.36943262856168979</v>
      </c>
      <c r="W10" s="12">
        <f t="shared" si="3"/>
        <v>0.32295189159567189</v>
      </c>
      <c r="X10" s="12">
        <f t="shared" si="4"/>
        <v>0.78224915574510234</v>
      </c>
      <c r="Y10" s="12">
        <f t="shared" si="5"/>
        <v>0.46948531097869367</v>
      </c>
      <c r="Z10" s="12">
        <f t="shared" si="0"/>
        <v>1.6845455671572276</v>
      </c>
      <c r="AA10" s="12">
        <f t="shared" si="1"/>
        <v>1.6364305882706205</v>
      </c>
      <c r="AB10" s="10">
        <f t="shared" si="6"/>
        <v>4.0359999999999996</v>
      </c>
      <c r="AC10" s="10">
        <f t="shared" si="7"/>
        <v>7.282</v>
      </c>
      <c r="AD10" s="10">
        <f t="shared" si="8"/>
        <v>0.44219199999999997</v>
      </c>
      <c r="AE10" s="12">
        <f t="shared" si="9"/>
        <v>0.71419857966817335</v>
      </c>
      <c r="AF10" s="12">
        <f t="shared" si="10"/>
        <v>0.16</v>
      </c>
      <c r="AG10" s="12">
        <f t="shared" si="11"/>
        <v>0.10224</v>
      </c>
      <c r="AH10" s="10">
        <f t="shared" si="12"/>
        <v>1.2548054825838701</v>
      </c>
      <c r="AI10" s="10">
        <f t="shared" si="13"/>
        <v>1.1841481988141398</v>
      </c>
      <c r="AJ10" s="13">
        <f t="shared" si="14"/>
        <v>1.2548054825838701</v>
      </c>
      <c r="AK10" s="13">
        <f t="shared" si="15"/>
        <v>1.1841481988141398</v>
      </c>
    </row>
    <row r="11" spans="1:37">
      <c r="A11" s="8">
        <f>鋼床鈑!A11</f>
        <v>9</v>
      </c>
      <c r="B11" s="47" t="s">
        <v>41</v>
      </c>
      <c r="C11" s="47" t="s">
        <v>42</v>
      </c>
      <c r="D11" s="47" t="s">
        <v>93</v>
      </c>
      <c r="E11" s="48">
        <v>441792</v>
      </c>
      <c r="F11" s="49">
        <v>133202.9032</v>
      </c>
      <c r="G11" s="49">
        <v>133693.3045</v>
      </c>
      <c r="H11" s="49">
        <v>727841148158.88196</v>
      </c>
      <c r="I11" s="49">
        <v>1183240427369.1201</v>
      </c>
      <c r="J11" s="49">
        <v>1248145786186.5701</v>
      </c>
      <c r="K11" s="49">
        <v>3864.1334000000002</v>
      </c>
      <c r="L11" s="49">
        <v>3392.8665999999998</v>
      </c>
      <c r="M11" s="49">
        <v>1515.1369999999999</v>
      </c>
      <c r="N11" s="49">
        <v>2520.8629999999998</v>
      </c>
      <c r="O11" s="48">
        <v>0</v>
      </c>
      <c r="P11" s="48">
        <v>0</v>
      </c>
      <c r="Q11" s="48">
        <v>30150</v>
      </c>
      <c r="R11" s="48">
        <v>20834</v>
      </c>
      <c r="S11" s="11">
        <f>(鋼床鈑!F11+鋼床鈑!N11+鋼床鈑!O11)*鋼床鈑!L11+(鋼床鈑!I11+鋼床鈑!N11+鋼床鈑!O11)*鋼床鈑!M11</f>
        <v>102240</v>
      </c>
      <c r="T11" s="11">
        <f>(鋼床鈑!K11)*鋼床鈑!N11+(鋼床鈑!K11)*鋼床鈑!O11</f>
        <v>160000</v>
      </c>
      <c r="U11" s="11">
        <f>4*((鋼床鈑!I11+鋼床鈑!N11/2+鋼床鈑!O11/2)*(鋼床鈑!K11+鋼床鈑!L11/2+鋼床鈑!M11/2))^2/((鋼床鈑!F11+鋼床鈑!N11/2+鋼床鈑!O11/2)/鋼床鈑!L11+(鋼床鈑!I11+鋼床鈑!N11/2+鋼床鈑!O11/2)/鋼床鈑!M11+(鋼床鈑!K11+鋼床鈑!L11/2+鋼床鈑!M11/2)/鋼床鈑!N11+(鋼床鈑!K11+鋼床鈑!L11/2+鋼床鈑!M11/2)/鋼床鈑!O11)</f>
        <v>714198579668.17334</v>
      </c>
      <c r="V11" s="12">
        <f t="shared" si="2"/>
        <v>0.36787352210858226</v>
      </c>
      <c r="W11" s="12">
        <f t="shared" si="3"/>
        <v>0.32300794433923274</v>
      </c>
      <c r="X11" s="12">
        <f t="shared" si="4"/>
        <v>0.78094616352786594</v>
      </c>
      <c r="Y11" s="12">
        <f t="shared" si="5"/>
        <v>0.46937910841212721</v>
      </c>
      <c r="Z11" s="12">
        <f t="shared" si="0"/>
        <v>1.6808297788152267</v>
      </c>
      <c r="AA11" s="12">
        <f t="shared" si="1"/>
        <v>1.6365435851882608</v>
      </c>
      <c r="AB11" s="10">
        <f t="shared" si="6"/>
        <v>4.0359999999999996</v>
      </c>
      <c r="AC11" s="10">
        <f t="shared" si="7"/>
        <v>7.2569999999999997</v>
      </c>
      <c r="AD11" s="10">
        <f t="shared" si="8"/>
        <v>0.44179200000000002</v>
      </c>
      <c r="AE11" s="12">
        <f t="shared" si="9"/>
        <v>0.71419857966817335</v>
      </c>
      <c r="AF11" s="12">
        <f t="shared" si="10"/>
        <v>0.16</v>
      </c>
      <c r="AG11" s="12">
        <f t="shared" si="11"/>
        <v>0.10224</v>
      </c>
      <c r="AH11" s="10">
        <f t="shared" si="12"/>
        <v>1.2481457861865701</v>
      </c>
      <c r="AI11" s="10">
        <f t="shared" si="13"/>
        <v>1.1832404273691202</v>
      </c>
      <c r="AJ11" s="13">
        <f t="shared" si="14"/>
        <v>1.2481457861865701</v>
      </c>
      <c r="AK11" s="13">
        <f t="shared" si="15"/>
        <v>1.1832404273691202</v>
      </c>
    </row>
    <row r="12" spans="1:37">
      <c r="A12" s="8">
        <f>鋼床鈑!A12</f>
        <v>10</v>
      </c>
      <c r="B12" s="47" t="s">
        <v>41</v>
      </c>
      <c r="C12" s="47" t="s">
        <v>42</v>
      </c>
      <c r="D12" s="47" t="s">
        <v>96</v>
      </c>
      <c r="E12" s="48">
        <v>441392</v>
      </c>
      <c r="F12" s="49">
        <v>132929.45800000001</v>
      </c>
      <c r="G12" s="49">
        <v>133649.25289999999</v>
      </c>
      <c r="H12" s="49">
        <v>727478977783.90405</v>
      </c>
      <c r="I12" s="49">
        <v>1182331010651.1299</v>
      </c>
      <c r="J12" s="49">
        <v>1241529792410.4099</v>
      </c>
      <c r="K12" s="49">
        <v>3842.8335999999999</v>
      </c>
      <c r="L12" s="49">
        <v>3389.1664000000001</v>
      </c>
      <c r="M12" s="49">
        <v>1516.5028</v>
      </c>
      <c r="N12" s="49">
        <v>2519.4971999999998</v>
      </c>
      <c r="O12" s="48">
        <v>0</v>
      </c>
      <c r="P12" s="48">
        <v>0</v>
      </c>
      <c r="Q12" s="48">
        <v>30100</v>
      </c>
      <c r="R12" s="48">
        <v>20834</v>
      </c>
      <c r="S12" s="11">
        <f>(鋼床鈑!F12+鋼床鈑!N12+鋼床鈑!O12)*鋼床鈑!L12+(鋼床鈑!I12+鋼床鈑!N12+鋼床鈑!O12)*鋼床鈑!M12</f>
        <v>102240</v>
      </c>
      <c r="T12" s="11">
        <f>(鋼床鈑!K12)*鋼床鈑!N12+(鋼床鈑!K12)*鋼床鈑!O12</f>
        <v>160000</v>
      </c>
      <c r="U12" s="11">
        <f>4*((鋼床鈑!I12+鋼床鈑!N12/2+鋼床鈑!O12/2)*(鋼床鈑!K12+鋼床鈑!L12/2+鋼床鈑!M12/2))^2/((鋼床鈑!F12+鋼床鈑!N12/2+鋼床鈑!O12/2)/鋼床鈑!L12+(鋼床鈑!I12+鋼床鈑!N12/2+鋼床鈑!O12/2)/鋼床鈑!M12+(鋼床鈑!K12+鋼床鈑!L12/2+鋼床鈑!M12/2)/鋼床鈑!N12+(鋼床鈑!K12+鋼床鈑!L12/2+鋼床鈑!M12/2)/鋼床鈑!O12)</f>
        <v>714198579668.17334</v>
      </c>
      <c r="V12" s="12">
        <f t="shared" si="2"/>
        <v>0.36632305584358732</v>
      </c>
      <c r="W12" s="12">
        <f t="shared" si="3"/>
        <v>0.32307664646484036</v>
      </c>
      <c r="X12" s="12">
        <f t="shared" si="4"/>
        <v>0.77964314385118827</v>
      </c>
      <c r="Y12" s="12">
        <f t="shared" si="5"/>
        <v>0.46927260353817013</v>
      </c>
      <c r="Z12" s="12">
        <f t="shared" si="0"/>
        <v>1.6771285189507239</v>
      </c>
      <c r="AA12" s="12">
        <f t="shared" si="1"/>
        <v>1.6366556403403925</v>
      </c>
      <c r="AB12" s="10">
        <f t="shared" si="6"/>
        <v>4.0359999999999996</v>
      </c>
      <c r="AC12" s="10">
        <f t="shared" si="7"/>
        <v>7.2320000000000002</v>
      </c>
      <c r="AD12" s="10">
        <f t="shared" si="8"/>
        <v>0.44139200000000001</v>
      </c>
      <c r="AE12" s="12">
        <f t="shared" si="9"/>
        <v>0.71419857966817335</v>
      </c>
      <c r="AF12" s="12">
        <f t="shared" si="10"/>
        <v>0.16</v>
      </c>
      <c r="AG12" s="12">
        <f t="shared" si="11"/>
        <v>0.10224</v>
      </c>
      <c r="AH12" s="10">
        <f t="shared" si="12"/>
        <v>1.2415297924104098</v>
      </c>
      <c r="AI12" s="10">
        <f t="shared" si="13"/>
        <v>1.1823310106511298</v>
      </c>
      <c r="AJ12" s="13">
        <f t="shared" si="14"/>
        <v>1.2415297924104098</v>
      </c>
      <c r="AK12" s="13">
        <f t="shared" si="15"/>
        <v>1.1823310106511298</v>
      </c>
    </row>
    <row r="13" spans="1:37">
      <c r="A13" s="8">
        <f>鋼床鈑!A13</f>
        <v>11</v>
      </c>
      <c r="B13" s="47" t="s">
        <v>41</v>
      </c>
      <c r="C13" s="47" t="s">
        <v>42</v>
      </c>
      <c r="D13" s="47" t="s">
        <v>97</v>
      </c>
      <c r="E13" s="48">
        <v>440992</v>
      </c>
      <c r="F13" s="49">
        <v>132634.71119999999</v>
      </c>
      <c r="G13" s="49">
        <v>133723.1746</v>
      </c>
      <c r="H13" s="49">
        <v>727118513031.69104</v>
      </c>
      <c r="I13" s="49">
        <v>1181419944183.1499</v>
      </c>
      <c r="J13" s="49">
        <v>1235034990223.1001</v>
      </c>
      <c r="K13" s="49">
        <v>3821.5016000000001</v>
      </c>
      <c r="L13" s="49">
        <v>3385.4983999999999</v>
      </c>
      <c r="M13" s="49">
        <v>1517.8711000000001</v>
      </c>
      <c r="N13" s="49">
        <v>2518.1289000000002</v>
      </c>
      <c r="O13" s="48">
        <v>0</v>
      </c>
      <c r="P13" s="48">
        <v>0</v>
      </c>
      <c r="Q13" s="48">
        <v>30050</v>
      </c>
      <c r="R13" s="48">
        <v>20834</v>
      </c>
      <c r="S13" s="11">
        <f>(鋼床鈑!F13+鋼床鈑!N13+鋼床鈑!O13)*鋼床鈑!L13+(鋼床鈑!I13+鋼床鈑!N13+鋼床鈑!O13)*鋼床鈑!M13</f>
        <v>102240</v>
      </c>
      <c r="T13" s="11">
        <f>(鋼床鈑!K13)*鋼床鈑!N13+(鋼床鈑!K13)*鋼床鈑!O13</f>
        <v>160000</v>
      </c>
      <c r="U13" s="11">
        <f>4*((鋼床鈑!I13+鋼床鈑!N13/2+鋼床鈑!O13/2)*(鋼床鈑!K13+鋼床鈑!L13/2+鋼床鈑!M13/2))^2/((鋼床鈑!F13+鋼床鈑!N13/2+鋼床鈑!O13/2)/鋼床鈑!L13+(鋼床鈑!I13+鋼床鈑!N13/2+鋼床鈑!O13/2)/鋼床鈑!M13+(鋼床鈑!K13+鋼床鈑!L13/2+鋼床鈑!M13/2)/鋼床鈑!N13+(鋼床鈑!K13+鋼床鈑!L13/2+鋼床鈑!M13/2)/鋼床鈑!O13)</f>
        <v>714198579668.17334</v>
      </c>
      <c r="V13" s="12">
        <f t="shared" si="2"/>
        <v>0.36480152825448098</v>
      </c>
      <c r="W13" s="12">
        <f t="shared" si="3"/>
        <v>0.32318055034259313</v>
      </c>
      <c r="X13" s="12">
        <f t="shared" si="4"/>
        <v>0.77834010027804723</v>
      </c>
      <c r="Y13" s="12">
        <f t="shared" si="5"/>
        <v>0.46916579376979067</v>
      </c>
      <c r="Z13" s="12">
        <f t="shared" si="0"/>
        <v>1.6734944463270613</v>
      </c>
      <c r="AA13" s="12">
        <f t="shared" si="1"/>
        <v>1.6367667482778827</v>
      </c>
      <c r="AB13" s="10">
        <f t="shared" si="6"/>
        <v>4.0359999999999996</v>
      </c>
      <c r="AC13" s="10">
        <f t="shared" si="7"/>
        <v>7.2069999999999999</v>
      </c>
      <c r="AD13" s="10">
        <f t="shared" si="8"/>
        <v>0.440992</v>
      </c>
      <c r="AE13" s="12">
        <f t="shared" si="9"/>
        <v>0.71419857966817335</v>
      </c>
      <c r="AF13" s="12">
        <f t="shared" si="10"/>
        <v>0.16</v>
      </c>
      <c r="AG13" s="12">
        <f t="shared" si="11"/>
        <v>0.10224</v>
      </c>
      <c r="AH13" s="10">
        <f t="shared" si="12"/>
        <v>1.2350349902231001</v>
      </c>
      <c r="AI13" s="10">
        <f t="shared" si="13"/>
        <v>1.1814199441831499</v>
      </c>
      <c r="AJ13" s="13">
        <f t="shared" si="14"/>
        <v>1.2350349902231001</v>
      </c>
      <c r="AK13" s="13">
        <f t="shared" si="15"/>
        <v>1.1814199441831499</v>
      </c>
    </row>
    <row r="14" spans="1:37">
      <c r="A14" s="8">
        <f>鋼床鈑!A14</f>
        <v>12</v>
      </c>
      <c r="B14" s="47" t="s">
        <v>41</v>
      </c>
      <c r="C14" s="47" t="s">
        <v>42</v>
      </c>
      <c r="D14" s="47" t="s">
        <v>98</v>
      </c>
      <c r="E14" s="48">
        <v>440592</v>
      </c>
      <c r="F14" s="49">
        <v>132391.9639</v>
      </c>
      <c r="G14" s="49">
        <v>133874.5686</v>
      </c>
      <c r="H14" s="49">
        <v>727440809555.36804</v>
      </c>
      <c r="I14" s="49">
        <v>1180507223471.8999</v>
      </c>
      <c r="J14" s="49">
        <v>1228583267598.5701</v>
      </c>
      <c r="K14" s="49">
        <v>3800.1617000000001</v>
      </c>
      <c r="L14" s="49">
        <v>3381.8382999999999</v>
      </c>
      <c r="M14" s="49">
        <v>1519.2419</v>
      </c>
      <c r="N14" s="49">
        <v>2516.7581</v>
      </c>
      <c r="O14" s="48">
        <v>0</v>
      </c>
      <c r="P14" s="48">
        <v>0</v>
      </c>
      <c r="Q14" s="48">
        <v>30000</v>
      </c>
      <c r="R14" s="48">
        <v>20834</v>
      </c>
      <c r="S14" s="11">
        <f>(鋼床鈑!F14+鋼床鈑!N14+鋼床鈑!O14)*鋼床鈑!L14+(鋼床鈑!I14+鋼床鈑!N14+鋼床鈑!O14)*鋼床鈑!M14</f>
        <v>102240</v>
      </c>
      <c r="T14" s="11">
        <f>(鋼床鈑!K14)*鋼床鈑!N14+(鋼床鈑!K14)*鋼床鈑!O14</f>
        <v>160000</v>
      </c>
      <c r="U14" s="11">
        <f>4*((鋼床鈑!I14+鋼床鈑!N14/2+鋼床鈑!O14/2)*(鋼床鈑!K14+鋼床鈑!L14/2+鋼床鈑!M14/2))^2/((鋼床鈑!F14+鋼床鈑!N14/2+鋼床鈑!O14/2)/鋼床鈑!L14+(鋼床鈑!I14+鋼床鈑!N14/2+鋼床鈑!O14/2)/鋼床鈑!M14+(鋼床鈑!K14+鋼床鈑!L14/2+鋼床鈑!M14/2)/鋼床鈑!N14+(鋼床鈑!K14+鋼床鈑!L14/2+鋼床鈑!M14/2)/鋼床鈑!O14)</f>
        <v>714198579668.17334</v>
      </c>
      <c r="V14" s="12">
        <f t="shared" si="2"/>
        <v>0.36328858999514263</v>
      </c>
      <c r="W14" s="12">
        <f t="shared" si="3"/>
        <v>0.32329762904525089</v>
      </c>
      <c r="X14" s="12">
        <f t="shared" si="4"/>
        <v>0.7770370363481286</v>
      </c>
      <c r="Y14" s="12">
        <f t="shared" si="5"/>
        <v>0.46905867650605748</v>
      </c>
      <c r="Z14" s="12">
        <f t="shared" si="0"/>
        <v>1.6698751216978007</v>
      </c>
      <c r="AA14" s="12">
        <f t="shared" si="1"/>
        <v>1.6368769035196766</v>
      </c>
      <c r="AB14" s="10">
        <f t="shared" si="6"/>
        <v>4.0359999999999996</v>
      </c>
      <c r="AC14" s="10">
        <f t="shared" si="7"/>
        <v>7.1820000000000004</v>
      </c>
      <c r="AD14" s="10">
        <f t="shared" si="8"/>
        <v>0.44059199999999998</v>
      </c>
      <c r="AE14" s="12">
        <f t="shared" si="9"/>
        <v>0.71419857966817335</v>
      </c>
      <c r="AF14" s="12">
        <f t="shared" si="10"/>
        <v>0.16</v>
      </c>
      <c r="AG14" s="12">
        <f t="shared" si="11"/>
        <v>0.10224</v>
      </c>
      <c r="AH14" s="10">
        <f t="shared" si="12"/>
        <v>1.2285832675985702</v>
      </c>
      <c r="AI14" s="10">
        <f t="shared" si="13"/>
        <v>1.1805072234718998</v>
      </c>
      <c r="AJ14" s="13">
        <f t="shared" si="14"/>
        <v>1.2285832675985702</v>
      </c>
      <c r="AK14" s="13">
        <f t="shared" si="15"/>
        <v>1.1805072234718998</v>
      </c>
    </row>
    <row r="15" spans="1:37">
      <c r="A15" s="8">
        <f>鋼床鈑!A15</f>
        <v>13</v>
      </c>
      <c r="B15" s="47" t="s">
        <v>41</v>
      </c>
      <c r="C15" s="47" t="s">
        <v>42</v>
      </c>
      <c r="D15" s="47" t="s">
        <v>99</v>
      </c>
      <c r="E15" s="48">
        <v>440192</v>
      </c>
      <c r="F15" s="49">
        <v>132228.3757</v>
      </c>
      <c r="G15" s="49">
        <v>134016.89319999999</v>
      </c>
      <c r="H15" s="49">
        <v>728163738818.72998</v>
      </c>
      <c r="I15" s="49">
        <v>1179592844007.8</v>
      </c>
      <c r="J15" s="49">
        <v>1222200245376.6101</v>
      </c>
      <c r="K15" s="49">
        <v>3778.8056999999999</v>
      </c>
      <c r="L15" s="49">
        <v>3378.1943000000001</v>
      </c>
      <c r="M15" s="49">
        <v>1520.6151</v>
      </c>
      <c r="N15" s="49">
        <v>2515.3849</v>
      </c>
      <c r="O15" s="48">
        <v>0</v>
      </c>
      <c r="P15" s="48">
        <v>0</v>
      </c>
      <c r="Q15" s="48">
        <v>29950</v>
      </c>
      <c r="R15" s="48">
        <v>20834</v>
      </c>
      <c r="S15" s="11">
        <f>(鋼床鈑!F15+鋼床鈑!N15+鋼床鈑!O15)*鋼床鈑!L15+(鋼床鈑!I15+鋼床鈑!N15+鋼床鈑!O15)*鋼床鈑!M15</f>
        <v>102240</v>
      </c>
      <c r="T15" s="11">
        <f>(鋼床鈑!K15)*鋼床鈑!N15+(鋼床鈑!K15)*鋼床鈑!O15</f>
        <v>160000</v>
      </c>
      <c r="U15" s="11">
        <f>4*((鋼床鈑!I15+鋼床鈑!N15/2+鋼床鈑!O15/2)*(鋼床鈑!K15+鋼床鈑!L15/2+鋼床鈑!M15/2))^2/((鋼床鈑!F15+鋼床鈑!N15/2+鋼床鈑!O15/2)/鋼床鈑!L15+(鋼床鈑!I15+鋼床鈑!N15/2+鋼床鈑!O15/2)/鋼床鈑!M15+(鋼床鈑!K15+鋼床鈑!L15/2+鋼床鈑!M15/2)/鋼床鈑!N15+(鋼床鈑!K15+鋼床鈑!L15/2+鋼床鈑!M15/2)/鋼床鈑!O15)</f>
        <v>714198579668.17334</v>
      </c>
      <c r="V15" s="12">
        <f t="shared" si="2"/>
        <v>0.36179098560926765</v>
      </c>
      <c r="W15" s="12">
        <f t="shared" si="3"/>
        <v>0.32343558849204923</v>
      </c>
      <c r="X15" s="12">
        <f t="shared" si="4"/>
        <v>0.77573400659233238</v>
      </c>
      <c r="Y15" s="12">
        <f t="shared" si="5"/>
        <v>0.46895123048874154</v>
      </c>
      <c r="Z15" s="12">
        <f t="shared" si="0"/>
        <v>1.6662881682559876</v>
      </c>
      <c r="AA15" s="12">
        <f t="shared" si="1"/>
        <v>1.6369861005526052</v>
      </c>
      <c r="AB15" s="10">
        <f t="shared" si="6"/>
        <v>4.0359999999999996</v>
      </c>
      <c r="AC15" s="10">
        <f t="shared" si="7"/>
        <v>7.157</v>
      </c>
      <c r="AD15" s="10">
        <f t="shared" si="8"/>
        <v>0.44019200000000003</v>
      </c>
      <c r="AE15" s="12">
        <f t="shared" si="9"/>
        <v>0.71419857966817335</v>
      </c>
      <c r="AF15" s="12">
        <f t="shared" si="10"/>
        <v>0.16</v>
      </c>
      <c r="AG15" s="12">
        <f t="shared" si="11"/>
        <v>0.10224</v>
      </c>
      <c r="AH15" s="10">
        <f t="shared" si="12"/>
        <v>1.2222002453766101</v>
      </c>
      <c r="AI15" s="10">
        <f t="shared" si="13"/>
        <v>1.1795928440078001</v>
      </c>
      <c r="AJ15" s="13">
        <f t="shared" si="14"/>
        <v>1.2222002453766101</v>
      </c>
      <c r="AK15" s="13">
        <f t="shared" si="15"/>
        <v>1.1795928440078001</v>
      </c>
    </row>
    <row r="16" spans="1:37">
      <c r="A16" s="8">
        <f>鋼床鈑!A16</f>
        <v>14</v>
      </c>
      <c r="B16" s="47" t="s">
        <v>41</v>
      </c>
      <c r="C16" s="47" t="s">
        <v>42</v>
      </c>
      <c r="D16" s="47" t="s">
        <v>100</v>
      </c>
      <c r="E16" s="48">
        <v>439792</v>
      </c>
      <c r="F16" s="49">
        <v>132080.56289999999</v>
      </c>
      <c r="G16" s="49">
        <v>134105.7458</v>
      </c>
      <c r="H16" s="49">
        <v>728275888216.849</v>
      </c>
      <c r="I16" s="49">
        <v>1178676801264.8101</v>
      </c>
      <c r="J16" s="49">
        <v>1215860284932.47</v>
      </c>
      <c r="K16" s="49">
        <v>3757.4416999999999</v>
      </c>
      <c r="L16" s="49">
        <v>3374.5583000000001</v>
      </c>
      <c r="M16" s="49">
        <v>1521.9909</v>
      </c>
      <c r="N16" s="49">
        <v>2514.0091000000002</v>
      </c>
      <c r="O16" s="48">
        <v>0</v>
      </c>
      <c r="P16" s="48">
        <v>0</v>
      </c>
      <c r="Q16" s="48">
        <v>29900</v>
      </c>
      <c r="R16" s="48">
        <v>20834</v>
      </c>
      <c r="S16" s="11">
        <f>(鋼床鈑!F16+鋼床鈑!N16+鋼床鈑!O16)*鋼床鈑!L16+(鋼床鈑!I16+鋼床鈑!N16+鋼床鈑!O16)*鋼床鈑!M16</f>
        <v>102240</v>
      </c>
      <c r="T16" s="11">
        <f>(鋼床鈑!K16)*鋼床鈑!N16+(鋼床鈑!K16)*鋼床鈑!O16</f>
        <v>160000</v>
      </c>
      <c r="U16" s="11">
        <f>4*((鋼床鈑!I16+鋼床鈑!N16/2+鋼床鈑!O16/2)*(鋼床鈑!K16+鋼床鈑!L16/2+鋼床鈑!M16/2))^2/((鋼床鈑!F16+鋼床鈑!N16/2+鋼床鈑!O16/2)/鋼床鈑!L16+(鋼床鈑!I16+鋼床鈑!N16/2+鋼床鈑!O16/2)/鋼床鈑!M16+(鋼床鈑!K16+鋼床鈑!L16/2+鋼床鈑!M16/2)/鋼床鈑!N16+(鋼床鈑!K16+鋼床鈑!L16/2+鋼床鈑!M16/2)/鋼床鈑!O16)</f>
        <v>714198579668.17334</v>
      </c>
      <c r="V16" s="12">
        <f t="shared" si="2"/>
        <v>0.36030205343688088</v>
      </c>
      <c r="W16" s="12">
        <f t="shared" si="3"/>
        <v>0.32358726548770406</v>
      </c>
      <c r="X16" s="12">
        <f t="shared" si="4"/>
        <v>0.77443091234304362</v>
      </c>
      <c r="Y16" s="12">
        <f t="shared" si="5"/>
        <v>0.46884349036954964</v>
      </c>
      <c r="Z16" s="12">
        <f t="shared" si="0"/>
        <v>1.6627163749057614</v>
      </c>
      <c r="AA16" s="12">
        <f t="shared" si="1"/>
        <v>1.6370943338311086</v>
      </c>
      <c r="AB16" s="10">
        <f t="shared" si="6"/>
        <v>4.0359999999999996</v>
      </c>
      <c r="AC16" s="10">
        <f t="shared" si="7"/>
        <v>7.1319999999999997</v>
      </c>
      <c r="AD16" s="10">
        <f t="shared" si="8"/>
        <v>0.43979200000000002</v>
      </c>
      <c r="AE16" s="12">
        <f t="shared" si="9"/>
        <v>0.71419857966817335</v>
      </c>
      <c r="AF16" s="12">
        <f t="shared" si="10"/>
        <v>0.16</v>
      </c>
      <c r="AG16" s="12">
        <f t="shared" si="11"/>
        <v>0.10224</v>
      </c>
      <c r="AH16" s="10">
        <f t="shared" si="12"/>
        <v>1.21586028493247</v>
      </c>
      <c r="AI16" s="10">
        <f t="shared" si="13"/>
        <v>1.1786768012648101</v>
      </c>
      <c r="AJ16" s="13">
        <f t="shared" si="14"/>
        <v>1.21586028493247</v>
      </c>
      <c r="AK16" s="13">
        <f t="shared" si="15"/>
        <v>1.1786768012648101</v>
      </c>
    </row>
    <row r="17" spans="1:37">
      <c r="A17" s="8">
        <f>鋼床鈑!A17</f>
        <v>15</v>
      </c>
      <c r="B17" s="47" t="s">
        <v>41</v>
      </c>
      <c r="C17" s="47" t="s">
        <v>42</v>
      </c>
      <c r="D17" s="47" t="s">
        <v>101</v>
      </c>
      <c r="E17" s="48">
        <v>439392</v>
      </c>
      <c r="F17" s="49">
        <v>131852.3952</v>
      </c>
      <c r="G17" s="49">
        <v>134158.07990000001</v>
      </c>
      <c r="H17" s="49">
        <v>728492606189.75098</v>
      </c>
      <c r="I17" s="49">
        <v>1177759090700.45</v>
      </c>
      <c r="J17" s="49">
        <v>1209162132946.6399</v>
      </c>
      <c r="K17" s="49">
        <v>3736.2073999999998</v>
      </c>
      <c r="L17" s="49">
        <v>3370.7926000000002</v>
      </c>
      <c r="M17" s="49">
        <v>1523.3690999999999</v>
      </c>
      <c r="N17" s="49">
        <v>2512.6309000000001</v>
      </c>
      <c r="O17" s="48">
        <v>0</v>
      </c>
      <c r="P17" s="48">
        <v>0</v>
      </c>
      <c r="Q17" s="48">
        <v>29850</v>
      </c>
      <c r="R17" s="48">
        <v>20834</v>
      </c>
      <c r="S17" s="11">
        <f>(鋼床鈑!F17+鋼床鈑!N17+鋼床鈑!O17)*鋼床鈑!L17+(鋼床鈑!I17+鋼床鈑!N17+鋼床鈑!O17)*鋼床鈑!M17</f>
        <v>102240</v>
      </c>
      <c r="T17" s="11">
        <f>(鋼床鈑!K17)*鋼床鈑!N17+(鋼床鈑!K17)*鋼床鈑!O17</f>
        <v>160000</v>
      </c>
      <c r="U17" s="11">
        <f>4*((鋼床鈑!I17+鋼床鈑!N17/2+鋼床鈑!O17/2)*(鋼床鈑!K17+鋼床鈑!L17/2+鋼床鈑!M17/2))^2/((鋼床鈑!F17+鋼床鈑!N17/2+鋼床鈑!O17/2)/鋼床鈑!L17+(鋼床鈑!I17+鋼床鈑!N17/2+鋼床鈑!O17/2)/鋼床鈑!M17+(鋼床鈑!K17+鋼床鈑!L17/2+鋼床鈑!M17/2)/鋼床鈑!N17+(鋼床鈑!K17+鋼床鈑!L17/2+鋼床鈑!M17/2)/鋼床鈑!O17)</f>
        <v>714198579668.17334</v>
      </c>
      <c r="V17" s="12">
        <f t="shared" si="2"/>
        <v>0.35871745207540801</v>
      </c>
      <c r="W17" s="12">
        <f t="shared" si="3"/>
        <v>0.32363356834704626</v>
      </c>
      <c r="X17" s="12">
        <f t="shared" si="4"/>
        <v>0.77312785896763314</v>
      </c>
      <c r="Y17" s="12">
        <f t="shared" si="5"/>
        <v>0.46873541621272352</v>
      </c>
      <c r="Z17" s="12">
        <f t="shared" si="0"/>
        <v>1.6588846795099377</v>
      </c>
      <c r="AA17" s="12">
        <f t="shared" si="1"/>
        <v>1.63720159777708</v>
      </c>
      <c r="AB17" s="10">
        <f t="shared" si="6"/>
        <v>4.0359999999999996</v>
      </c>
      <c r="AC17" s="10">
        <f t="shared" si="7"/>
        <v>7.1070000000000002</v>
      </c>
      <c r="AD17" s="10">
        <f t="shared" si="8"/>
        <v>0.439392</v>
      </c>
      <c r="AE17" s="12">
        <f t="shared" si="9"/>
        <v>0.71419857966817335</v>
      </c>
      <c r="AF17" s="12">
        <f t="shared" si="10"/>
        <v>0.16</v>
      </c>
      <c r="AG17" s="12">
        <f t="shared" si="11"/>
        <v>0.10224</v>
      </c>
      <c r="AH17" s="10">
        <f t="shared" si="12"/>
        <v>1.20916213294664</v>
      </c>
      <c r="AI17" s="10">
        <f t="shared" si="13"/>
        <v>1.17775909070045</v>
      </c>
      <c r="AJ17" s="13">
        <f t="shared" si="14"/>
        <v>1.20916213294664</v>
      </c>
      <c r="AK17" s="13">
        <f t="shared" si="15"/>
        <v>1.17775909070045</v>
      </c>
    </row>
    <row r="18" spans="1:37">
      <c r="A18" s="8">
        <f>鋼床鈑!A18</f>
        <v>16</v>
      </c>
      <c r="B18" s="47" t="s">
        <v>41</v>
      </c>
      <c r="C18" s="47" t="s">
        <v>42</v>
      </c>
      <c r="D18" s="47" t="s">
        <v>102</v>
      </c>
      <c r="E18" s="48">
        <v>438992</v>
      </c>
      <c r="F18" s="49">
        <v>131607.5184</v>
      </c>
      <c r="G18" s="49">
        <v>134157.3579</v>
      </c>
      <c r="H18" s="49">
        <v>728439967844.37402</v>
      </c>
      <c r="I18" s="49">
        <v>1176839707755.6499</v>
      </c>
      <c r="J18" s="49">
        <v>1202508215091.9199</v>
      </c>
      <c r="K18" s="49">
        <v>3714.9652999999998</v>
      </c>
      <c r="L18" s="49">
        <v>3367.0347000000002</v>
      </c>
      <c r="M18" s="49">
        <v>1524.7499</v>
      </c>
      <c r="N18" s="49">
        <v>2511.2501000000002</v>
      </c>
      <c r="O18" s="48">
        <v>0</v>
      </c>
      <c r="P18" s="48">
        <v>0</v>
      </c>
      <c r="Q18" s="48">
        <v>29800</v>
      </c>
      <c r="R18" s="48">
        <v>20834</v>
      </c>
      <c r="S18" s="11">
        <f>(鋼床鈑!F18+鋼床鈑!N18+鋼床鈑!O18)*鋼床鈑!L18+(鋼床鈑!I18+鋼床鈑!N18+鋼床鈑!O18)*鋼床鈑!M18</f>
        <v>102240</v>
      </c>
      <c r="T18" s="11">
        <f>(鋼床鈑!K18)*鋼床鈑!N18+(鋼床鈑!K18)*鋼床鈑!O18</f>
        <v>160000</v>
      </c>
      <c r="U18" s="11">
        <f>4*((鋼床鈑!I18+鋼床鈑!N18/2+鋼床鈑!O18/2)*(鋼床鈑!K18+鋼床鈑!L18/2+鋼床鈑!M18/2))^2/((鋼床鈑!F18+鋼床鈑!N18/2+鋼床鈑!O18/2)/鋼床鈑!L18+(鋼床鈑!I18+鋼床鈑!N18/2+鋼床鈑!O18/2)/鋼床鈑!M18+(鋼床鈑!K18+鋼床鈑!L18/2+鋼床鈑!M18/2)/鋼床鈑!N18+(鋼床鈑!K18+鋼床鈑!L18/2+鋼床鈑!M18/2)/鋼床鈑!O18)</f>
        <v>714198579668.17334</v>
      </c>
      <c r="V18" s="12">
        <f t="shared" si="2"/>
        <v>0.35714161635813257</v>
      </c>
      <c r="W18" s="12">
        <f t="shared" si="3"/>
        <v>0.32369298714362688</v>
      </c>
      <c r="X18" s="12">
        <f t="shared" si="4"/>
        <v>0.77182474827881598</v>
      </c>
      <c r="Y18" s="12">
        <f t="shared" si="5"/>
        <v>0.46862704266518485</v>
      </c>
      <c r="Z18" s="12">
        <f t="shared" si="0"/>
        <v>1.6550675471427208</v>
      </c>
      <c r="AA18" s="12">
        <f t="shared" si="1"/>
        <v>1.6373078867795934</v>
      </c>
      <c r="AB18" s="10">
        <f t="shared" si="6"/>
        <v>4.0359999999999996</v>
      </c>
      <c r="AC18" s="10">
        <f t="shared" si="7"/>
        <v>7.0819999999999999</v>
      </c>
      <c r="AD18" s="10">
        <f t="shared" si="8"/>
        <v>0.43899199999999999</v>
      </c>
      <c r="AE18" s="12">
        <f t="shared" si="9"/>
        <v>0.71419857966817335</v>
      </c>
      <c r="AF18" s="12">
        <f t="shared" si="10"/>
        <v>0.16</v>
      </c>
      <c r="AG18" s="12">
        <f t="shared" si="11"/>
        <v>0.10224</v>
      </c>
      <c r="AH18" s="10">
        <f t="shared" si="12"/>
        <v>1.20250821509192</v>
      </c>
      <c r="AI18" s="10">
        <f t="shared" si="13"/>
        <v>1.1768397077556498</v>
      </c>
      <c r="AJ18" s="13">
        <f t="shared" si="14"/>
        <v>1.20250821509192</v>
      </c>
      <c r="AK18" s="13">
        <f t="shared" si="15"/>
        <v>1.1768397077556498</v>
      </c>
    </row>
    <row r="19" spans="1:37">
      <c r="A19" s="8">
        <f>鋼床鈑!A19</f>
        <v>17</v>
      </c>
      <c r="B19" s="47" t="s">
        <v>41</v>
      </c>
      <c r="C19" s="47" t="s">
        <v>42</v>
      </c>
      <c r="D19" s="47" t="s">
        <v>103</v>
      </c>
      <c r="E19" s="48">
        <v>438592</v>
      </c>
      <c r="F19" s="49">
        <v>131361.36970000001</v>
      </c>
      <c r="G19" s="49">
        <v>134345.89139999999</v>
      </c>
      <c r="H19" s="49">
        <v>728899130041.70703</v>
      </c>
      <c r="I19" s="49">
        <v>1175918647854.78</v>
      </c>
      <c r="J19" s="49">
        <v>1195923548345.1101</v>
      </c>
      <c r="K19" s="49">
        <v>3693.7071999999998</v>
      </c>
      <c r="L19" s="49">
        <v>3363.2928000000002</v>
      </c>
      <c r="M19" s="49">
        <v>1526.1332</v>
      </c>
      <c r="N19" s="49">
        <v>2509.8667999999998</v>
      </c>
      <c r="O19" s="48">
        <v>0</v>
      </c>
      <c r="P19" s="48">
        <v>0</v>
      </c>
      <c r="Q19" s="48">
        <v>29750</v>
      </c>
      <c r="R19" s="48">
        <v>20834</v>
      </c>
      <c r="S19" s="11">
        <f>(鋼床鈑!F19+鋼床鈑!N19+鋼床鈑!O19)*鋼床鈑!L19+(鋼床鈑!I19+鋼床鈑!N19+鋼床鈑!O19)*鋼床鈑!M19</f>
        <v>102240</v>
      </c>
      <c r="T19" s="11">
        <f>(鋼床鈑!K19)*鋼床鈑!N19+(鋼床鈑!K19)*鋼床鈑!O19</f>
        <v>160000</v>
      </c>
      <c r="U19" s="11">
        <f>4*((鋼床鈑!I19+鋼床鈑!N19/2+鋼床鈑!O19/2)*(鋼床鈑!K19+鋼床鈑!L19/2+鋼床鈑!M19/2))^2/((鋼床鈑!F19+鋼床鈑!N19/2+鋼床鈑!O19/2)/鋼床鈑!L19+(鋼床鈑!I19+鋼床鈑!N19/2+鋼床鈑!O19/2)/鋼床鈑!M19+(鋼床鈑!K19+鋼床鈑!L19/2+鋼床鈑!M19/2)/鋼床鈑!N19+(鋼床鈑!K19+鋼床鈑!L19/2+鋼床鈑!M19/2)/鋼床鈑!O19)</f>
        <v>714198579668.17334</v>
      </c>
      <c r="V19" s="12">
        <f t="shared" si="2"/>
        <v>0.35558115794887379</v>
      </c>
      <c r="W19" s="12">
        <f t="shared" si="3"/>
        <v>0.32377324015967213</v>
      </c>
      <c r="X19" s="12">
        <f t="shared" si="4"/>
        <v>0.77052163458260392</v>
      </c>
      <c r="Y19" s="12">
        <f t="shared" si="5"/>
        <v>0.46851834840589157</v>
      </c>
      <c r="Z19" s="12">
        <f t="shared" si="0"/>
        <v>1.6512824143613465</v>
      </c>
      <c r="AA19" s="12">
        <f t="shared" si="1"/>
        <v>1.6374131951947528</v>
      </c>
      <c r="AB19" s="10">
        <f t="shared" si="6"/>
        <v>4.0359999999999996</v>
      </c>
      <c r="AC19" s="10">
        <f t="shared" si="7"/>
        <v>7.0570000000000004</v>
      </c>
      <c r="AD19" s="10">
        <f t="shared" si="8"/>
        <v>0.43859199999999998</v>
      </c>
      <c r="AE19" s="12">
        <f t="shared" si="9"/>
        <v>0.71419857966817335</v>
      </c>
      <c r="AF19" s="12">
        <f t="shared" si="10"/>
        <v>0.16</v>
      </c>
      <c r="AG19" s="12">
        <f t="shared" si="11"/>
        <v>0.10224</v>
      </c>
      <c r="AH19" s="10">
        <f t="shared" si="12"/>
        <v>1.1959235483451101</v>
      </c>
      <c r="AI19" s="10">
        <f t="shared" si="13"/>
        <v>1.1759186478547801</v>
      </c>
      <c r="AJ19" s="13">
        <f t="shared" si="14"/>
        <v>1.1959235483451101</v>
      </c>
      <c r="AK19" s="13">
        <f t="shared" si="15"/>
        <v>1.1759186478547801</v>
      </c>
    </row>
    <row r="20" spans="1:37">
      <c r="A20" s="8">
        <f>鋼床鈑!A20</f>
        <v>18</v>
      </c>
      <c r="B20" s="47" t="s">
        <v>41</v>
      </c>
      <c r="C20" s="47" t="s">
        <v>42</v>
      </c>
      <c r="D20" s="47" t="s">
        <v>104</v>
      </c>
      <c r="E20" s="48">
        <v>438272</v>
      </c>
      <c r="F20" s="49">
        <v>131052.38039999999</v>
      </c>
      <c r="G20" s="49">
        <v>134323.7689</v>
      </c>
      <c r="H20" s="49">
        <v>728991395591.00403</v>
      </c>
      <c r="I20" s="49">
        <v>1176315726783.98</v>
      </c>
      <c r="J20" s="49">
        <v>1189570387103.4299</v>
      </c>
      <c r="K20" s="49">
        <v>3672.4713999999999</v>
      </c>
      <c r="L20" s="49">
        <v>3359.5286000000001</v>
      </c>
      <c r="M20" s="49">
        <v>1528.3559</v>
      </c>
      <c r="N20" s="49">
        <v>2509.6441</v>
      </c>
      <c r="O20" s="48">
        <v>0</v>
      </c>
      <c r="P20" s="48">
        <v>0</v>
      </c>
      <c r="Q20" s="48">
        <v>29704</v>
      </c>
      <c r="R20" s="48">
        <v>20838</v>
      </c>
      <c r="S20" s="11">
        <f>(鋼床鈑!F20+鋼床鈑!N20+鋼床鈑!O20)*鋼床鈑!L20+(鋼床鈑!I20+鋼床鈑!N20+鋼床鈑!O20)*鋼床鈑!M20</f>
        <v>102240</v>
      </c>
      <c r="T20" s="11">
        <f>(鋼床鈑!K20)*鋼床鈑!N20+(鋼床鈑!K20)*鋼床鈑!O20</f>
        <v>160080</v>
      </c>
      <c r="U20" s="11">
        <f>4*((鋼床鈑!I20+鋼床鈑!N20/2+鋼床鈑!O20/2)*(鋼床鈑!K20+鋼床鈑!L20/2+鋼床鈑!M20/2))^2/((鋼床鈑!F20+鋼床鈑!N20/2+鋼床鈑!O20/2)/鋼床鈑!L20+(鋼床鈑!I20+鋼床鈑!N20/2+鋼床鈑!O20/2)/鋼床鈑!M20+(鋼床鈑!K20+鋼床鈑!L20/2+鋼床鈑!M20/2)/鋼床鈑!N20+(鋼床鈑!K20+鋼床鈑!L20/2+鋼床鈑!M20/2)/鋼床鈑!O20)</f>
        <v>714710962586.0271</v>
      </c>
      <c r="V20" s="12">
        <f t="shared" si="2"/>
        <v>0.35408848345670579</v>
      </c>
      <c r="W20" s="12">
        <f t="shared" si="3"/>
        <v>0.32391549382887774</v>
      </c>
      <c r="X20" s="12">
        <f t="shared" si="4"/>
        <v>0.76966086680725343</v>
      </c>
      <c r="Y20" s="12">
        <f t="shared" si="5"/>
        <v>0.46871814484929553</v>
      </c>
      <c r="Z20" s="12">
        <f t="shared" si="0"/>
        <v>1.6474916016376451</v>
      </c>
      <c r="AA20" s="12">
        <f t="shared" si="1"/>
        <v>1.6382873914416634</v>
      </c>
      <c r="AB20" s="10">
        <f t="shared" si="6"/>
        <v>4.0380000000000003</v>
      </c>
      <c r="AC20" s="10">
        <f t="shared" si="7"/>
        <v>7.032</v>
      </c>
      <c r="AD20" s="10">
        <f t="shared" si="8"/>
        <v>0.43827199999999999</v>
      </c>
      <c r="AE20" s="12">
        <f t="shared" si="9"/>
        <v>0.71471096258602707</v>
      </c>
      <c r="AF20" s="12">
        <f t="shared" si="10"/>
        <v>0.16008</v>
      </c>
      <c r="AG20" s="12">
        <f t="shared" si="11"/>
        <v>0.10224</v>
      </c>
      <c r="AH20" s="10">
        <f t="shared" si="12"/>
        <v>1.18957038710343</v>
      </c>
      <c r="AI20" s="10">
        <f t="shared" si="13"/>
        <v>1.1763157267839799</v>
      </c>
      <c r="AJ20" s="13">
        <f t="shared" si="14"/>
        <v>1.18957038710343</v>
      </c>
      <c r="AK20" s="13">
        <f t="shared" si="15"/>
        <v>1.1763157267839799</v>
      </c>
    </row>
    <row r="21" spans="1:37">
      <c r="A21" s="8">
        <f>鋼床鈑!A21</f>
        <v>19</v>
      </c>
      <c r="B21" s="47" t="s">
        <v>41</v>
      </c>
      <c r="C21" s="47" t="s">
        <v>42</v>
      </c>
      <c r="D21" s="47" t="s">
        <v>105</v>
      </c>
      <c r="E21" s="48">
        <v>434712</v>
      </c>
      <c r="F21" s="49">
        <v>130372.03690000001</v>
      </c>
      <c r="G21" s="49">
        <v>134716.14869999999</v>
      </c>
      <c r="H21" s="49">
        <v>728991111920.79102</v>
      </c>
      <c r="I21" s="49">
        <v>1169431620384.72</v>
      </c>
      <c r="J21" s="49">
        <v>1150709566484.0701</v>
      </c>
      <c r="K21" s="49">
        <v>3699.4182000000001</v>
      </c>
      <c r="L21" s="49">
        <v>3332.5817999999999</v>
      </c>
      <c r="M21" s="49">
        <v>1539.6836000000001</v>
      </c>
      <c r="N21" s="49">
        <v>2498.3164000000002</v>
      </c>
      <c r="O21" s="48">
        <v>0</v>
      </c>
      <c r="P21" s="48">
        <v>0</v>
      </c>
      <c r="Q21" s="48">
        <v>29178</v>
      </c>
      <c r="R21" s="48">
        <v>20838</v>
      </c>
      <c r="S21" s="11">
        <f>(鋼床鈑!F21+鋼床鈑!N21+鋼床鈑!O21)*鋼床鈑!L21+(鋼床鈑!I21+鋼床鈑!N21+鋼床鈑!O21)*鋼床鈑!M21</f>
        <v>102240</v>
      </c>
      <c r="T21" s="11">
        <f>(鋼床鈑!K21)*鋼床鈑!N21+(鋼床鈑!K21)*鋼床鈑!O21</f>
        <v>160080</v>
      </c>
      <c r="U21" s="11">
        <f>4*((鋼床鈑!I21+鋼床鈑!N21/2+鋼床鈑!O21/2)*(鋼床鈑!K21+鋼床鈑!L21/2+鋼床鈑!M21/2))^2/((鋼床鈑!F21+鋼床鈑!N21/2+鋼床鈑!O21/2)/鋼床鈑!L21+(鋼床鈑!I21+鋼床鈑!N21/2+鋼床鈑!O21/2)/鋼床鈑!M21+(鋼床鈑!K21+鋼床鈑!L21/2+鋼床鈑!M21/2)/鋼床鈑!N21+(鋼床鈑!K21+鋼床鈑!L21/2+鋼床鈑!M21/2)/鋼床鈑!O21)</f>
        <v>714710962586.0271</v>
      </c>
      <c r="V21" s="12">
        <f t="shared" si="2"/>
        <v>0.34529071919076981</v>
      </c>
      <c r="W21" s="12">
        <f t="shared" si="3"/>
        <v>0.31105149628232626</v>
      </c>
      <c r="X21" s="12">
        <f t="shared" si="4"/>
        <v>0.75952723038988001</v>
      </c>
      <c r="Y21" s="12">
        <f t="shared" si="5"/>
        <v>0.46808787725394585</v>
      </c>
      <c r="Z21" s="12">
        <f t="shared" si="0"/>
        <v>1.6269793747197934</v>
      </c>
      <c r="AA21" s="12">
        <f t="shared" si="1"/>
        <v>1.6401614566659388</v>
      </c>
      <c r="AB21" s="10">
        <f t="shared" si="6"/>
        <v>4.0380000000000003</v>
      </c>
      <c r="AC21" s="10">
        <f t="shared" si="7"/>
        <v>7.032</v>
      </c>
      <c r="AD21" s="10">
        <f t="shared" si="8"/>
        <v>0.43471199999999999</v>
      </c>
      <c r="AE21" s="12">
        <f t="shared" si="9"/>
        <v>0.71471096258602707</v>
      </c>
      <c r="AF21" s="12">
        <f t="shared" si="10"/>
        <v>0.16008</v>
      </c>
      <c r="AG21" s="12">
        <f t="shared" si="11"/>
        <v>0.10224</v>
      </c>
      <c r="AH21" s="10">
        <f t="shared" si="12"/>
        <v>1.1507095664840701</v>
      </c>
      <c r="AI21" s="10">
        <f t="shared" si="13"/>
        <v>1.1694316203847199</v>
      </c>
      <c r="AJ21" s="13">
        <f t="shared" si="14"/>
        <v>1.1507095664840701</v>
      </c>
      <c r="AK21" s="13">
        <f t="shared" si="15"/>
        <v>1.1694316203847199</v>
      </c>
    </row>
    <row r="22" spans="1:37">
      <c r="A22" s="8">
        <f>鋼床鈑!A22</f>
        <v>20</v>
      </c>
      <c r="B22" s="47" t="s">
        <v>41</v>
      </c>
      <c r="C22" s="47" t="s">
        <v>42</v>
      </c>
      <c r="D22" s="47" t="s">
        <v>106</v>
      </c>
      <c r="E22" s="48">
        <v>434552</v>
      </c>
      <c r="F22" s="49">
        <v>130014.2346</v>
      </c>
      <c r="G22" s="49">
        <v>135071.625</v>
      </c>
      <c r="H22" s="49">
        <v>730914102174.42603</v>
      </c>
      <c r="I22" s="49">
        <v>1172428885162.46</v>
      </c>
      <c r="J22" s="49">
        <v>1145130733519.53</v>
      </c>
      <c r="K22" s="49">
        <v>3678.1176</v>
      </c>
      <c r="L22" s="49">
        <v>3328.8824</v>
      </c>
      <c r="M22" s="49">
        <v>1543.6210000000001</v>
      </c>
      <c r="N22" s="49">
        <v>2500.3789999999999</v>
      </c>
      <c r="O22" s="48">
        <v>0</v>
      </c>
      <c r="P22" s="48">
        <v>0</v>
      </c>
      <c r="Q22" s="48">
        <v>29140</v>
      </c>
      <c r="R22" s="48">
        <v>20850</v>
      </c>
      <c r="S22" s="11">
        <f>(鋼床鈑!F22+鋼床鈑!N22+鋼床鈑!O22)*鋼床鈑!L22+(鋼床鈑!I22+鋼床鈑!N22+鋼床鈑!O22)*鋼床鈑!M22</f>
        <v>102240</v>
      </c>
      <c r="T22" s="11">
        <f>(鋼床鈑!K22)*鋼床鈑!N22+(鋼床鈑!K22)*鋼床鈑!O22</f>
        <v>160320</v>
      </c>
      <c r="U22" s="11">
        <f>4*((鋼床鈑!I22+鋼床鈑!N22/2+鋼床鈑!O22/2)*(鋼床鈑!K22+鋼床鈑!L22/2+鋼床鈑!M22/2))^2/((鋼床鈑!F22+鋼床鈑!N22/2+鋼床鈑!O22/2)/鋼床鈑!L22+(鋼床鈑!I22+鋼床鈑!N22/2+鋼床鈑!O22/2)/鋼床鈑!M22+(鋼床鈑!K22+鋼床鈑!L22/2+鋼床鈑!M22/2)/鋼床鈑!N22+(鋼床鈑!K22+鋼床鈑!L22/2+鋼床鈑!M22/2)/鋼床鈑!O22)</f>
        <v>716248524122.52563</v>
      </c>
      <c r="V22" s="12">
        <f t="shared" si="2"/>
        <v>0.3439985544456392</v>
      </c>
      <c r="W22" s="12">
        <f t="shared" si="3"/>
        <v>0.31133608493636256</v>
      </c>
      <c r="X22" s="12">
        <f t="shared" si="4"/>
        <v>0.75953157229816126</v>
      </c>
      <c r="Y22" s="12">
        <f t="shared" si="5"/>
        <v>0.468900468753921</v>
      </c>
      <c r="Z22" s="12">
        <f t="shared" si="0"/>
        <v>1.6233294170698469</v>
      </c>
      <c r="AA22" s="12">
        <f t="shared" si="1"/>
        <v>1.6425642953433337</v>
      </c>
      <c r="AB22" s="10">
        <f t="shared" si="6"/>
        <v>4.0439999999999996</v>
      </c>
      <c r="AC22" s="10">
        <f t="shared" si="7"/>
        <v>7.0069999999999997</v>
      </c>
      <c r="AD22" s="10">
        <f t="shared" si="8"/>
        <v>0.43455199999999999</v>
      </c>
      <c r="AE22" s="12">
        <f t="shared" si="9"/>
        <v>0.7162485241225256</v>
      </c>
      <c r="AF22" s="12">
        <f t="shared" si="10"/>
        <v>0.16031999999999999</v>
      </c>
      <c r="AG22" s="12">
        <f t="shared" si="11"/>
        <v>0.10224</v>
      </c>
      <c r="AH22" s="10">
        <f t="shared" si="12"/>
        <v>1.14513073351953</v>
      </c>
      <c r="AI22" s="10">
        <f t="shared" si="13"/>
        <v>1.17242888516246</v>
      </c>
      <c r="AJ22" s="13">
        <f t="shared" si="14"/>
        <v>1.14513073351953</v>
      </c>
      <c r="AK22" s="13">
        <f t="shared" si="15"/>
        <v>1.17242888516246</v>
      </c>
    </row>
    <row r="23" spans="1:37">
      <c r="A23" s="8">
        <f>鋼床鈑!A23</f>
        <v>21</v>
      </c>
      <c r="B23" s="47" t="s">
        <v>41</v>
      </c>
      <c r="C23" s="47" t="s">
        <v>42</v>
      </c>
      <c r="D23" s="47" t="s">
        <v>107</v>
      </c>
      <c r="E23" s="48">
        <v>434552</v>
      </c>
      <c r="F23" s="49">
        <v>129562.39019999999</v>
      </c>
      <c r="G23" s="49">
        <v>135432.17910000001</v>
      </c>
      <c r="H23" s="49">
        <v>733231417911.96899</v>
      </c>
      <c r="I23" s="49">
        <v>1178057453609.97</v>
      </c>
      <c r="J23" s="49">
        <v>1139941094620.78</v>
      </c>
      <c r="K23" s="49">
        <v>3656.8611999999998</v>
      </c>
      <c r="L23" s="49">
        <v>3325.1388000000002</v>
      </c>
      <c r="M23" s="49">
        <v>1549.2507000000001</v>
      </c>
      <c r="N23" s="49">
        <v>2504.7492999999999</v>
      </c>
      <c r="O23" s="48">
        <v>0</v>
      </c>
      <c r="P23" s="48">
        <v>0</v>
      </c>
      <c r="Q23" s="48">
        <v>29110</v>
      </c>
      <c r="R23" s="48">
        <v>20870</v>
      </c>
      <c r="S23" s="11">
        <f>(鋼床鈑!F23+鋼床鈑!N23+鋼床鈑!O23)*鋼床鈑!L23+(鋼床鈑!I23+鋼床鈑!N23+鋼床鈑!O23)*鋼床鈑!M23</f>
        <v>102240</v>
      </c>
      <c r="T23" s="11">
        <f>(鋼床鈑!K23)*鋼床鈑!N23+(鋼床鈑!K23)*鋼床鈑!O23</f>
        <v>160720</v>
      </c>
      <c r="U23" s="11">
        <f>4*((鋼床鈑!I23+鋼床鈑!N23/2+鋼床鈑!O23/2)*(鋼床鈑!K23+鋼床鈑!L23/2+鋼床鈑!M23/2))^2/((鋼床鈑!F23+鋼床鈑!N23/2+鋼床鈑!O23/2)/鋼床鈑!L23+(鋼床鈑!I23+鋼床鈑!N23/2+鋼床鈑!O23/2)/鋼床鈑!M23+(鋼床鈑!K23+鋼床鈑!L23/2+鋼床鈑!M23/2)/鋼床鈑!N23+(鋼床鈑!K23+鋼床鈑!L23/2+鋼床鈑!M23/2)/鋼床鈑!O23)</f>
        <v>718812499190.67773</v>
      </c>
      <c r="V23" s="12">
        <f t="shared" si="2"/>
        <v>0.34282511593825193</v>
      </c>
      <c r="W23" s="12">
        <f t="shared" si="3"/>
        <v>0.31172665088321649</v>
      </c>
      <c r="X23" s="12">
        <f t="shared" si="4"/>
        <v>0.76040466117586392</v>
      </c>
      <c r="Y23" s="12">
        <f t="shared" si="5"/>
        <v>0.47032948711073402</v>
      </c>
      <c r="Z23" s="12">
        <f t="shared" si="0"/>
        <v>1.619646841923635</v>
      </c>
      <c r="AA23" s="12">
        <f t="shared" si="1"/>
        <v>1.6465023661729457</v>
      </c>
      <c r="AB23" s="10">
        <f t="shared" si="6"/>
        <v>4.0540000000000003</v>
      </c>
      <c r="AC23" s="10">
        <f t="shared" si="7"/>
        <v>6.9820000000000002</v>
      </c>
      <c r="AD23" s="10">
        <f t="shared" si="8"/>
        <v>0.43455199999999999</v>
      </c>
      <c r="AE23" s="12">
        <f t="shared" si="9"/>
        <v>0.71881249919067769</v>
      </c>
      <c r="AF23" s="12">
        <f t="shared" si="10"/>
        <v>0.16072</v>
      </c>
      <c r="AG23" s="12">
        <f t="shared" si="11"/>
        <v>0.10224</v>
      </c>
      <c r="AH23" s="10">
        <f t="shared" si="12"/>
        <v>1.13994109462078</v>
      </c>
      <c r="AI23" s="10">
        <f t="shared" si="13"/>
        <v>1.1780574536099699</v>
      </c>
      <c r="AJ23" s="13">
        <f t="shared" si="14"/>
        <v>1.13994109462078</v>
      </c>
      <c r="AK23" s="13">
        <f t="shared" si="15"/>
        <v>1.1780574536099699</v>
      </c>
    </row>
    <row r="24" spans="1:37">
      <c r="A24" s="8">
        <f>鋼床鈑!A24</f>
        <v>22</v>
      </c>
      <c r="B24" s="47" t="s">
        <v>41</v>
      </c>
      <c r="C24" s="47" t="s">
        <v>42</v>
      </c>
      <c r="D24" s="47" t="s">
        <v>108</v>
      </c>
      <c r="E24" s="48">
        <v>434712</v>
      </c>
      <c r="F24" s="49">
        <v>129195.85219999999</v>
      </c>
      <c r="G24" s="49">
        <v>135906.72330000001</v>
      </c>
      <c r="H24" s="49">
        <v>736607709930.32104</v>
      </c>
      <c r="I24" s="49">
        <v>1186336476984.25</v>
      </c>
      <c r="J24" s="49">
        <v>1135139738401.8701</v>
      </c>
      <c r="K24" s="49">
        <v>3635.6448999999998</v>
      </c>
      <c r="L24" s="49">
        <v>3321.3551000000002</v>
      </c>
      <c r="M24" s="49">
        <v>1556.5775000000001</v>
      </c>
      <c r="N24" s="49">
        <v>2511.4225000000001</v>
      </c>
      <c r="O24" s="48">
        <v>0</v>
      </c>
      <c r="P24" s="48">
        <v>0</v>
      </c>
      <c r="Q24" s="48">
        <v>29088</v>
      </c>
      <c r="R24" s="48">
        <v>20898</v>
      </c>
      <c r="S24" s="11">
        <f>(鋼床鈑!F24+鋼床鈑!N24+鋼床鈑!O24)*鋼床鈑!L24+(鋼床鈑!I24+鋼床鈑!N24+鋼床鈑!O24)*鋼床鈑!M24</f>
        <v>102240</v>
      </c>
      <c r="T24" s="11">
        <f>(鋼床鈑!K24)*鋼床鈑!N24+(鋼床鈑!K24)*鋼床鈑!O24</f>
        <v>161280</v>
      </c>
      <c r="U24" s="11">
        <f>4*((鋼床鈑!I24+鋼床鈑!N24/2+鋼床鈑!O24/2)*(鋼床鈑!K24+鋼床鈑!L24/2+鋼床鈑!M24/2))^2/((鋼床鈑!F24+鋼床鈑!N24/2+鋼床鈑!O24/2)/鋼床鈑!L24+(鋼床鈑!I24+鋼床鈑!N24/2+鋼床鈑!O24/2)/鋼床鈑!M24+(鋼床鈑!K24+鋼床鈑!L24/2+鋼床鈑!M24/2)/鋼床鈑!N24+(鋼床鈑!K24+鋼床鈑!L24/2+鋼床鈑!M24/2)/鋼床鈑!O24)</f>
        <v>722404934579.43921</v>
      </c>
      <c r="V24" s="12">
        <f t="shared" si="2"/>
        <v>0.34177006198520299</v>
      </c>
      <c r="W24" s="12">
        <f t="shared" si="3"/>
        <v>0.31222514014002584</v>
      </c>
      <c r="X24" s="12">
        <f t="shared" si="4"/>
        <v>0.76214417655674049</v>
      </c>
      <c r="Y24" s="12">
        <f t="shared" si="5"/>
        <v>0.47237630346317672</v>
      </c>
      <c r="Z24" s="12">
        <f t="shared" si="0"/>
        <v>1.6159348577797779</v>
      </c>
      <c r="AA24" s="12">
        <f t="shared" si="1"/>
        <v>1.6519736951413906</v>
      </c>
      <c r="AB24" s="10">
        <f t="shared" si="6"/>
        <v>4.0679999999999996</v>
      </c>
      <c r="AC24" s="10">
        <f t="shared" si="7"/>
        <v>6.9569999999999999</v>
      </c>
      <c r="AD24" s="10">
        <f t="shared" si="8"/>
        <v>0.43471199999999999</v>
      </c>
      <c r="AE24" s="12">
        <f t="shared" si="9"/>
        <v>0.72240493457943922</v>
      </c>
      <c r="AF24" s="12">
        <f t="shared" si="10"/>
        <v>0.16128000000000001</v>
      </c>
      <c r="AG24" s="12">
        <f t="shared" si="11"/>
        <v>0.10224</v>
      </c>
      <c r="AH24" s="10">
        <f t="shared" si="12"/>
        <v>1.1351397384018702</v>
      </c>
      <c r="AI24" s="10">
        <f t="shared" si="13"/>
        <v>1.1863364769842499</v>
      </c>
      <c r="AJ24" s="13">
        <f t="shared" si="14"/>
        <v>1.1351397384018702</v>
      </c>
      <c r="AK24" s="13">
        <f t="shared" si="15"/>
        <v>1.1863364769842499</v>
      </c>
    </row>
    <row r="25" spans="1:37">
      <c r="A25" s="8">
        <f>鋼床鈑!A25</f>
        <v>23</v>
      </c>
      <c r="B25" s="47" t="s">
        <v>41</v>
      </c>
      <c r="C25" s="47" t="s">
        <v>42</v>
      </c>
      <c r="D25" s="47" t="s">
        <v>109</v>
      </c>
      <c r="E25" s="48">
        <v>434992</v>
      </c>
      <c r="F25" s="49">
        <v>128832.3882</v>
      </c>
      <c r="G25" s="49">
        <v>136435.17800000001</v>
      </c>
      <c r="H25" s="49">
        <v>739946455314.77197</v>
      </c>
      <c r="I25" s="49">
        <v>1196631280862.73</v>
      </c>
      <c r="J25" s="49">
        <v>1130645128310.1201</v>
      </c>
      <c r="K25" s="49">
        <v>3614.4490999999998</v>
      </c>
      <c r="L25" s="49">
        <v>3317.5509000000002</v>
      </c>
      <c r="M25" s="49">
        <v>1565.1845000000001</v>
      </c>
      <c r="N25" s="49">
        <v>2519.8155000000002</v>
      </c>
      <c r="O25" s="48">
        <v>0</v>
      </c>
      <c r="P25" s="48">
        <v>0</v>
      </c>
      <c r="Q25" s="48">
        <v>29072</v>
      </c>
      <c r="R25" s="48">
        <v>20932</v>
      </c>
      <c r="S25" s="11">
        <f>(鋼床鈑!F25+鋼床鈑!N25+鋼床鈑!O25)*鋼床鈑!L25+(鋼床鈑!I25+鋼床鈑!N25+鋼床鈑!O25)*鋼床鈑!M25</f>
        <v>102240</v>
      </c>
      <c r="T25" s="11">
        <f>(鋼床鈑!K25)*鋼床鈑!N25+(鋼床鈑!K25)*鋼床鈑!O25</f>
        <v>161960</v>
      </c>
      <c r="U25" s="11">
        <f>4*((鋼床鈑!I25+鋼床鈑!N25/2+鋼床鈑!O25/2)*(鋼床鈑!K25+鋼床鈑!L25/2+鋼床鈑!M25/2))^2/((鋼床鈑!F25+鋼床鈑!N25/2+鋼床鈑!O25/2)/鋼床鈑!L25+(鋼床鈑!I25+鋼床鈑!N25/2+鋼床鈑!O25/2)/鋼床鈑!M25+(鋼床鈑!K25+鋼床鈑!L25/2+鋼床鈑!M25/2)/鋼床鈑!N25+(鋼床鈑!K25+鋼床鈑!L25/2+鋼床鈑!M25/2)/鋼床鈑!O25)</f>
        <v>726771653973.89319</v>
      </c>
      <c r="V25" s="12">
        <f t="shared" si="2"/>
        <v>0.3408071684175577</v>
      </c>
      <c r="W25" s="12">
        <f t="shared" si="3"/>
        <v>0.31281257448337568</v>
      </c>
      <c r="X25" s="12">
        <f t="shared" si="4"/>
        <v>0.76453049519895577</v>
      </c>
      <c r="Y25" s="12">
        <f t="shared" si="5"/>
        <v>0.47488845150080627</v>
      </c>
      <c r="Z25" s="12">
        <f t="shared" si="0"/>
        <v>1.6122133869248445</v>
      </c>
      <c r="AA25" s="12">
        <f t="shared" si="1"/>
        <v>1.6585919026370419</v>
      </c>
      <c r="AB25" s="10">
        <f t="shared" si="6"/>
        <v>4.085</v>
      </c>
      <c r="AC25" s="10">
        <f t="shared" si="7"/>
        <v>6.9320000000000004</v>
      </c>
      <c r="AD25" s="10">
        <f t="shared" si="8"/>
        <v>0.43499199999999999</v>
      </c>
      <c r="AE25" s="12">
        <f t="shared" si="9"/>
        <v>0.72677165397389321</v>
      </c>
      <c r="AF25" s="12">
        <f t="shared" si="10"/>
        <v>0.16195999999999999</v>
      </c>
      <c r="AG25" s="12">
        <f t="shared" si="11"/>
        <v>0.10224</v>
      </c>
      <c r="AH25" s="10">
        <f t="shared" si="12"/>
        <v>1.1306451283101202</v>
      </c>
      <c r="AI25" s="10">
        <f t="shared" si="13"/>
        <v>1.19663128086273</v>
      </c>
      <c r="AJ25" s="13">
        <f t="shared" si="14"/>
        <v>1.1306451283101202</v>
      </c>
      <c r="AK25" s="13">
        <f t="shared" si="15"/>
        <v>1.19663128086273</v>
      </c>
    </row>
    <row r="26" spans="1:37">
      <c r="A26" s="8">
        <f>鋼床鈑!A26</f>
        <v>24</v>
      </c>
      <c r="B26" s="47" t="s">
        <v>41</v>
      </c>
      <c r="C26" s="47" t="s">
        <v>42</v>
      </c>
      <c r="D26" s="47" t="s">
        <v>110</v>
      </c>
      <c r="E26" s="48">
        <v>435472</v>
      </c>
      <c r="F26" s="49">
        <v>128426.715</v>
      </c>
      <c r="G26" s="49">
        <v>137531.4901</v>
      </c>
      <c r="H26" s="49">
        <v>746033339601.82898</v>
      </c>
      <c r="I26" s="49">
        <v>1210305110368.29</v>
      </c>
      <c r="J26" s="49">
        <v>1126617747688.95</v>
      </c>
      <c r="K26" s="49">
        <v>3593.3006</v>
      </c>
      <c r="L26" s="49">
        <v>3313.6994</v>
      </c>
      <c r="M26" s="49">
        <v>1575.9223</v>
      </c>
      <c r="N26" s="49">
        <v>2531.0776999999998</v>
      </c>
      <c r="O26" s="48">
        <v>0</v>
      </c>
      <c r="P26" s="48">
        <v>0</v>
      </c>
      <c r="Q26" s="48">
        <v>29066</v>
      </c>
      <c r="R26" s="48">
        <v>20976</v>
      </c>
      <c r="S26" s="11">
        <f>(鋼床鈑!F26+鋼床鈑!N26+鋼床鈑!O26)*鋼床鈑!L26+(鋼床鈑!I26+鋼床鈑!N26+鋼床鈑!O26)*鋼床鈑!M26</f>
        <v>102240</v>
      </c>
      <c r="T26" s="11">
        <f>(鋼床鈑!K26)*鋼床鈑!N26+(鋼床鈑!K26)*鋼床鈑!O26</f>
        <v>162840</v>
      </c>
      <c r="U26" s="11">
        <f>4*((鋼床鈑!I26+鋼床鈑!N26/2+鋼床鈑!O26/2)*(鋼床鈑!K26+鋼床鈑!L26/2+鋼床鈑!M26/2))^2/((鋼床鈑!F26+鋼床鈑!N26/2+鋼床鈑!O26/2)/鋼床鈑!L26+(鋼床鈑!I26+鋼床鈑!N26/2+鋼床鈑!O26/2)/鋼床鈑!M26+(鋼床鈑!K26+鋼床鈑!L26/2+鋼床鈑!M26/2)/鋼床鈑!N26+(鋼床鈑!K26+鋼床鈑!L26/2+鋼床鈑!M26/2)/鋼床鈑!O26)</f>
        <v>732429937398.05811</v>
      </c>
      <c r="V26" s="12">
        <f t="shared" si="2"/>
        <v>0.33998791431985348</v>
      </c>
      <c r="W26" s="12">
        <f t="shared" si="3"/>
        <v>0.31353284155768929</v>
      </c>
      <c r="X26" s="12">
        <f t="shared" si="4"/>
        <v>0.76799795927013026</v>
      </c>
      <c r="Y26" s="12">
        <f t="shared" si="5"/>
        <v>0.47817777793557664</v>
      </c>
      <c r="Z26" s="12">
        <f t="shared" si="0"/>
        <v>1.6084522636058431</v>
      </c>
      <c r="AA26" s="12">
        <f t="shared" si="1"/>
        <v>1.6671217423594253</v>
      </c>
      <c r="AB26" s="10">
        <f t="shared" si="6"/>
        <v>4.1070000000000002</v>
      </c>
      <c r="AC26" s="10">
        <f t="shared" si="7"/>
        <v>6.907</v>
      </c>
      <c r="AD26" s="10">
        <f t="shared" si="8"/>
        <v>0.43547200000000003</v>
      </c>
      <c r="AE26" s="12">
        <f t="shared" si="9"/>
        <v>0.73242993739805806</v>
      </c>
      <c r="AF26" s="12">
        <f t="shared" si="10"/>
        <v>0.16284000000000001</v>
      </c>
      <c r="AG26" s="12">
        <f t="shared" si="11"/>
        <v>0.10224</v>
      </c>
      <c r="AH26" s="10">
        <f t="shared" si="12"/>
        <v>1.1266177476889498</v>
      </c>
      <c r="AI26" s="10">
        <f t="shared" si="13"/>
        <v>1.21030511036829</v>
      </c>
      <c r="AJ26" s="13">
        <f t="shared" si="14"/>
        <v>1.1266177476889498</v>
      </c>
      <c r="AK26" s="13">
        <f t="shared" si="15"/>
        <v>1.21030511036829</v>
      </c>
    </row>
    <row r="27" spans="1:37">
      <c r="A27" s="8">
        <f>鋼床鈑!A27</f>
        <v>25</v>
      </c>
      <c r="B27" s="47" t="s">
        <v>41</v>
      </c>
      <c r="C27" s="47" t="s">
        <v>42</v>
      </c>
      <c r="D27" s="47" t="s">
        <v>111</v>
      </c>
      <c r="E27" s="48">
        <v>436112</v>
      </c>
      <c r="F27" s="49">
        <v>128035.5858</v>
      </c>
      <c r="G27" s="49">
        <v>138609.84589999999</v>
      </c>
      <c r="H27" s="49">
        <v>752897527951.04602</v>
      </c>
      <c r="I27" s="49">
        <v>1226746978535.79</v>
      </c>
      <c r="J27" s="49">
        <v>1122976058126.51</v>
      </c>
      <c r="K27" s="49">
        <v>3572.1792999999998</v>
      </c>
      <c r="L27" s="49">
        <v>3309.8207000000002</v>
      </c>
      <c r="M27" s="49">
        <v>1588.3755000000001</v>
      </c>
      <c r="N27" s="49">
        <v>2544.6244999999999</v>
      </c>
      <c r="O27" s="48">
        <v>0</v>
      </c>
      <c r="P27" s="48">
        <v>0</v>
      </c>
      <c r="Q27" s="48">
        <v>29068</v>
      </c>
      <c r="R27" s="48">
        <v>21028</v>
      </c>
      <c r="S27" s="11">
        <f>(鋼床鈑!F27+鋼床鈑!N27+鋼床鈑!O27)*鋼床鈑!L27+(鋼床鈑!I27+鋼床鈑!N27+鋼床鈑!O27)*鋼床鈑!M27</f>
        <v>102240</v>
      </c>
      <c r="T27" s="11">
        <f>(鋼床鈑!K27)*鋼床鈑!N27+(鋼床鈑!K27)*鋼床鈑!O27</f>
        <v>163880</v>
      </c>
      <c r="U27" s="11">
        <f>4*((鋼床鈑!I27+鋼床鈑!N27/2+鋼床鈑!O27/2)*(鋼床鈑!K27+鋼床鈑!L27/2+鋼床鈑!M27/2))^2/((鋼床鈑!F27+鋼床鈑!N27/2+鋼床鈑!O27/2)/鋼床鈑!L27+(鋼床鈑!I27+鋼床鈑!N27/2+鋼床鈑!O27/2)/鋼床鈑!M27+(鋼床鈑!K27+鋼床鈑!L27/2+鋼床鈑!M27/2)/鋼床鈑!N27+(鋼床鈑!K27+鋼床鈑!L27/2+鋼床鈑!M27/2)/鋼床鈑!O27)</f>
        <v>739127429104.63123</v>
      </c>
      <c r="V27" s="12">
        <f t="shared" si="2"/>
        <v>0.33928607012655093</v>
      </c>
      <c r="W27" s="12">
        <f t="shared" si="3"/>
        <v>0.31436721502935477</v>
      </c>
      <c r="X27" s="12">
        <f t="shared" si="4"/>
        <v>0.77232806633934481</v>
      </c>
      <c r="Y27" s="12">
        <f t="shared" si="5"/>
        <v>0.48209351852730731</v>
      </c>
      <c r="Z27" s="12">
        <f t="shared" si="0"/>
        <v>1.6046718356786782</v>
      </c>
      <c r="AA27" s="12">
        <f t="shared" si="1"/>
        <v>1.6771753858118033</v>
      </c>
      <c r="AB27" s="10">
        <f t="shared" si="6"/>
        <v>4.133</v>
      </c>
      <c r="AC27" s="10">
        <f t="shared" si="7"/>
        <v>6.8819999999999997</v>
      </c>
      <c r="AD27" s="10">
        <f t="shared" si="8"/>
        <v>0.436112</v>
      </c>
      <c r="AE27" s="12">
        <f t="shared" si="9"/>
        <v>0.73912742910463125</v>
      </c>
      <c r="AF27" s="12">
        <f t="shared" si="10"/>
        <v>0.16388</v>
      </c>
      <c r="AG27" s="12">
        <f t="shared" si="11"/>
        <v>0.10224</v>
      </c>
      <c r="AH27" s="10">
        <f t="shared" si="12"/>
        <v>1.12297605812651</v>
      </c>
      <c r="AI27" s="10">
        <f t="shared" si="13"/>
        <v>1.2267469785357901</v>
      </c>
      <c r="AJ27" s="13">
        <f t="shared" si="14"/>
        <v>1.12297605812651</v>
      </c>
      <c r="AK27" s="13">
        <f t="shared" si="15"/>
        <v>1.2267469785357901</v>
      </c>
    </row>
    <row r="28" spans="1:37">
      <c r="A28" s="8">
        <f>鋼床鈑!A28</f>
        <v>26</v>
      </c>
      <c r="B28" s="47" t="s">
        <v>41</v>
      </c>
      <c r="C28" s="47" t="s">
        <v>42</v>
      </c>
      <c r="D28" s="47" t="s">
        <v>112</v>
      </c>
      <c r="E28" s="48">
        <v>436872</v>
      </c>
      <c r="F28" s="49">
        <v>127615.46649999999</v>
      </c>
      <c r="G28" s="49">
        <v>139825.31270000001</v>
      </c>
      <c r="H28" s="49">
        <v>760553463480.58997</v>
      </c>
      <c r="I28" s="49">
        <v>1245338111933.8999</v>
      </c>
      <c r="J28" s="49">
        <v>1119638750031.8701</v>
      </c>
      <c r="K28" s="49">
        <v>3551.0666999999999</v>
      </c>
      <c r="L28" s="49">
        <v>3305.9333000000001</v>
      </c>
      <c r="M28" s="49">
        <v>1602.1273000000001</v>
      </c>
      <c r="N28" s="49">
        <v>2559.8726999999999</v>
      </c>
      <c r="O28" s="48">
        <v>0</v>
      </c>
      <c r="P28" s="48">
        <v>0</v>
      </c>
      <c r="Q28" s="48">
        <v>29076</v>
      </c>
      <c r="R28" s="48">
        <v>21086</v>
      </c>
      <c r="S28" s="11">
        <f>(鋼床鈑!F28+鋼床鈑!N28+鋼床鈑!O28)*鋼床鈑!L28+(鋼床鈑!I28+鋼床鈑!N28+鋼床鈑!O28)*鋼床鈑!M28</f>
        <v>102240</v>
      </c>
      <c r="T28" s="11">
        <f>(鋼床鈑!K28)*鋼床鈑!N28+(鋼床鈑!K28)*鋼床鈑!O28</f>
        <v>165040</v>
      </c>
      <c r="U28" s="11">
        <f>4*((鋼床鈑!I28+鋼床鈑!N28/2+鋼床鈑!O28/2)*(鋼床鈑!K28+鋼床鈑!L28/2+鋼床鈑!M28/2))^2/((鋼床鈑!F28+鋼床鈑!N28/2+鋼床鈑!O28/2)/鋼床鈑!L28+(鋼床鈑!I28+鋼床鈑!N28/2+鋼床鈑!O28/2)/鋼床鈑!M28+(鋼床鈑!K28+鋼床鈑!L28/2+鋼床鈑!M28/2)/鋼床鈑!N28+(鋼床鈑!K28+鋼床鈑!L28/2+鋼床鈑!M28/2)/鋼床鈑!O28)</f>
        <v>746610897376.61438</v>
      </c>
      <c r="V28" s="12">
        <f t="shared" si="2"/>
        <v>0.33867554134618205</v>
      </c>
      <c r="W28" s="12">
        <f t="shared" si="3"/>
        <v>0.31529645726785988</v>
      </c>
      <c r="X28" s="12">
        <f t="shared" si="4"/>
        <v>0.7773028472418515</v>
      </c>
      <c r="Y28" s="12">
        <f t="shared" si="5"/>
        <v>0.4864843911706625</v>
      </c>
      <c r="Z28" s="12">
        <f t="shared" si="0"/>
        <v>1.6008913386985784</v>
      </c>
      <c r="AA28" s="12">
        <f t="shared" si="1"/>
        <v>1.6883657528545364</v>
      </c>
      <c r="AB28" s="10">
        <f t="shared" si="6"/>
        <v>4.1619999999999999</v>
      </c>
      <c r="AC28" s="10">
        <f t="shared" si="7"/>
        <v>6.8570000000000002</v>
      </c>
      <c r="AD28" s="10">
        <f t="shared" si="8"/>
        <v>0.43687199999999998</v>
      </c>
      <c r="AE28" s="12">
        <f t="shared" si="9"/>
        <v>0.74661089737661435</v>
      </c>
      <c r="AF28" s="12">
        <f t="shared" si="10"/>
        <v>0.16503999999999999</v>
      </c>
      <c r="AG28" s="12">
        <f t="shared" si="11"/>
        <v>0.10224</v>
      </c>
      <c r="AH28" s="10">
        <f t="shared" si="12"/>
        <v>1.1196387500318701</v>
      </c>
      <c r="AI28" s="10">
        <f t="shared" si="13"/>
        <v>1.2453381119339</v>
      </c>
      <c r="AJ28" s="13">
        <f t="shared" si="14"/>
        <v>1.1196387500318701</v>
      </c>
      <c r="AK28" s="13">
        <f t="shared" si="15"/>
        <v>1.2453381119339</v>
      </c>
    </row>
    <row r="29" spans="1:37">
      <c r="A29" s="8">
        <f>鋼床鈑!A29</f>
        <v>27</v>
      </c>
      <c r="B29" s="47" t="s">
        <v>41</v>
      </c>
      <c r="C29" s="47" t="s">
        <v>42</v>
      </c>
      <c r="D29" s="47" t="s">
        <v>113</v>
      </c>
      <c r="E29" s="48">
        <v>437712</v>
      </c>
      <c r="F29" s="49">
        <v>127252.9828</v>
      </c>
      <c r="G29" s="49">
        <v>141114.5981</v>
      </c>
      <c r="H29" s="49">
        <v>768651827575.01099</v>
      </c>
      <c r="I29" s="49">
        <v>1265444521922.05</v>
      </c>
      <c r="J29" s="49">
        <v>1116524733621.21</v>
      </c>
      <c r="K29" s="49">
        <v>3529.9454000000001</v>
      </c>
      <c r="L29" s="49">
        <v>3302.0545999999999</v>
      </c>
      <c r="M29" s="49">
        <v>1616.7581</v>
      </c>
      <c r="N29" s="49">
        <v>2576.2419</v>
      </c>
      <c r="O29" s="48">
        <v>0</v>
      </c>
      <c r="P29" s="48">
        <v>0</v>
      </c>
      <c r="Q29" s="48">
        <v>29088</v>
      </c>
      <c r="R29" s="48">
        <v>21148</v>
      </c>
      <c r="S29" s="11">
        <f>(鋼床鈑!F29+鋼床鈑!N29+鋼床鈑!O29)*鋼床鈑!L29+(鋼床鈑!I29+鋼床鈑!N29+鋼床鈑!O29)*鋼床鈑!M29</f>
        <v>102240</v>
      </c>
      <c r="T29" s="11">
        <f>(鋼床鈑!K29)*鋼床鈑!N29+(鋼床鈑!K29)*鋼床鈑!O29</f>
        <v>166280</v>
      </c>
      <c r="U29" s="11">
        <f>4*((鋼床鈑!I29+鋼床鈑!N29/2+鋼床鈑!O29/2)*(鋼床鈑!K29+鋼床鈑!L29/2+鋼床鈑!M29/2))^2/((鋼床鈑!F29+鋼床鈑!N29/2+鋼床鈑!O29/2)/鋼床鈑!L29+(鋼床鈑!I29+鋼床鈑!N29/2+鋼床鈑!O29/2)/鋼床鈑!M29+(鋼床鈑!K29+鋼床鈑!L29/2+鋼床鈑!M29/2)/鋼床鈑!N29+(鋼床鈑!K29+鋼床鈑!L29/2+鋼床鈑!M29/2)/鋼床鈑!O29)</f>
        <v>754625667233.75293</v>
      </c>
      <c r="V29" s="12">
        <f t="shared" si="2"/>
        <v>0.33813030639202935</v>
      </c>
      <c r="W29" s="12">
        <f t="shared" si="3"/>
        <v>0.3163008508916908</v>
      </c>
      <c r="X29" s="12">
        <f t="shared" si="4"/>
        <v>0.78270492160951599</v>
      </c>
      <c r="Y29" s="12">
        <f t="shared" si="5"/>
        <v>0.49119786535652965</v>
      </c>
      <c r="Z29" s="12">
        <f t="shared" si="0"/>
        <v>1.5971288236293493</v>
      </c>
      <c r="AA29" s="12">
        <f t="shared" si="1"/>
        <v>1.7003069441598571</v>
      </c>
      <c r="AB29" s="10">
        <f t="shared" si="6"/>
        <v>4.1929999999999996</v>
      </c>
      <c r="AC29" s="10">
        <f t="shared" si="7"/>
        <v>6.8319999999999999</v>
      </c>
      <c r="AD29" s="10">
        <f t="shared" si="8"/>
        <v>0.43771199999999999</v>
      </c>
      <c r="AE29" s="12">
        <f t="shared" si="9"/>
        <v>0.75462566723375291</v>
      </c>
      <c r="AF29" s="12">
        <f t="shared" si="10"/>
        <v>0.16628000000000001</v>
      </c>
      <c r="AG29" s="12">
        <f t="shared" si="11"/>
        <v>0.10224</v>
      </c>
      <c r="AH29" s="10">
        <f t="shared" si="12"/>
        <v>1.1165247336212099</v>
      </c>
      <c r="AI29" s="10">
        <f t="shared" si="13"/>
        <v>1.26544452192205</v>
      </c>
      <c r="AJ29" s="13">
        <f t="shared" si="14"/>
        <v>1.1165247336212099</v>
      </c>
      <c r="AK29" s="13">
        <f t="shared" si="15"/>
        <v>1.26544452192205</v>
      </c>
    </row>
    <row r="30" spans="1:37">
      <c r="A30" s="8">
        <f>鋼床鈑!A30</f>
        <v>28</v>
      </c>
      <c r="B30" s="47" t="s">
        <v>41</v>
      </c>
      <c r="C30" s="47" t="s">
        <v>42</v>
      </c>
      <c r="D30" s="47" t="s">
        <v>114</v>
      </c>
      <c r="E30" s="48">
        <v>434152</v>
      </c>
      <c r="F30" s="49">
        <v>125976.75689999999</v>
      </c>
      <c r="G30" s="49">
        <v>141543.48929999999</v>
      </c>
      <c r="H30" s="49">
        <v>768651541934.771</v>
      </c>
      <c r="I30" s="49">
        <v>1257654515102.98</v>
      </c>
      <c r="J30" s="49">
        <v>1076725526598.55</v>
      </c>
      <c r="K30" s="49">
        <v>3557.2505999999998</v>
      </c>
      <c r="L30" s="49">
        <v>3274.7494000000002</v>
      </c>
      <c r="M30" s="49">
        <v>1628.8253999999999</v>
      </c>
      <c r="N30" s="49">
        <v>2564.1745999999998</v>
      </c>
      <c r="O30" s="48">
        <v>0</v>
      </c>
      <c r="P30" s="48">
        <v>0</v>
      </c>
      <c r="Q30" s="48">
        <v>28562</v>
      </c>
      <c r="R30" s="48">
        <v>21148</v>
      </c>
      <c r="S30" s="11">
        <f>(鋼床鈑!F30+鋼床鈑!N30+鋼床鈑!O30)*鋼床鈑!L30+(鋼床鈑!I30+鋼床鈑!N30+鋼床鈑!O30)*鋼床鈑!M30</f>
        <v>102240</v>
      </c>
      <c r="T30" s="11">
        <f>(鋼床鈑!K30)*鋼床鈑!N30+(鋼床鈑!K30)*鋼床鈑!O30</f>
        <v>166280</v>
      </c>
      <c r="U30" s="11">
        <f>4*((鋼床鈑!I30+鋼床鈑!N30/2+鋼床鈑!O30/2)*(鋼床鈑!K30+鋼床鈑!L30/2+鋼床鈑!M30/2))^2/((鋼床鈑!F30+鋼床鈑!N30/2+鋼床鈑!O30/2)/鋼床鈑!L30+(鋼床鈑!I30+鋼床鈑!N30/2+鋼床鈑!O30/2)/鋼床鈑!M30+(鋼床鈑!K30+鋼床鈑!L30/2+鋼床鈑!M30/2)/鋼床鈑!N30+(鋼床鈑!K30+鋼床鈑!L30/2+鋼床鈑!M30/2)/鋼床鈑!O30)</f>
        <v>754625667233.75293</v>
      </c>
      <c r="V30" s="12">
        <f t="shared" si="2"/>
        <v>0.32879631235249634</v>
      </c>
      <c r="W30" s="12">
        <f t="shared" si="3"/>
        <v>0.30268475507419973</v>
      </c>
      <c r="X30" s="12">
        <f t="shared" si="4"/>
        <v>0.77212358985989527</v>
      </c>
      <c r="Y30" s="12">
        <f t="shared" si="5"/>
        <v>0.49047148158435855</v>
      </c>
      <c r="Z30" s="12">
        <f t="shared" si="0"/>
        <v>1.5748224657436694</v>
      </c>
      <c r="AA30" s="12">
        <f t="shared" si="1"/>
        <v>1.7020008558999526</v>
      </c>
      <c r="AB30" s="10">
        <f t="shared" si="6"/>
        <v>4.1929999999999996</v>
      </c>
      <c r="AC30" s="10">
        <f t="shared" si="7"/>
        <v>6.8319999999999999</v>
      </c>
      <c r="AD30" s="10">
        <f t="shared" si="8"/>
        <v>0.43415199999999998</v>
      </c>
      <c r="AE30" s="12">
        <f t="shared" si="9"/>
        <v>0.75462566723375291</v>
      </c>
      <c r="AF30" s="12">
        <f t="shared" si="10"/>
        <v>0.16628000000000001</v>
      </c>
      <c r="AG30" s="12">
        <f t="shared" si="11"/>
        <v>0.10224</v>
      </c>
      <c r="AH30" s="10">
        <f t="shared" si="12"/>
        <v>1.07672552659855</v>
      </c>
      <c r="AI30" s="10">
        <f t="shared" si="13"/>
        <v>1.2576545151029799</v>
      </c>
      <c r="AJ30" s="13">
        <f t="shared" si="14"/>
        <v>1.07672552659855</v>
      </c>
      <c r="AK30" s="13">
        <f t="shared" si="15"/>
        <v>1.2576545151029799</v>
      </c>
    </row>
    <row r="31" spans="1:37">
      <c r="A31" s="8">
        <f>鋼床鈑!A31</f>
        <v>29</v>
      </c>
      <c r="B31" s="47" t="s">
        <v>41</v>
      </c>
      <c r="C31" s="47" t="s">
        <v>42</v>
      </c>
      <c r="D31" s="47" t="s">
        <v>115</v>
      </c>
      <c r="E31" s="48">
        <v>435296</v>
      </c>
      <c r="F31" s="49">
        <v>125657.40670000001</v>
      </c>
      <c r="G31" s="49">
        <v>143057.8118</v>
      </c>
      <c r="H31" s="49">
        <v>778856398640.50696</v>
      </c>
      <c r="I31" s="49">
        <v>1283229249799.78</v>
      </c>
      <c r="J31" s="49">
        <v>1074619196764.8</v>
      </c>
      <c r="K31" s="49">
        <v>3535.0848000000001</v>
      </c>
      <c r="L31" s="49">
        <v>3270.9151999999999</v>
      </c>
      <c r="M31" s="49">
        <v>1647.07</v>
      </c>
      <c r="N31" s="49">
        <v>2584.9299999999998</v>
      </c>
      <c r="O31" s="48">
        <v>0</v>
      </c>
      <c r="P31" s="48">
        <v>0</v>
      </c>
      <c r="Q31" s="48">
        <v>28588</v>
      </c>
      <c r="R31" s="48">
        <v>21226</v>
      </c>
      <c r="S31" s="11">
        <f>(鋼床鈑!F31+鋼床鈑!N31+鋼床鈑!O31)*鋼床鈑!L31+(鋼床鈑!I31+鋼床鈑!N31+鋼床鈑!O31)*鋼床鈑!M31</f>
        <v>102240</v>
      </c>
      <c r="T31" s="11">
        <f>(鋼床鈑!K31)*鋼床鈑!N31+(鋼床鈑!K31)*鋼床鈑!O31</f>
        <v>167840</v>
      </c>
      <c r="U31" s="11">
        <f>4*((鋼床鈑!I31+鋼床鈑!N31/2+鋼床鈑!O31/2)*(鋼床鈑!K31+鋼床鈑!L31/2+鋼床鈑!M31/2))^2/((鋼床鈑!F31+鋼床鈑!N31/2+鋼床鈑!O31/2)/鋼床鈑!L31+(鋼床鈑!I31+鋼床鈑!N31/2+鋼床鈑!O31/2)/鋼床鈑!M31+(鋼床鈑!K31+鋼床鈑!L31/2+鋼床鈑!M31/2)/鋼床鈑!N31+(鋼床鈑!K31+鋼床鈑!L31/2+鋼床鈑!M31/2)/鋼床鈑!O31)</f>
        <v>764730775931.22583</v>
      </c>
      <c r="V31" s="12">
        <f t="shared" si="2"/>
        <v>0.32853777339284124</v>
      </c>
      <c r="W31" s="12">
        <f t="shared" si="3"/>
        <v>0.30398682282382589</v>
      </c>
      <c r="X31" s="12">
        <f t="shared" si="4"/>
        <v>0.77909818635503036</v>
      </c>
      <c r="Y31" s="12">
        <f t="shared" si="5"/>
        <v>0.49642707918581158</v>
      </c>
      <c r="Z31" s="12">
        <f t="shared" si="0"/>
        <v>1.5712126211473585</v>
      </c>
      <c r="AA31" s="12">
        <f t="shared" si="1"/>
        <v>1.7169584559626976</v>
      </c>
      <c r="AB31" s="10">
        <f t="shared" si="6"/>
        <v>4.2320000000000002</v>
      </c>
      <c r="AC31" s="10">
        <f t="shared" si="7"/>
        <v>6.806</v>
      </c>
      <c r="AD31" s="10">
        <f t="shared" si="8"/>
        <v>0.43529600000000002</v>
      </c>
      <c r="AE31" s="12">
        <f t="shared" si="9"/>
        <v>0.76473077593122585</v>
      </c>
      <c r="AF31" s="12">
        <f t="shared" si="10"/>
        <v>0.16783999999999999</v>
      </c>
      <c r="AG31" s="12">
        <f t="shared" si="11"/>
        <v>0.10224</v>
      </c>
      <c r="AH31" s="10">
        <f t="shared" si="12"/>
        <v>1.0746191967648</v>
      </c>
      <c r="AI31" s="10">
        <f t="shared" si="13"/>
        <v>1.2832292497997799</v>
      </c>
      <c r="AJ31" s="13">
        <f t="shared" si="14"/>
        <v>1.0746191967648</v>
      </c>
      <c r="AK31" s="13">
        <f t="shared" si="15"/>
        <v>1.2832292497997799</v>
      </c>
    </row>
    <row r="32" spans="1:37">
      <c r="A32" s="8">
        <f>鋼床鈑!A32</f>
        <v>30</v>
      </c>
      <c r="B32" s="47" t="s">
        <v>41</v>
      </c>
      <c r="C32" s="47" t="s">
        <v>42</v>
      </c>
      <c r="D32" s="47" t="s">
        <v>116</v>
      </c>
      <c r="E32" s="48">
        <v>436520</v>
      </c>
      <c r="F32" s="49">
        <v>125245.4846</v>
      </c>
      <c r="G32" s="49">
        <v>144917.7936</v>
      </c>
      <c r="H32" s="49">
        <v>790294625879.89697</v>
      </c>
      <c r="I32" s="49">
        <v>1310472347763.46</v>
      </c>
      <c r="J32" s="49">
        <v>1072736836430.42</v>
      </c>
      <c r="K32" s="49">
        <v>3512.8955999999998</v>
      </c>
      <c r="L32" s="49">
        <v>3267.1044000000002</v>
      </c>
      <c r="M32" s="49">
        <v>1666.2163</v>
      </c>
      <c r="N32" s="49">
        <v>2606.7837</v>
      </c>
      <c r="O32" s="48">
        <v>0</v>
      </c>
      <c r="P32" s="48">
        <v>0</v>
      </c>
      <c r="Q32" s="48">
        <v>28618</v>
      </c>
      <c r="R32" s="48">
        <v>21308</v>
      </c>
      <c r="S32" s="11">
        <f>(鋼床鈑!F32+鋼床鈑!N32+鋼床鈑!O32)*鋼床鈑!L32+(鋼床鈑!I32+鋼床鈑!N32+鋼床鈑!O32)*鋼床鈑!M32</f>
        <v>102240</v>
      </c>
      <c r="T32" s="11">
        <f>(鋼床鈑!K32)*鋼床鈑!N32+(鋼床鈑!K32)*鋼床鈑!O32</f>
        <v>169480</v>
      </c>
      <c r="U32" s="11">
        <f>4*((鋼床鈑!I32+鋼床鈑!N32/2+鋼床鈑!O32/2)*(鋼床鈑!K32+鋼床鈑!L32/2+鋼床鈑!M32/2))^2/((鋼床鈑!F32+鋼床鈑!N32/2+鋼床鈑!O32/2)/鋼床鈑!L32+(鋼床鈑!I32+鋼床鈑!N32/2+鋼床鈑!O32/2)/鋼床鈑!M32+(鋼床鈑!K32+鋼床鈑!L32/2+鋼床鈑!M32/2)/鋼床鈑!N32+(鋼床鈑!K32+鋼床鈑!L32/2+鋼床鈑!M32/2)/鋼床鈑!O32)</f>
        <v>775380145728.71082</v>
      </c>
      <c r="V32" s="12">
        <f t="shared" si="2"/>
        <v>0.3283448292715776</v>
      </c>
      <c r="W32" s="12">
        <f t="shared" si="3"/>
        <v>0.30537111220453578</v>
      </c>
      <c r="X32" s="12">
        <f t="shared" si="4"/>
        <v>0.78649593558979092</v>
      </c>
      <c r="Y32" s="12">
        <f t="shared" si="5"/>
        <v>0.50271618153951936</v>
      </c>
      <c r="Z32" s="12">
        <f t="shared" si="0"/>
        <v>1.567633456860472</v>
      </c>
      <c r="AA32" s="12">
        <f t="shared" si="1"/>
        <v>1.7326540474151364</v>
      </c>
      <c r="AB32" s="10">
        <f t="shared" si="6"/>
        <v>4.2729999999999997</v>
      </c>
      <c r="AC32" s="10">
        <f t="shared" si="7"/>
        <v>6.78</v>
      </c>
      <c r="AD32" s="10">
        <f t="shared" si="8"/>
        <v>0.43652000000000002</v>
      </c>
      <c r="AE32" s="12">
        <f t="shared" si="9"/>
        <v>0.77538014572871083</v>
      </c>
      <c r="AF32" s="12">
        <f t="shared" si="10"/>
        <v>0.16947999999999999</v>
      </c>
      <c r="AG32" s="12">
        <f t="shared" si="11"/>
        <v>0.10224</v>
      </c>
      <c r="AH32" s="10">
        <f t="shared" si="12"/>
        <v>1.0727368364304199</v>
      </c>
      <c r="AI32" s="10">
        <f t="shared" si="13"/>
        <v>1.3104723477634599</v>
      </c>
      <c r="AJ32" s="13">
        <f t="shared" si="14"/>
        <v>1.0727368364304199</v>
      </c>
      <c r="AK32" s="13">
        <f t="shared" si="15"/>
        <v>1.3104723477634599</v>
      </c>
    </row>
    <row r="33" spans="1:37">
      <c r="A33" s="8">
        <f>鋼床鈑!A33</f>
        <v>31</v>
      </c>
      <c r="B33" s="47" t="s">
        <v>41</v>
      </c>
      <c r="C33" s="47" t="s">
        <v>42</v>
      </c>
      <c r="D33" s="47" t="s">
        <v>117</v>
      </c>
      <c r="E33" s="48">
        <v>437864</v>
      </c>
      <c r="F33" s="49">
        <v>124725.0122</v>
      </c>
      <c r="G33" s="49">
        <v>146573.8339</v>
      </c>
      <c r="H33" s="49">
        <v>801231244132.66699</v>
      </c>
      <c r="I33" s="49">
        <v>1340138142756.01</v>
      </c>
      <c r="J33" s="49">
        <v>1071158058319.83</v>
      </c>
      <c r="K33" s="49">
        <v>3490.6914999999999</v>
      </c>
      <c r="L33" s="49">
        <v>3263.3085000000001</v>
      </c>
      <c r="M33" s="49">
        <v>1686.6985999999999</v>
      </c>
      <c r="N33" s="49">
        <v>2630.3013999999998</v>
      </c>
      <c r="O33" s="48">
        <v>0</v>
      </c>
      <c r="P33" s="48">
        <v>0</v>
      </c>
      <c r="Q33" s="48">
        <v>28654</v>
      </c>
      <c r="R33" s="48">
        <v>21396</v>
      </c>
      <c r="S33" s="11">
        <f>(鋼床鈑!F33+鋼床鈑!N33+鋼床鈑!O33)*鋼床鈑!L33+(鋼床鈑!I33+鋼床鈑!N33+鋼床鈑!O33)*鋼床鈑!M33</f>
        <v>102240</v>
      </c>
      <c r="T33" s="11">
        <f>(鋼床鈑!K33)*鋼床鈑!N33+(鋼床鈑!K33)*鋼床鈑!O33</f>
        <v>171240</v>
      </c>
      <c r="U33" s="11">
        <f>4*((鋼床鈑!I33+鋼床鈑!N33/2+鋼床鈑!O33/2)*(鋼床鈑!K33+鋼床鈑!L33/2+鋼床鈑!M33/2))^2/((鋼床鈑!F33+鋼床鈑!N33/2+鋼床鈑!O33/2)/鋼床鈑!L33+(鋼床鈑!I33+鋼床鈑!N33/2+鋼床鈑!O33/2)/鋼床鈑!M33+(鋼床鈑!K33+鋼床鈑!L33/2+鋼床鈑!M33/2)/鋼床鈑!N33+(鋼床鈑!K33+鋼床鈑!L33/2+鋼床鈑!M33/2)/鋼床鈑!O33)</f>
        <v>786837948537.24146</v>
      </c>
      <c r="V33" s="12">
        <f t="shared" si="2"/>
        <v>0.32824296517470841</v>
      </c>
      <c r="W33" s="12">
        <f t="shared" si="3"/>
        <v>0.30686127901014165</v>
      </c>
      <c r="X33" s="12">
        <f t="shared" si="4"/>
        <v>0.79453326323743323</v>
      </c>
      <c r="Y33" s="12">
        <f t="shared" si="5"/>
        <v>0.50949984011566507</v>
      </c>
      <c r="Z33" s="12">
        <f t="shared" si="0"/>
        <v>1.5640735062596545</v>
      </c>
      <c r="AA33" s="12">
        <f t="shared" si="1"/>
        <v>1.7494646199669777</v>
      </c>
      <c r="AB33" s="10">
        <f t="shared" si="6"/>
        <v>4.3170000000000002</v>
      </c>
      <c r="AC33" s="10">
        <f t="shared" si="7"/>
        <v>6.7539999999999996</v>
      </c>
      <c r="AD33" s="10">
        <f t="shared" si="8"/>
        <v>0.43786399999999998</v>
      </c>
      <c r="AE33" s="12">
        <f t="shared" si="9"/>
        <v>0.78683794853724143</v>
      </c>
      <c r="AF33" s="12">
        <f t="shared" si="10"/>
        <v>0.17124</v>
      </c>
      <c r="AG33" s="12">
        <f t="shared" si="11"/>
        <v>0.10224</v>
      </c>
      <c r="AH33" s="10">
        <f t="shared" si="12"/>
        <v>1.0711580583198299</v>
      </c>
      <c r="AI33" s="10">
        <f t="shared" si="13"/>
        <v>1.34013814275601</v>
      </c>
      <c r="AJ33" s="13">
        <f t="shared" si="14"/>
        <v>1.0711580583198299</v>
      </c>
      <c r="AK33" s="13">
        <f t="shared" si="15"/>
        <v>1.34013814275601</v>
      </c>
    </row>
    <row r="34" spans="1:37">
      <c r="A34" s="8">
        <f>鋼床鈑!A34</f>
        <v>32</v>
      </c>
      <c r="B34" s="47" t="s">
        <v>41</v>
      </c>
      <c r="C34" s="47" t="s">
        <v>42</v>
      </c>
      <c r="D34" s="47" t="s">
        <v>118</v>
      </c>
      <c r="E34" s="48">
        <v>439208</v>
      </c>
      <c r="F34" s="49">
        <v>124118.16379999999</v>
      </c>
      <c r="G34" s="49">
        <v>148304.33290000001</v>
      </c>
      <c r="H34" s="49">
        <v>812537942949.396</v>
      </c>
      <c r="I34" s="49">
        <v>1370164386031.8501</v>
      </c>
      <c r="J34" s="49">
        <v>1069642331593.05</v>
      </c>
      <c r="K34" s="49">
        <v>3468.4394000000002</v>
      </c>
      <c r="L34" s="49">
        <v>3259.5605999999998</v>
      </c>
      <c r="M34" s="49">
        <v>1707.2319</v>
      </c>
      <c r="N34" s="49">
        <v>2653.7680999999998</v>
      </c>
      <c r="O34" s="48">
        <v>0</v>
      </c>
      <c r="P34" s="48">
        <v>0</v>
      </c>
      <c r="Q34" s="48">
        <v>28690</v>
      </c>
      <c r="R34" s="48">
        <v>21484</v>
      </c>
      <c r="S34" s="11">
        <f>(鋼床鈑!F34+鋼床鈑!N34+鋼床鈑!O34)*鋼床鈑!L34+(鋼床鈑!I34+鋼床鈑!N34+鋼床鈑!O34)*鋼床鈑!M34</f>
        <v>102240</v>
      </c>
      <c r="T34" s="11">
        <f>(鋼床鈑!K34)*鋼床鈑!N34+(鋼床鈑!K34)*鋼床鈑!O34</f>
        <v>173000</v>
      </c>
      <c r="U34" s="11">
        <f>4*((鋼床鈑!I34+鋼床鈑!N34/2+鋼床鈑!O34/2)*(鋼床鈑!K34+鋼床鈑!L34/2+鋼床鈑!M34/2))^2/((鋼床鈑!F34+鋼床鈑!N34/2+鋼床鈑!O34/2)/鋼床鈑!L34+(鋼床鈑!I34+鋼床鈑!N34/2+鋼床鈑!O34/2)/鋼床鈑!M34+(鋼床鈑!K34+鋼床鈑!L34/2+鋼床鈑!M34/2)/鋼床鈑!N34+(鋼床鈑!K34+鋼床鈑!L34/2+鋼床鈑!M34/2)/鋼床鈑!O34)</f>
        <v>798325474060.80774</v>
      </c>
      <c r="V34" s="12">
        <f t="shared" si="2"/>
        <v>0.32815537517328258</v>
      </c>
      <c r="W34" s="12">
        <f t="shared" si="3"/>
        <v>0.30839297108464692</v>
      </c>
      <c r="X34" s="12">
        <f t="shared" si="4"/>
        <v>0.80256489234523454</v>
      </c>
      <c r="Y34" s="12">
        <f t="shared" si="5"/>
        <v>0.51630901209184421</v>
      </c>
      <c r="Z34" s="12">
        <f t="shared" si="0"/>
        <v>1.5605732918622588</v>
      </c>
      <c r="AA34" s="12">
        <f t="shared" si="1"/>
        <v>1.7662461022697302</v>
      </c>
      <c r="AB34" s="10">
        <f t="shared" si="6"/>
        <v>4.3609999999999998</v>
      </c>
      <c r="AC34" s="10">
        <f t="shared" si="7"/>
        <v>6.7279999999999998</v>
      </c>
      <c r="AD34" s="10">
        <f t="shared" si="8"/>
        <v>0.43920799999999999</v>
      </c>
      <c r="AE34" s="12">
        <f t="shared" si="9"/>
        <v>0.79832547406080778</v>
      </c>
      <c r="AF34" s="12">
        <f t="shared" si="10"/>
        <v>0.17299999999999999</v>
      </c>
      <c r="AG34" s="12">
        <f t="shared" si="11"/>
        <v>0.10224</v>
      </c>
      <c r="AH34" s="10">
        <f t="shared" si="12"/>
        <v>1.0696423315930501</v>
      </c>
      <c r="AI34" s="10">
        <f t="shared" si="13"/>
        <v>1.3701643860318502</v>
      </c>
      <c r="AJ34" s="13">
        <f t="shared" si="14"/>
        <v>1.0696423315930501</v>
      </c>
      <c r="AK34" s="13">
        <f t="shared" si="15"/>
        <v>1.3701643860318502</v>
      </c>
    </row>
    <row r="35" spans="1:37">
      <c r="A35" s="8">
        <f>鋼床鈑!A35</f>
        <v>33</v>
      </c>
      <c r="B35" s="47" t="s">
        <v>41</v>
      </c>
      <c r="C35" s="47" t="s">
        <v>42</v>
      </c>
      <c r="D35" s="47" t="s">
        <v>119</v>
      </c>
      <c r="E35" s="48">
        <v>441088</v>
      </c>
      <c r="F35" s="49">
        <v>123520.55439999999</v>
      </c>
      <c r="G35" s="49">
        <v>150471.1519</v>
      </c>
      <c r="H35" s="49">
        <v>827022448654.31201</v>
      </c>
      <c r="I35" s="49">
        <v>1410012692995.72</v>
      </c>
      <c r="J35" s="49">
        <v>1069260153307.23</v>
      </c>
      <c r="K35" s="49">
        <v>3447.1963000000001</v>
      </c>
      <c r="L35" s="49">
        <v>3255.8036999999999</v>
      </c>
      <c r="M35" s="49">
        <v>1733.3634</v>
      </c>
      <c r="N35" s="49">
        <v>2684.6365999999998</v>
      </c>
      <c r="O35" s="48">
        <v>0</v>
      </c>
      <c r="P35" s="48">
        <v>0</v>
      </c>
      <c r="Q35" s="48">
        <v>28754</v>
      </c>
      <c r="R35" s="48">
        <v>21598</v>
      </c>
      <c r="S35" s="11">
        <f>(鋼床鈑!F35+鋼床鈑!N35+鋼床鈑!O35)*鋼床鈑!L35+(鋼床鈑!I35+鋼床鈑!N35+鋼床鈑!O35)*鋼床鈑!M35</f>
        <v>102240</v>
      </c>
      <c r="T35" s="11">
        <f>(鋼床鈑!K35)*鋼床鈑!N35+(鋼床鈑!K35)*鋼床鈑!O35</f>
        <v>175280</v>
      </c>
      <c r="U35" s="11">
        <f>4*((鋼床鈑!I35+鋼床鈑!N35/2+鋼床鈑!O35/2)*(鋼床鈑!K35+鋼床鈑!L35/2+鋼床鈑!M35/2))^2/((鋼床鈑!F35+鋼床鈑!N35/2+鋼床鈑!O35/2)/鋼床鈑!L35+(鋼床鈑!I35+鋼床鈑!N35/2+鋼床鈑!O35/2)/鋼床鈑!M35+(鋼床鈑!K35+鋼床鈑!L35/2+鋼床鈑!M35/2)/鋼床鈑!N35+(鋼床鈑!K35+鋼床鈑!L35/2+鋼床鈑!M35/2)/鋼床鈑!O35)</f>
        <v>813250387586.66223</v>
      </c>
      <c r="V35" s="12">
        <f t="shared" si="2"/>
        <v>0.328416652793665</v>
      </c>
      <c r="W35" s="12">
        <f t="shared" si="3"/>
        <v>0.31018255424190083</v>
      </c>
      <c r="X35" s="12">
        <f t="shared" si="4"/>
        <v>0.81345475103242626</v>
      </c>
      <c r="Y35" s="12">
        <f t="shared" si="5"/>
        <v>0.52521547720675499</v>
      </c>
      <c r="Z35" s="12">
        <f t="shared" si="0"/>
        <v>1.5569657892407733</v>
      </c>
      <c r="AA35" s="12">
        <f t="shared" si="1"/>
        <v>1.7879233232000729</v>
      </c>
      <c r="AB35" s="10">
        <f t="shared" si="6"/>
        <v>4.4180000000000001</v>
      </c>
      <c r="AC35" s="10">
        <f t="shared" si="7"/>
        <v>6.7030000000000003</v>
      </c>
      <c r="AD35" s="10">
        <f t="shared" si="8"/>
        <v>0.44108799999999998</v>
      </c>
      <c r="AE35" s="12">
        <f t="shared" si="9"/>
        <v>0.81325038758666224</v>
      </c>
      <c r="AF35" s="12">
        <f t="shared" si="10"/>
        <v>0.17527999999999999</v>
      </c>
      <c r="AG35" s="12">
        <f t="shared" si="11"/>
        <v>0.10224</v>
      </c>
      <c r="AH35" s="10">
        <f t="shared" si="12"/>
        <v>1.0692601533072299</v>
      </c>
      <c r="AI35" s="10">
        <f t="shared" si="13"/>
        <v>1.41001269299572</v>
      </c>
      <c r="AJ35" s="13">
        <f t="shared" si="14"/>
        <v>1.0692601533072299</v>
      </c>
      <c r="AK35" s="13">
        <f t="shared" si="15"/>
        <v>1.41001269299572</v>
      </c>
    </row>
    <row r="36" spans="1:37">
      <c r="A36" s="8">
        <f>鋼床鈑!A36</f>
        <v>34</v>
      </c>
      <c r="B36" s="47" t="s">
        <v>41</v>
      </c>
      <c r="C36" s="47" t="s">
        <v>42</v>
      </c>
      <c r="D36" s="47" t="s">
        <v>120</v>
      </c>
      <c r="E36" s="48">
        <v>442912</v>
      </c>
      <c r="F36" s="49">
        <v>122955.664</v>
      </c>
      <c r="G36" s="49">
        <v>152600.01439999999</v>
      </c>
      <c r="H36" s="49">
        <v>841116841504.41296</v>
      </c>
      <c r="I36" s="49">
        <v>1449707817618.8301</v>
      </c>
      <c r="J36" s="49">
        <v>1068644648469.0601</v>
      </c>
      <c r="K36" s="49">
        <v>3425.0212000000001</v>
      </c>
      <c r="L36" s="49">
        <v>3251.9787999999999</v>
      </c>
      <c r="M36" s="49">
        <v>1759.1971000000001</v>
      </c>
      <c r="N36" s="49">
        <v>2714.8029000000001</v>
      </c>
      <c r="O36" s="48">
        <v>0</v>
      </c>
      <c r="P36" s="48">
        <v>0</v>
      </c>
      <c r="Q36" s="48">
        <v>28814</v>
      </c>
      <c r="R36" s="48">
        <v>21710</v>
      </c>
      <c r="S36" s="11">
        <f>(鋼床鈑!F36+鋼床鈑!N36+鋼床鈑!O36)*鋼床鈑!L36+(鋼床鈑!I36+鋼床鈑!N36+鋼床鈑!O36)*鋼床鈑!M36</f>
        <v>102240</v>
      </c>
      <c r="T36" s="11">
        <f>(鋼床鈑!K36)*鋼床鈑!N36+(鋼床鈑!K36)*鋼床鈑!O36</f>
        <v>177520</v>
      </c>
      <c r="U36" s="11">
        <f>4*((鋼床鈑!I36+鋼床鈑!N36/2+鋼床鈑!O36/2)*(鋼床鈑!K36+鋼床鈑!L36/2+鋼床鈑!M36/2))^2/((鋼床鈑!F36+鋼床鈑!N36/2+鋼床鈑!O36/2)/鋼床鈑!L36+(鋼床鈑!I36+鋼床鈑!N36/2+鋼床鈑!O36/2)/鋼床鈑!M36+(鋼床鈑!K36+鋼床鈑!L36/2+鋼床鈑!M36/2)/鋼床鈑!N36+(鋼床鈑!K36+鋼床鈑!L36/2+鋼床鈑!M36/2)/鋼床鈑!O36)</f>
        <v>827960125562.82373</v>
      </c>
      <c r="V36" s="12">
        <f t="shared" si="2"/>
        <v>0.32861365777324875</v>
      </c>
      <c r="W36" s="12">
        <f t="shared" si="3"/>
        <v>0.31201110476894567</v>
      </c>
      <c r="X36" s="12">
        <f t="shared" si="4"/>
        <v>0.82407356038662749</v>
      </c>
      <c r="Y36" s="12">
        <f t="shared" si="5"/>
        <v>0.53400113047574471</v>
      </c>
      <c r="Z36" s="12">
        <f t="shared" si="0"/>
        <v>1.5533092702172546</v>
      </c>
      <c r="AA36" s="12">
        <f t="shared" si="1"/>
        <v>1.8091789121436821</v>
      </c>
      <c r="AB36" s="10">
        <f t="shared" si="6"/>
        <v>4.4740000000000002</v>
      </c>
      <c r="AC36" s="10">
        <f t="shared" si="7"/>
        <v>6.6769999999999996</v>
      </c>
      <c r="AD36" s="10">
        <f t="shared" si="8"/>
        <v>0.44291199999999997</v>
      </c>
      <c r="AE36" s="12">
        <f t="shared" si="9"/>
        <v>0.82796012556282372</v>
      </c>
      <c r="AF36" s="12">
        <f t="shared" si="10"/>
        <v>0.17752000000000001</v>
      </c>
      <c r="AG36" s="12">
        <f t="shared" si="11"/>
        <v>0.10224</v>
      </c>
      <c r="AH36" s="10">
        <f t="shared" si="12"/>
        <v>1.0686446484690602</v>
      </c>
      <c r="AI36" s="10">
        <f t="shared" si="13"/>
        <v>1.4497078176188301</v>
      </c>
      <c r="AJ36" s="13">
        <f t="shared" si="14"/>
        <v>1.0686446484690602</v>
      </c>
      <c r="AK36" s="13">
        <f t="shared" si="15"/>
        <v>1.4497078176188301</v>
      </c>
    </row>
    <row r="37" spans="1:37">
      <c r="A37" s="8">
        <f>鋼床鈑!A37</f>
        <v>35</v>
      </c>
      <c r="B37" s="47" t="s">
        <v>41</v>
      </c>
      <c r="C37" s="47" t="s">
        <v>42</v>
      </c>
      <c r="D37" s="47" t="s">
        <v>121</v>
      </c>
      <c r="E37" s="48">
        <v>444936</v>
      </c>
      <c r="F37" s="49">
        <v>122410.0735</v>
      </c>
      <c r="G37" s="49">
        <v>155048.60089999999</v>
      </c>
      <c r="H37" s="49">
        <v>857003891953.73999</v>
      </c>
      <c r="I37" s="49">
        <v>1493757653720.3401</v>
      </c>
      <c r="J37" s="49">
        <v>1068513109465.9301</v>
      </c>
      <c r="K37" s="49">
        <v>3402.8265999999999</v>
      </c>
      <c r="L37" s="49">
        <v>3248.1734000000001</v>
      </c>
      <c r="M37" s="49">
        <v>1787.2686000000001</v>
      </c>
      <c r="N37" s="49">
        <v>2747.7314000000001</v>
      </c>
      <c r="O37" s="48">
        <v>0</v>
      </c>
      <c r="P37" s="48">
        <v>0</v>
      </c>
      <c r="Q37" s="48">
        <v>28884</v>
      </c>
      <c r="R37" s="48">
        <v>21832</v>
      </c>
      <c r="S37" s="11">
        <f>(鋼床鈑!F37+鋼床鈑!N37+鋼床鈑!O37)*鋼床鈑!L37+(鋼床鈑!I37+鋼床鈑!N37+鋼床鈑!O37)*鋼床鈑!M37</f>
        <v>102240</v>
      </c>
      <c r="T37" s="11">
        <f>(鋼床鈑!K37)*鋼床鈑!N37+(鋼床鈑!K37)*鋼床鈑!O37</f>
        <v>179960</v>
      </c>
      <c r="U37" s="11">
        <f>4*((鋼床鈑!I37+鋼床鈑!N37/2+鋼床鈑!O37/2)*(鋼床鈑!K37+鋼床鈑!L37/2+鋼床鈑!M37/2))^2/((鋼床鈑!F37+鋼床鈑!N37/2+鋼床鈑!O37/2)/鋼床鈑!L37+(鋼床鈑!I37+鋼床鈑!N37/2+鋼床鈑!O37/2)/鋼床鈑!M37+(鋼床鈑!K37+鋼床鈑!L37/2+鋼床鈑!M37/2)/鋼床鈑!N37+(鋼床鈑!K37+鋼床鈑!L37/2+鋼床鈑!M37/2)/鋼床鈑!O37)</f>
        <v>844034672962.3512</v>
      </c>
      <c r="V37" s="12">
        <f t="shared" si="2"/>
        <v>0.32895814905261217</v>
      </c>
      <c r="W37" s="12">
        <f t="shared" si="3"/>
        <v>0.31400751054018744</v>
      </c>
      <c r="X37" s="12">
        <f t="shared" si="4"/>
        <v>0.8357768125732975</v>
      </c>
      <c r="Y37" s="12">
        <f t="shared" si="5"/>
        <v>0.54363306898204822</v>
      </c>
      <c r="Z37" s="12">
        <f t="shared" si="0"/>
        <v>1.5496768821353635</v>
      </c>
      <c r="AA37" s="12">
        <f t="shared" si="1"/>
        <v>1.8322777113877369</v>
      </c>
      <c r="AB37" s="10">
        <f t="shared" si="6"/>
        <v>4.5350000000000001</v>
      </c>
      <c r="AC37" s="10">
        <f t="shared" si="7"/>
        <v>6.6509999999999998</v>
      </c>
      <c r="AD37" s="10">
        <f t="shared" si="8"/>
        <v>0.444936</v>
      </c>
      <c r="AE37" s="12">
        <f t="shared" si="9"/>
        <v>0.84403467296235124</v>
      </c>
      <c r="AF37" s="12">
        <f t="shared" si="10"/>
        <v>0.17996000000000001</v>
      </c>
      <c r="AG37" s="12">
        <f t="shared" si="11"/>
        <v>0.10224</v>
      </c>
      <c r="AH37" s="10">
        <f t="shared" si="12"/>
        <v>1.0685131094659301</v>
      </c>
      <c r="AI37" s="10">
        <f t="shared" si="13"/>
        <v>1.4937576537203401</v>
      </c>
      <c r="AJ37" s="13">
        <f t="shared" si="14"/>
        <v>1.0685131094659301</v>
      </c>
      <c r="AK37" s="13">
        <f t="shared" si="15"/>
        <v>1.4937576537203401</v>
      </c>
    </row>
    <row r="38" spans="1:37">
      <c r="A38" s="8">
        <f>鋼床鈑!A38</f>
        <v>36</v>
      </c>
      <c r="B38" s="47" t="s">
        <v>41</v>
      </c>
      <c r="C38" s="47" t="s">
        <v>42</v>
      </c>
      <c r="D38" s="47" t="s">
        <v>122</v>
      </c>
      <c r="E38" s="48">
        <v>446760</v>
      </c>
      <c r="F38" s="49">
        <v>121874.2092</v>
      </c>
      <c r="G38" s="49">
        <v>157388.09529999999</v>
      </c>
      <c r="H38" s="49">
        <v>872272522314.698</v>
      </c>
      <c r="I38" s="49">
        <v>1534730498726.55</v>
      </c>
      <c r="J38" s="49">
        <v>1068020817049.65</v>
      </c>
      <c r="K38" s="49">
        <v>3380.5390000000002</v>
      </c>
      <c r="L38" s="49">
        <v>3244.4609999999998</v>
      </c>
      <c r="M38" s="49">
        <v>1813.2464</v>
      </c>
      <c r="N38" s="49">
        <v>2777.7536</v>
      </c>
      <c r="O38" s="48">
        <v>0</v>
      </c>
      <c r="P38" s="48">
        <v>0</v>
      </c>
      <c r="Q38" s="48">
        <v>28944</v>
      </c>
      <c r="R38" s="48">
        <v>21944</v>
      </c>
      <c r="S38" s="11">
        <f>(鋼床鈑!F38+鋼床鈑!N38+鋼床鈑!O38)*鋼床鈑!L38+(鋼床鈑!I38+鋼床鈑!N38+鋼床鈑!O38)*鋼床鈑!M38</f>
        <v>102240</v>
      </c>
      <c r="T38" s="11">
        <f>(鋼床鈑!K38)*鋼床鈑!N38+(鋼床鈑!K38)*鋼床鈑!O38</f>
        <v>182200</v>
      </c>
      <c r="U38" s="11">
        <f>4*((鋼床鈑!I38+鋼床鈑!N38/2+鋼床鈑!O38/2)*(鋼床鈑!K38+鋼床鈑!L38/2+鋼床鈑!M38/2))^2/((鋼床鈑!F38+鋼床鈑!N38/2+鋼床鈑!O38/2)/鋼床鈑!L38+(鋼床鈑!I38+鋼床鈑!N38/2+鋼床鈑!O38/2)/鋼床鈑!M38+(鋼床鈑!K38+鋼床鈑!L38/2+鋼床鈑!M38/2)/鋼床鈑!N38+(鋼床鈑!K38+鋼床鈑!L38/2+鋼床鈑!M38/2)/鋼床鈑!O38)</f>
        <v>858837803315.98999</v>
      </c>
      <c r="V38" s="12">
        <f t="shared" si="2"/>
        <v>0.32918281867146815</v>
      </c>
      <c r="W38" s="12">
        <f t="shared" si="3"/>
        <v>0.31593210936174676</v>
      </c>
      <c r="X38" s="12">
        <f t="shared" si="4"/>
        <v>0.84639930829398036</v>
      </c>
      <c r="Y38" s="12">
        <f t="shared" si="5"/>
        <v>0.55250778856934968</v>
      </c>
      <c r="Z38" s="12">
        <f t="shared" si="0"/>
        <v>1.5461538910464943</v>
      </c>
      <c r="AA38" s="12">
        <f t="shared" si="1"/>
        <v>1.853441660944338</v>
      </c>
      <c r="AB38" s="10">
        <f t="shared" si="6"/>
        <v>4.5910000000000002</v>
      </c>
      <c r="AC38" s="10">
        <f t="shared" si="7"/>
        <v>6.625</v>
      </c>
      <c r="AD38" s="10">
        <f t="shared" si="8"/>
        <v>0.44675999999999999</v>
      </c>
      <c r="AE38" s="12">
        <f t="shared" si="9"/>
        <v>0.85883780331599002</v>
      </c>
      <c r="AF38" s="12">
        <f t="shared" si="10"/>
        <v>0.1822</v>
      </c>
      <c r="AG38" s="12">
        <f t="shared" si="11"/>
        <v>0.10224</v>
      </c>
      <c r="AH38" s="10">
        <f t="shared" si="12"/>
        <v>1.0680208170496501</v>
      </c>
      <c r="AI38" s="10">
        <f t="shared" si="13"/>
        <v>1.53473049872655</v>
      </c>
      <c r="AJ38" s="13">
        <f t="shared" si="14"/>
        <v>1.0680208170496501</v>
      </c>
      <c r="AK38" s="13">
        <f t="shared" si="15"/>
        <v>1.53473049872655</v>
      </c>
    </row>
    <row r="39" spans="1:37">
      <c r="A39" s="8">
        <f>鋼床鈑!A39</f>
        <v>37</v>
      </c>
      <c r="B39" s="47" t="s">
        <v>41</v>
      </c>
      <c r="C39" s="47" t="s">
        <v>42</v>
      </c>
      <c r="D39" s="47" t="s">
        <v>123</v>
      </c>
      <c r="E39" s="48">
        <v>449344</v>
      </c>
      <c r="F39" s="49">
        <v>121306.3612</v>
      </c>
      <c r="G39" s="49">
        <v>160491.19709999999</v>
      </c>
      <c r="H39" s="49">
        <v>892946486851.80103</v>
      </c>
      <c r="I39" s="49">
        <v>1591043021888.79</v>
      </c>
      <c r="J39" s="49">
        <v>1068994398460.13</v>
      </c>
      <c r="K39" s="49">
        <v>3358.3903</v>
      </c>
      <c r="L39" s="49">
        <v>3240.6097</v>
      </c>
      <c r="M39" s="49">
        <v>1847.5669</v>
      </c>
      <c r="N39" s="49">
        <v>2818.4331000000002</v>
      </c>
      <c r="O39" s="48">
        <v>0</v>
      </c>
      <c r="P39" s="48">
        <v>0</v>
      </c>
      <c r="Q39" s="48">
        <v>29042</v>
      </c>
      <c r="R39" s="48">
        <v>22094</v>
      </c>
      <c r="S39" s="11">
        <f>(鋼床鈑!F39+鋼床鈑!N39+鋼床鈑!O39)*鋼床鈑!L39+(鋼床鈑!I39+鋼床鈑!N39+鋼床鈑!O39)*鋼床鈑!M39</f>
        <v>102240</v>
      </c>
      <c r="T39" s="11">
        <f>(鋼床鈑!K39)*鋼床鈑!N39+(鋼床鈑!K39)*鋼床鈑!O39</f>
        <v>185200</v>
      </c>
      <c r="U39" s="11">
        <f>4*((鋼床鈑!I39+鋼床鈑!N39/2+鋼床鈑!O39/2)*(鋼床鈑!K39+鋼床鈑!L39/2+鋼床鈑!M39/2))^2/((鋼床鈑!F39+鋼床鈑!N39/2+鋼床鈑!O39/2)/鋼床鈑!L39+(鋼床鈑!I39+鋼床鈑!N39/2+鋼床鈑!O39/2)/鋼床鈑!M39+(鋼床鈑!K39+鋼床鈑!L39/2+鋼床鈑!M39/2)/鋼床鈑!N39+(鋼床鈑!K39+鋼床鈑!L39/2+鋼床鈑!M39/2)/鋼床鈑!O39)</f>
        <v>878730956688.70276</v>
      </c>
      <c r="V39" s="12">
        <f t="shared" si="2"/>
        <v>0.32987446728315667</v>
      </c>
      <c r="W39" s="12">
        <f t="shared" si="3"/>
        <v>0.31830558778714019</v>
      </c>
      <c r="X39" s="12">
        <f t="shared" si="4"/>
        <v>0.86115583792326544</v>
      </c>
      <c r="Y39" s="12">
        <f t="shared" si="5"/>
        <v>0.5645133183713994</v>
      </c>
      <c r="Z39" s="12">
        <f t="shared" si="0"/>
        <v>1.542404349487045</v>
      </c>
      <c r="AA39" s="12">
        <f t="shared" si="1"/>
        <v>1.8817047797361317</v>
      </c>
      <c r="AB39" s="10">
        <f t="shared" si="6"/>
        <v>4.6660000000000004</v>
      </c>
      <c r="AC39" s="10">
        <f t="shared" si="7"/>
        <v>6.5990000000000002</v>
      </c>
      <c r="AD39" s="10">
        <f t="shared" si="8"/>
        <v>0.44934400000000002</v>
      </c>
      <c r="AE39" s="12">
        <f t="shared" si="9"/>
        <v>0.87873095668870271</v>
      </c>
      <c r="AF39" s="12">
        <f t="shared" si="10"/>
        <v>0.1852</v>
      </c>
      <c r="AG39" s="12">
        <f t="shared" si="11"/>
        <v>0.10224</v>
      </c>
      <c r="AH39" s="10">
        <f t="shared" si="12"/>
        <v>1.06899439846013</v>
      </c>
      <c r="AI39" s="10">
        <f t="shared" si="13"/>
        <v>1.5910430218887901</v>
      </c>
      <c r="AJ39" s="13">
        <f t="shared" si="14"/>
        <v>1.06899439846013</v>
      </c>
      <c r="AK39" s="13">
        <f t="shared" si="15"/>
        <v>1.5910430218887901</v>
      </c>
    </row>
    <row r="40" spans="1:37">
      <c r="A40" s="8">
        <f>鋼床鈑!A40</f>
        <v>38</v>
      </c>
      <c r="B40" s="47" t="s">
        <v>41</v>
      </c>
      <c r="C40" s="47" t="s">
        <v>42</v>
      </c>
      <c r="D40" s="47" t="s">
        <v>124</v>
      </c>
      <c r="E40" s="48">
        <v>451808</v>
      </c>
      <c r="F40" s="49">
        <v>120777.9719</v>
      </c>
      <c r="G40" s="49">
        <v>163385.32139999999</v>
      </c>
      <c r="H40" s="49">
        <v>912559386847.46704</v>
      </c>
      <c r="I40" s="49">
        <v>1646117323629.6399</v>
      </c>
      <c r="J40" s="49">
        <v>1069811738115.83</v>
      </c>
      <c r="K40" s="49">
        <v>3336.1426999999999</v>
      </c>
      <c r="L40" s="49">
        <v>3236.8573000000001</v>
      </c>
      <c r="M40" s="49">
        <v>1880.6828</v>
      </c>
      <c r="N40" s="49">
        <v>2857.3172</v>
      </c>
      <c r="O40" s="48">
        <v>0</v>
      </c>
      <c r="P40" s="48">
        <v>0</v>
      </c>
      <c r="Q40" s="48">
        <v>29134</v>
      </c>
      <c r="R40" s="48">
        <v>22238</v>
      </c>
      <c r="S40" s="11">
        <f>(鋼床鈑!F40+鋼床鈑!N40+鋼床鈑!O40)*鋼床鈑!L40+(鋼床鈑!I40+鋼床鈑!N40+鋼床鈑!O40)*鋼床鈑!M40</f>
        <v>102240</v>
      </c>
      <c r="T40" s="11">
        <f>(鋼床鈑!K40)*鋼床鈑!N40+(鋼床鈑!K40)*鋼床鈑!O40</f>
        <v>188080</v>
      </c>
      <c r="U40" s="11">
        <f>4*((鋼床鈑!I40+鋼床鈑!N40/2+鋼床鈑!O40/2)*(鋼床鈑!K40+鋼床鈑!L40/2+鋼床鈑!M40/2))^2/((鋼床鈑!F40+鋼床鈑!N40/2+鋼床鈑!O40/2)/鋼床鈑!L40+(鋼床鈑!I40+鋼床鈑!N40/2+鋼床鈑!O40/2)/鋼床鈑!M40+(鋼床鈑!K40+鋼床鈑!L40/2+鋼床鈑!M40/2)/鋼床鈑!N40+(鋼床鈑!K40+鋼床鈑!L40/2+鋼床鈑!M40/2)/鋼床鈑!O40)</f>
        <v>897899262134.93823</v>
      </c>
      <c r="V40" s="12">
        <f t="shared" si="2"/>
        <v>0.33050939196974483</v>
      </c>
      <c r="W40" s="12">
        <f t="shared" si="3"/>
        <v>0.32067325480886349</v>
      </c>
      <c r="X40" s="12">
        <f t="shared" si="4"/>
        <v>0.8752764281300599</v>
      </c>
      <c r="Y40" s="12">
        <f t="shared" si="5"/>
        <v>0.57610590928778926</v>
      </c>
      <c r="Z40" s="12">
        <f t="shared" si="0"/>
        <v>1.5387806663846868</v>
      </c>
      <c r="AA40" s="12">
        <f t="shared" si="1"/>
        <v>1.9087692696859382</v>
      </c>
      <c r="AB40" s="10">
        <f t="shared" si="6"/>
        <v>4.7380000000000004</v>
      </c>
      <c r="AC40" s="10">
        <f t="shared" si="7"/>
        <v>6.5730000000000004</v>
      </c>
      <c r="AD40" s="10">
        <f t="shared" si="8"/>
        <v>0.45180799999999999</v>
      </c>
      <c r="AE40" s="12">
        <f t="shared" si="9"/>
        <v>0.8978992621349382</v>
      </c>
      <c r="AF40" s="12">
        <f t="shared" si="10"/>
        <v>0.18808</v>
      </c>
      <c r="AG40" s="12">
        <f t="shared" si="11"/>
        <v>0.10224</v>
      </c>
      <c r="AH40" s="10">
        <f t="shared" si="12"/>
        <v>1.0698117381158299</v>
      </c>
      <c r="AI40" s="10">
        <f t="shared" si="13"/>
        <v>1.6461173236296398</v>
      </c>
      <c r="AJ40" s="13">
        <f t="shared" si="14"/>
        <v>1.0698117381158299</v>
      </c>
      <c r="AK40" s="13">
        <f t="shared" si="15"/>
        <v>1.6461173236296398</v>
      </c>
    </row>
    <row r="41" spans="1:37">
      <c r="A41" s="8">
        <f>鋼床鈑!A41</f>
        <v>39</v>
      </c>
      <c r="B41" s="47" t="s">
        <v>41</v>
      </c>
      <c r="C41" s="47" t="s">
        <v>42</v>
      </c>
      <c r="D41" s="47" t="s">
        <v>125</v>
      </c>
      <c r="E41" s="48">
        <v>454432</v>
      </c>
      <c r="F41" s="49">
        <v>120243.08130000001</v>
      </c>
      <c r="G41" s="49">
        <v>166613.64000000001</v>
      </c>
      <c r="H41" s="49">
        <v>933869459459.20996</v>
      </c>
      <c r="I41" s="49">
        <v>1705476413861.71</v>
      </c>
      <c r="J41" s="49">
        <v>1070986549486.29</v>
      </c>
      <c r="K41" s="49">
        <v>3313.8676999999998</v>
      </c>
      <c r="L41" s="49">
        <v>3233.1323000000002</v>
      </c>
      <c r="M41" s="49">
        <v>1915.6469</v>
      </c>
      <c r="N41" s="49">
        <v>2898.3530999999998</v>
      </c>
      <c r="O41" s="48">
        <v>0</v>
      </c>
      <c r="P41" s="48">
        <v>0</v>
      </c>
      <c r="Q41" s="48">
        <v>29234</v>
      </c>
      <c r="R41" s="48">
        <v>22390</v>
      </c>
      <c r="S41" s="11">
        <f>(鋼床鈑!F41+鋼床鈑!N41+鋼床鈑!O41)*鋼床鈑!L41+(鋼床鈑!I41+鋼床鈑!N41+鋼床鈑!O41)*鋼床鈑!M41</f>
        <v>102240</v>
      </c>
      <c r="T41" s="11">
        <f>(鋼床鈑!K41)*鋼床鈑!N41+(鋼床鈑!K41)*鋼床鈑!O41</f>
        <v>191120</v>
      </c>
      <c r="U41" s="11">
        <f>4*((鋼床鈑!I41+鋼床鈑!N41/2+鋼床鈑!O41/2)*(鋼床鈑!K41+鋼床鈑!L41/2+鋼床鈑!M41/2))^2/((鋼床鈑!F41+鋼床鈑!N41/2+鋼床鈑!O41/2)/鋼床鈑!L41+(鋼床鈑!I41+鋼床鈑!N41/2+鋼床鈑!O41/2)/鋼床鈑!M41+(鋼床鈑!K41+鋼床鈑!L41/2+鋼床鈑!M41/2)/鋼床鈑!N41+(鋼床鈑!K41+鋼床鈑!L41/2+鋼床鈑!M41/2)/鋼床鈑!O41)</f>
        <v>918205690297.54675</v>
      </c>
      <c r="V41" s="12">
        <f t="shared" si="2"/>
        <v>0.33125354922416567</v>
      </c>
      <c r="W41" s="12">
        <f t="shared" si="3"/>
        <v>0.32318325486750421</v>
      </c>
      <c r="X41" s="12">
        <f t="shared" si="4"/>
        <v>0.8902874605240193</v>
      </c>
      <c r="Y41" s="12">
        <f t="shared" si="5"/>
        <v>0.58842948219860103</v>
      </c>
      <c r="Z41" s="12">
        <f t="shared" si="0"/>
        <v>1.5351738194192648</v>
      </c>
      <c r="AA41" s="12">
        <f t="shared" si="1"/>
        <v>1.937262206185755</v>
      </c>
      <c r="AB41" s="10">
        <f t="shared" si="6"/>
        <v>4.8140000000000001</v>
      </c>
      <c r="AC41" s="10">
        <f t="shared" si="7"/>
        <v>6.5469999999999997</v>
      </c>
      <c r="AD41" s="10">
        <f t="shared" si="8"/>
        <v>0.454432</v>
      </c>
      <c r="AE41" s="12">
        <f t="shared" si="9"/>
        <v>0.91820569029754673</v>
      </c>
      <c r="AF41" s="12">
        <f t="shared" si="10"/>
        <v>0.19112000000000001</v>
      </c>
      <c r="AG41" s="12">
        <f t="shared" si="11"/>
        <v>0.10224</v>
      </c>
      <c r="AH41" s="10">
        <f t="shared" si="12"/>
        <v>1.07098654948629</v>
      </c>
      <c r="AI41" s="10">
        <f t="shared" si="13"/>
        <v>1.70547641386171</v>
      </c>
      <c r="AJ41" s="13">
        <f t="shared" si="14"/>
        <v>1.07098654948629</v>
      </c>
      <c r="AK41" s="13">
        <f t="shared" si="15"/>
        <v>1.70547641386171</v>
      </c>
    </row>
    <row r="42" spans="1:37">
      <c r="A42" s="8">
        <f>鋼床鈑!A42</f>
        <v>40</v>
      </c>
      <c r="B42" s="47" t="s">
        <v>41</v>
      </c>
      <c r="C42" s="47" t="s">
        <v>42</v>
      </c>
      <c r="D42" s="47" t="s">
        <v>126</v>
      </c>
      <c r="E42" s="48">
        <v>456696</v>
      </c>
      <c r="F42" s="49">
        <v>119569.69190000001</v>
      </c>
      <c r="G42" s="49">
        <v>169338.58439999999</v>
      </c>
      <c r="H42" s="49">
        <v>951982839523.28796</v>
      </c>
      <c r="I42" s="49">
        <v>1758602516329.1299</v>
      </c>
      <c r="J42" s="49">
        <v>1071526215879.78</v>
      </c>
      <c r="K42" s="49">
        <v>3291.4558000000002</v>
      </c>
      <c r="L42" s="49">
        <v>3229.5441999999998</v>
      </c>
      <c r="M42" s="49">
        <v>1946.7660000000001</v>
      </c>
      <c r="N42" s="49">
        <v>2934.2339999999999</v>
      </c>
      <c r="O42" s="48">
        <v>0</v>
      </c>
      <c r="P42" s="48">
        <v>0</v>
      </c>
      <c r="Q42" s="48">
        <v>29316</v>
      </c>
      <c r="R42" s="48">
        <v>22524</v>
      </c>
      <c r="S42" s="11">
        <f>(鋼床鈑!F42+鋼床鈑!N42+鋼床鈑!O42)*鋼床鈑!L42+(鋼床鈑!I42+鋼床鈑!N42+鋼床鈑!O42)*鋼床鈑!M42</f>
        <v>102240</v>
      </c>
      <c r="T42" s="11">
        <f>(鋼床鈑!K42)*鋼床鈑!N42+(鋼床鈑!K42)*鋼床鈑!O42</f>
        <v>193800</v>
      </c>
      <c r="U42" s="11">
        <f>4*((鋼床鈑!I42+鋼床鈑!N42/2+鋼床鈑!O42/2)*(鋼床鈑!K42+鋼床鈑!L42/2+鋼床鈑!M42/2))^2/((鋼床鈑!F42+鋼床鈑!N42/2+鋼床鈑!O42/2)/鋼床鈑!L42+(鋼床鈑!I42+鋼床鈑!N42/2+鋼床鈑!O42/2)/鋼床鈑!M42+(鋼床鈑!K42+鋼床鈑!L42/2+鋼床鈑!M42/2)/鋼床鈑!N42+(鋼床鈑!K42+鋼床鈑!L42/2+鋼床鈑!M42/2)/鋼床鈑!O42)</f>
        <v>936168107003.17346</v>
      </c>
      <c r="V42" s="12">
        <f t="shared" si="2"/>
        <v>0.33178868271249551</v>
      </c>
      <c r="W42" s="12">
        <f t="shared" si="3"/>
        <v>0.32554780649941584</v>
      </c>
      <c r="X42" s="12">
        <f t="shared" si="4"/>
        <v>0.90334560821851717</v>
      </c>
      <c r="Y42" s="12">
        <f t="shared" si="5"/>
        <v>0.59933956062438443</v>
      </c>
      <c r="Z42" s="12">
        <f t="shared" si="0"/>
        <v>1.5317496739077852</v>
      </c>
      <c r="AA42" s="12">
        <f t="shared" si="1"/>
        <v>1.96232185704372</v>
      </c>
      <c r="AB42" s="10">
        <f t="shared" si="6"/>
        <v>4.8810000000000002</v>
      </c>
      <c r="AC42" s="10">
        <f t="shared" si="7"/>
        <v>6.5209999999999999</v>
      </c>
      <c r="AD42" s="10">
        <f t="shared" si="8"/>
        <v>0.45669599999999999</v>
      </c>
      <c r="AE42" s="12">
        <f t="shared" si="9"/>
        <v>0.93616810700317343</v>
      </c>
      <c r="AF42" s="12">
        <f t="shared" si="10"/>
        <v>0.1938</v>
      </c>
      <c r="AG42" s="12">
        <f t="shared" si="11"/>
        <v>0.10224</v>
      </c>
      <c r="AH42" s="10">
        <f t="shared" si="12"/>
        <v>1.07152621587978</v>
      </c>
      <c r="AI42" s="10">
        <f t="shared" si="13"/>
        <v>1.7586025163291299</v>
      </c>
      <c r="AJ42" s="13">
        <f t="shared" si="14"/>
        <v>1.07152621587978</v>
      </c>
      <c r="AK42" s="13">
        <f t="shared" si="15"/>
        <v>1.7586025163291299</v>
      </c>
    </row>
    <row r="43" spans="1:37">
      <c r="A43" s="8">
        <f>鋼床鈑!A43</f>
        <v>41</v>
      </c>
      <c r="B43" s="47" t="s">
        <v>41</v>
      </c>
      <c r="C43" s="47" t="s">
        <v>42</v>
      </c>
      <c r="D43" s="47" t="s">
        <v>127</v>
      </c>
      <c r="E43" s="48">
        <v>453136</v>
      </c>
      <c r="F43" s="49">
        <v>118074.33010000001</v>
      </c>
      <c r="G43" s="49">
        <v>169720.9265</v>
      </c>
      <c r="H43" s="49">
        <v>951646119720.48901</v>
      </c>
      <c r="I43" s="49">
        <v>1746939409248.0801</v>
      </c>
      <c r="J43" s="49">
        <v>1036139685071.4301</v>
      </c>
      <c r="K43" s="49">
        <v>3316.1282999999999</v>
      </c>
      <c r="L43" s="49">
        <v>3204.8717000000001</v>
      </c>
      <c r="M43" s="49">
        <v>1960.9203</v>
      </c>
      <c r="N43" s="49">
        <v>2920.0796999999998</v>
      </c>
      <c r="O43" s="48">
        <v>0</v>
      </c>
      <c r="P43" s="48">
        <v>0</v>
      </c>
      <c r="Q43" s="48">
        <v>28790</v>
      </c>
      <c r="R43" s="48">
        <v>22524</v>
      </c>
      <c r="S43" s="11">
        <f>(鋼床鈑!F43+鋼床鈑!N43+鋼床鈑!O43)*鋼床鈑!L43+(鋼床鈑!I43+鋼床鈑!N43+鋼床鈑!O43)*鋼床鈑!M43</f>
        <v>102240</v>
      </c>
      <c r="T43" s="11">
        <f>(鋼床鈑!K43)*鋼床鈑!N43+(鋼床鈑!K43)*鋼床鈑!O43</f>
        <v>193800</v>
      </c>
      <c r="U43" s="11">
        <f>4*((鋼床鈑!I43+鋼床鈑!N43/2+鋼床鈑!O43/2)*(鋼床鈑!K43+鋼床鈑!L43/2+鋼床鈑!M43/2))^2/((鋼床鈑!F43+鋼床鈑!N43/2+鋼床鈑!O43/2)/鋼床鈑!L43+(鋼床鈑!I43+鋼床鈑!N43/2+鋼床鈑!O43/2)/鋼床鈑!M43+(鋼床鈑!K43+鋼床鈑!L43/2+鋼床鈑!M43/2)/鋼床鈑!N43+(鋼床鈑!K43+鋼床鈑!L43/2+鋼床鈑!M43/2)/鋼床鈑!O43)</f>
        <v>936168107003.17346</v>
      </c>
      <c r="V43" s="12">
        <f t="shared" si="2"/>
        <v>0.32330145542844352</v>
      </c>
      <c r="W43" s="12">
        <f t="shared" si="3"/>
        <v>0.31245464328730282</v>
      </c>
      <c r="X43" s="12">
        <f t="shared" si="4"/>
        <v>0.8908773137021837</v>
      </c>
      <c r="Y43" s="12">
        <f t="shared" si="5"/>
        <v>0.59825059201229347</v>
      </c>
      <c r="Z43" s="12">
        <f t="shared" si="0"/>
        <v>1.5121499889101597</v>
      </c>
      <c r="AA43" s="12">
        <f t="shared" si="1"/>
        <v>1.963471662522301</v>
      </c>
      <c r="AB43" s="10">
        <f t="shared" si="6"/>
        <v>4.8810000000000002</v>
      </c>
      <c r="AC43" s="10">
        <f t="shared" si="7"/>
        <v>6.5209999999999999</v>
      </c>
      <c r="AD43" s="10">
        <f t="shared" si="8"/>
        <v>0.45313599999999998</v>
      </c>
      <c r="AE43" s="12">
        <f t="shared" si="9"/>
        <v>0.93616810700317343</v>
      </c>
      <c r="AF43" s="12">
        <f t="shared" si="10"/>
        <v>0.1938</v>
      </c>
      <c r="AG43" s="12">
        <f t="shared" si="11"/>
        <v>0.10224</v>
      </c>
      <c r="AH43" s="10">
        <f t="shared" si="12"/>
        <v>1.03613968507143</v>
      </c>
      <c r="AI43" s="10">
        <f t="shared" si="13"/>
        <v>1.7469394092480801</v>
      </c>
      <c r="AJ43" s="13">
        <f t="shared" si="14"/>
        <v>1.03613968507143</v>
      </c>
      <c r="AK43" s="13">
        <f t="shared" si="15"/>
        <v>1.7469394092480801</v>
      </c>
    </row>
    <row r="44" spans="1:37">
      <c r="A44" s="8">
        <f>鋼床鈑!A44</f>
        <v>42</v>
      </c>
      <c r="B44" s="47" t="s">
        <v>41</v>
      </c>
      <c r="C44" s="47" t="s">
        <v>42</v>
      </c>
      <c r="D44" s="47" t="s">
        <v>128</v>
      </c>
      <c r="E44" s="48">
        <v>456520</v>
      </c>
      <c r="F44" s="49">
        <v>117355.07520000001</v>
      </c>
      <c r="G44" s="49">
        <v>173716.5423</v>
      </c>
      <c r="H44" s="49">
        <v>978249886368.34497</v>
      </c>
      <c r="I44" s="49">
        <v>1823946333116.27</v>
      </c>
      <c r="J44" s="49">
        <v>1039161690070.12</v>
      </c>
      <c r="K44" s="49">
        <v>3293.5949999999998</v>
      </c>
      <c r="L44" s="49">
        <v>3201.4050000000002</v>
      </c>
      <c r="M44" s="49">
        <v>2004.6735000000001</v>
      </c>
      <c r="N44" s="49">
        <v>2971.3265000000001</v>
      </c>
      <c r="O44" s="48">
        <v>0</v>
      </c>
      <c r="P44" s="48">
        <v>0</v>
      </c>
      <c r="Q44" s="48">
        <v>28928</v>
      </c>
      <c r="R44" s="48">
        <v>22714</v>
      </c>
      <c r="S44" s="11">
        <f>(鋼床鈑!F44+鋼床鈑!N44+鋼床鈑!O44)*鋼床鈑!L44+(鋼床鈑!I44+鋼床鈑!N44+鋼床鈑!O44)*鋼床鈑!M44</f>
        <v>102240</v>
      </c>
      <c r="T44" s="11">
        <f>(鋼床鈑!K44)*鋼床鈑!N44+(鋼床鈑!K44)*鋼床鈑!O44</f>
        <v>197600</v>
      </c>
      <c r="U44" s="11">
        <f>4*((鋼床鈑!I44+鋼床鈑!N44/2+鋼床鈑!O44/2)*(鋼床鈑!K44+鋼床鈑!L44/2+鋼床鈑!M44/2))^2/((鋼床鈑!F44+鋼床鈑!N44/2+鋼床鈑!O44/2)/鋼床鈑!L44+(鋼床鈑!I44+鋼床鈑!N44/2+鋼床鈑!O44/2)/鋼床鈑!M44+(鋼床鈑!K44+鋼床鈑!L44/2+鋼床鈑!M44/2)/鋼床鈑!N44+(鋼床鈑!K44+鋼床鈑!L44/2+鋼床鈑!M44/2)/鋼床鈑!O44)</f>
        <v>961731849375.06921</v>
      </c>
      <c r="V44" s="12">
        <f t="shared" si="2"/>
        <v>0.32459551043061402</v>
      </c>
      <c r="W44" s="12">
        <f t="shared" si="3"/>
        <v>0.31550985779068769</v>
      </c>
      <c r="X44" s="12">
        <f t="shared" si="4"/>
        <v>0.90984708139069526</v>
      </c>
      <c r="Y44" s="12">
        <f t="shared" si="5"/>
        <v>0.61384917918521242</v>
      </c>
      <c r="Z44" s="12">
        <f t="shared" si="0"/>
        <v>1.50873046355181</v>
      </c>
      <c r="AA44" s="12">
        <f t="shared" si="1"/>
        <v>1.998831217408805</v>
      </c>
      <c r="AB44" s="10">
        <f t="shared" si="6"/>
        <v>4.976</v>
      </c>
      <c r="AC44" s="10">
        <f t="shared" si="7"/>
        <v>6.4950000000000001</v>
      </c>
      <c r="AD44" s="10">
        <f t="shared" si="8"/>
        <v>0.45651999999999998</v>
      </c>
      <c r="AE44" s="12">
        <f t="shared" si="9"/>
        <v>0.96173184937506917</v>
      </c>
      <c r="AF44" s="12">
        <f t="shared" si="10"/>
        <v>0.1976</v>
      </c>
      <c r="AG44" s="12">
        <f t="shared" si="11"/>
        <v>0.10224</v>
      </c>
      <c r="AH44" s="10">
        <f t="shared" si="12"/>
        <v>1.0391616900701199</v>
      </c>
      <c r="AI44" s="10">
        <f t="shared" si="13"/>
        <v>1.82394633311627</v>
      </c>
      <c r="AJ44" s="13">
        <f t="shared" si="14"/>
        <v>1.0391616900701199</v>
      </c>
      <c r="AK44" s="13">
        <f t="shared" si="15"/>
        <v>1.82394633311627</v>
      </c>
    </row>
    <row r="45" spans="1:37">
      <c r="A45" s="8">
        <f>鋼床鈑!A45</f>
        <v>43</v>
      </c>
      <c r="B45" s="47" t="s">
        <v>41</v>
      </c>
      <c r="C45" s="47" t="s">
        <v>42</v>
      </c>
      <c r="D45" s="47" t="s">
        <v>129</v>
      </c>
      <c r="E45" s="48">
        <v>459584</v>
      </c>
      <c r="F45" s="49">
        <v>116492.4313</v>
      </c>
      <c r="G45" s="49">
        <v>177065.0539</v>
      </c>
      <c r="H45" s="49">
        <v>1001089745764.42</v>
      </c>
      <c r="I45" s="49">
        <v>1895980667265.1699</v>
      </c>
      <c r="J45" s="49">
        <v>1041607263508.46</v>
      </c>
      <c r="K45" s="49">
        <v>3270.9537</v>
      </c>
      <c r="L45" s="49">
        <v>3198.0463</v>
      </c>
      <c r="M45" s="49">
        <v>2045.0213000000001</v>
      </c>
      <c r="N45" s="49">
        <v>3017.9787000000001</v>
      </c>
      <c r="O45" s="48">
        <v>0</v>
      </c>
      <c r="P45" s="48">
        <v>0</v>
      </c>
      <c r="Q45" s="48">
        <v>29050</v>
      </c>
      <c r="R45" s="48">
        <v>22888</v>
      </c>
      <c r="S45" s="11">
        <f>(鋼床鈑!F45+鋼床鈑!N45+鋼床鈑!O45)*鋼床鈑!L45+(鋼床鈑!I45+鋼床鈑!N45+鋼床鈑!O45)*鋼床鈑!M45</f>
        <v>102240</v>
      </c>
      <c r="T45" s="11">
        <f>(鋼床鈑!K45)*鋼床鈑!N45+(鋼床鈑!K45)*鋼床鈑!O45</f>
        <v>201080</v>
      </c>
      <c r="U45" s="11">
        <f>4*((鋼床鈑!I45+鋼床鈑!N45/2+鋼床鈑!O45/2)*(鋼床鈑!K45+鋼床鈑!L45/2+鋼床鈑!M45/2))^2/((鋼床鈑!F45+鋼床鈑!N45/2+鋼床鈑!O45/2)/鋼床鈑!L45+(鋼床鈑!I45+鋼床鈑!N45/2+鋼床鈑!O45/2)/鋼床鈑!M45+(鋼床鈑!K45+鋼床鈑!L45/2+鋼床鈑!M45/2)/鋼床鈑!N45+(鋼床鈑!K45+鋼床鈑!L45/2+鋼床鈑!M45/2)/鋼床鈑!O45)</f>
        <v>985237279513.23401</v>
      </c>
      <c r="V45" s="12">
        <f t="shared" si="2"/>
        <v>0.3257011205586548</v>
      </c>
      <c r="W45" s="12">
        <f t="shared" si="3"/>
        <v>0.31844145745886276</v>
      </c>
      <c r="X45" s="12">
        <f t="shared" si="4"/>
        <v>0.92712025408496712</v>
      </c>
      <c r="Y45" s="12">
        <f t="shared" si="5"/>
        <v>0.62822864431255598</v>
      </c>
      <c r="Z45" s="12">
        <f t="shared" si="0"/>
        <v>1.505461139389306</v>
      </c>
      <c r="AA45" s="12">
        <f t="shared" si="1"/>
        <v>2.0311149461627211</v>
      </c>
      <c r="AB45" s="10">
        <f t="shared" si="6"/>
        <v>5.0629999999999997</v>
      </c>
      <c r="AC45" s="10">
        <f t="shared" si="7"/>
        <v>6.4690000000000003</v>
      </c>
      <c r="AD45" s="10">
        <f t="shared" si="8"/>
        <v>0.45958399999999999</v>
      </c>
      <c r="AE45" s="12">
        <f t="shared" si="9"/>
        <v>0.98523727951323403</v>
      </c>
      <c r="AF45" s="12">
        <f t="shared" si="10"/>
        <v>0.20108000000000001</v>
      </c>
      <c r="AG45" s="12">
        <f t="shared" si="11"/>
        <v>0.10224</v>
      </c>
      <c r="AH45" s="10">
        <f t="shared" si="12"/>
        <v>1.0416072635084599</v>
      </c>
      <c r="AI45" s="10">
        <f t="shared" si="13"/>
        <v>1.89598066726517</v>
      </c>
      <c r="AJ45" s="13">
        <f t="shared" si="14"/>
        <v>1.0416072635084599</v>
      </c>
      <c r="AK45" s="13">
        <f t="shared" si="15"/>
        <v>1.89598066726517</v>
      </c>
    </row>
    <row r="46" spans="1:37">
      <c r="A46" s="8">
        <f>鋼床鈑!A46</f>
        <v>44</v>
      </c>
      <c r="B46" s="47" t="s">
        <v>41</v>
      </c>
      <c r="C46" s="47" t="s">
        <v>42</v>
      </c>
      <c r="D46" s="47" t="s">
        <v>130</v>
      </c>
      <c r="E46" s="48">
        <v>462808</v>
      </c>
      <c r="F46" s="49">
        <v>115762.1511</v>
      </c>
      <c r="G46" s="49">
        <v>180669.43299999999</v>
      </c>
      <c r="H46" s="49">
        <v>1026015838783.4</v>
      </c>
      <c r="I46" s="49">
        <v>1973103678898.52</v>
      </c>
      <c r="J46" s="49">
        <v>1044431855540.6801</v>
      </c>
      <c r="K46" s="49">
        <v>3248.2601</v>
      </c>
      <c r="L46" s="49">
        <v>3194.7399</v>
      </c>
      <c r="M46" s="49">
        <v>2087.2667000000001</v>
      </c>
      <c r="N46" s="49">
        <v>3066.7332999999999</v>
      </c>
      <c r="O46" s="48">
        <v>0</v>
      </c>
      <c r="P46" s="48">
        <v>0</v>
      </c>
      <c r="Q46" s="48">
        <v>29180</v>
      </c>
      <c r="R46" s="48">
        <v>23070</v>
      </c>
      <c r="S46" s="11">
        <f>(鋼床鈑!F46+鋼床鈑!N46+鋼床鈑!O46)*鋼床鈑!L46+(鋼床鈑!I46+鋼床鈑!N46+鋼床鈑!O46)*鋼床鈑!M46</f>
        <v>102240</v>
      </c>
      <c r="T46" s="11">
        <f>(鋼床鈑!K46)*鋼床鈑!N46+(鋼床鈑!K46)*鋼床鈑!O46</f>
        <v>204720</v>
      </c>
      <c r="U46" s="11">
        <f>4*((鋼床鈑!I46+鋼床鈑!N46/2+鋼床鈑!O46/2)*(鋼床鈑!K46+鋼床鈑!L46/2+鋼床鈑!M46/2))^2/((鋼床鈑!F46+鋼床鈑!N46/2+鋼床鈑!O46/2)/鋼床鈑!L46+(鋼床鈑!I46+鋼床鈑!N46/2+鋼床鈑!O46/2)/鋼床鈑!M46+(鋼床鈑!K46+鋼床鈑!L46/2+鋼床鈑!M46/2)/鋼床鈑!N46+(鋼床鈑!K46+鋼床鈑!L46/2+鋼床鈑!M46/2)/鋼床鈑!O46)</f>
        <v>1009916839816.5735</v>
      </c>
      <c r="V46" s="12">
        <f t="shared" si="2"/>
        <v>0.32692234367520184</v>
      </c>
      <c r="W46" s="12">
        <f t="shared" si="3"/>
        <v>0.32153578327692417</v>
      </c>
      <c r="X46" s="12">
        <f t="shared" si="4"/>
        <v>0.94530501487831908</v>
      </c>
      <c r="Y46" s="12">
        <f t="shared" si="5"/>
        <v>0.64338939382127569</v>
      </c>
      <c r="Z46" s="12">
        <f t="shared" si="0"/>
        <v>1.5022410525692229</v>
      </c>
      <c r="AA46" s="12">
        <f t="shared" si="1"/>
        <v>2.0647835161494776</v>
      </c>
      <c r="AB46" s="10">
        <f t="shared" si="6"/>
        <v>5.1539999999999999</v>
      </c>
      <c r="AC46" s="10">
        <f t="shared" si="7"/>
        <v>6.4429999999999996</v>
      </c>
      <c r="AD46" s="10">
        <f t="shared" si="8"/>
        <v>0.462808</v>
      </c>
      <c r="AE46" s="12">
        <f t="shared" si="9"/>
        <v>1.0099168398165734</v>
      </c>
      <c r="AF46" s="12">
        <f t="shared" si="10"/>
        <v>0.20472000000000001</v>
      </c>
      <c r="AG46" s="12">
        <f t="shared" si="11"/>
        <v>0.10224</v>
      </c>
      <c r="AH46" s="10">
        <f t="shared" si="12"/>
        <v>1.04443185554068</v>
      </c>
      <c r="AI46" s="10">
        <f t="shared" si="13"/>
        <v>1.9731036788985201</v>
      </c>
      <c r="AJ46" s="13">
        <f t="shared" si="14"/>
        <v>1.04443185554068</v>
      </c>
      <c r="AK46" s="13">
        <f t="shared" si="15"/>
        <v>1.9731036788985201</v>
      </c>
    </row>
    <row r="47" spans="1:37">
      <c r="A47" s="8">
        <f>鋼床鈑!A47</f>
        <v>45</v>
      </c>
      <c r="B47" s="47" t="s">
        <v>41</v>
      </c>
      <c r="C47" s="47" t="s">
        <v>42</v>
      </c>
      <c r="D47" s="47" t="s">
        <v>131</v>
      </c>
      <c r="E47" s="48">
        <v>466040</v>
      </c>
      <c r="F47" s="49">
        <v>115369.2818</v>
      </c>
      <c r="G47" s="49">
        <v>183799.899</v>
      </c>
      <c r="H47" s="49">
        <v>1047462918965.53</v>
      </c>
      <c r="I47" s="49">
        <v>2042696159991.6699</v>
      </c>
      <c r="J47" s="49">
        <v>1051825250614.26</v>
      </c>
      <c r="K47" s="49">
        <v>3254.7781</v>
      </c>
      <c r="L47" s="49">
        <v>3195.2219</v>
      </c>
      <c r="M47" s="49">
        <v>2121.4504000000002</v>
      </c>
      <c r="N47" s="49">
        <v>3110.5495999999998</v>
      </c>
      <c r="O47" s="48">
        <v>0</v>
      </c>
      <c r="P47" s="48">
        <v>0</v>
      </c>
      <c r="Q47" s="48">
        <v>29350</v>
      </c>
      <c r="R47" s="48">
        <v>23226</v>
      </c>
      <c r="S47" s="11">
        <f>(鋼床鈑!F47+鋼床鈑!N47+鋼床鈑!O47)*鋼床鈑!L47+(鋼床鈑!I47+鋼床鈑!N47+鋼床鈑!O47)*鋼床鈑!M47</f>
        <v>102240</v>
      </c>
      <c r="T47" s="11">
        <f>(鋼床鈑!K47)*鋼床鈑!N47+(鋼床鈑!K47)*鋼床鈑!O47</f>
        <v>207840</v>
      </c>
      <c r="U47" s="11">
        <f>4*((鋼床鈑!I47+鋼床鈑!N47/2+鋼床鈑!O47/2)*(鋼床鈑!K47+鋼床鈑!L47/2+鋼床鈑!M47/2))^2/((鋼床鈑!F47+鋼床鈑!N47/2+鋼床鈑!O47/2)/鋼床鈑!L47+(鋼床鈑!I47+鋼床鈑!N47/2+鋼床鈑!O47/2)/鋼床鈑!M47+(鋼床鈑!K47+鋼床鈑!L47/2+鋼床鈑!M47/2)/鋼床鈑!N47+(鋼床鈑!K47+鋼床鈑!L47/2+鋼床鈑!M47/2)/鋼床鈑!O47)</f>
        <v>1031144454112.681</v>
      </c>
      <c r="V47" s="12">
        <f t="shared" si="2"/>
        <v>0.32918691832146618</v>
      </c>
      <c r="W47" s="12">
        <f t="shared" si="3"/>
        <v>0.32316342874933934</v>
      </c>
      <c r="X47" s="12">
        <f t="shared" si="4"/>
        <v>0.96287717119932192</v>
      </c>
      <c r="Y47" s="12">
        <f t="shared" si="5"/>
        <v>0.65669943343506565</v>
      </c>
      <c r="Z47" s="12">
        <f t="shared" si="0"/>
        <v>1.5023122185500182</v>
      </c>
      <c r="AA47" s="12">
        <f t="shared" si="1"/>
        <v>2.0935835124069384</v>
      </c>
      <c r="AB47" s="10">
        <f t="shared" si="6"/>
        <v>5.2320000000000002</v>
      </c>
      <c r="AC47" s="10">
        <f t="shared" si="7"/>
        <v>6.45</v>
      </c>
      <c r="AD47" s="10">
        <f t="shared" si="8"/>
        <v>0.46604000000000001</v>
      </c>
      <c r="AE47" s="12">
        <f t="shared" si="9"/>
        <v>1.0311444541126811</v>
      </c>
      <c r="AF47" s="12">
        <f t="shared" si="10"/>
        <v>0.20784</v>
      </c>
      <c r="AG47" s="12">
        <f t="shared" si="11"/>
        <v>0.10224</v>
      </c>
      <c r="AH47" s="10">
        <f t="shared" si="12"/>
        <v>1.05182525061426</v>
      </c>
      <c r="AI47" s="10">
        <f t="shared" si="13"/>
        <v>2.04269615999167</v>
      </c>
      <c r="AJ47" s="13">
        <f t="shared" si="14"/>
        <v>1.05182525061426</v>
      </c>
      <c r="AK47" s="13">
        <f t="shared" si="15"/>
        <v>2.04269615999167</v>
      </c>
    </row>
    <row r="48" spans="1:37">
      <c r="A48" s="8">
        <f>鋼床鈑!A48</f>
        <v>46</v>
      </c>
      <c r="B48" s="47" t="s">
        <v>41</v>
      </c>
      <c r="C48" s="47" t="s">
        <v>42</v>
      </c>
      <c r="D48" s="47" t="s">
        <v>132</v>
      </c>
      <c r="E48" s="48">
        <v>470680</v>
      </c>
      <c r="F48" s="49">
        <v>114726.87149999999</v>
      </c>
      <c r="G48" s="49">
        <v>188414.5736</v>
      </c>
      <c r="H48" s="49">
        <v>1079424650079.96</v>
      </c>
      <c r="I48" s="49">
        <v>2148065977515.6201</v>
      </c>
      <c r="J48" s="49">
        <v>1061059584619.86</v>
      </c>
      <c r="K48" s="49">
        <v>3255.2239</v>
      </c>
      <c r="L48" s="49">
        <v>3194.7761</v>
      </c>
      <c r="M48" s="49">
        <v>2173.1417999999999</v>
      </c>
      <c r="N48" s="49">
        <v>3174.8582000000001</v>
      </c>
      <c r="O48" s="48">
        <v>0</v>
      </c>
      <c r="P48" s="48">
        <v>0</v>
      </c>
      <c r="Q48" s="48">
        <v>29582</v>
      </c>
      <c r="R48" s="48">
        <v>23458</v>
      </c>
      <c r="S48" s="11">
        <f>(鋼床鈑!F48+鋼床鈑!N48+鋼床鈑!O48)*鋼床鈑!L48+(鋼床鈑!I48+鋼床鈑!N48+鋼床鈑!O48)*鋼床鈑!M48</f>
        <v>102240</v>
      </c>
      <c r="T48" s="11">
        <f>(鋼床鈑!K48)*鋼床鈑!N48+(鋼床鈑!K48)*鋼床鈑!O48</f>
        <v>212480</v>
      </c>
      <c r="U48" s="11">
        <f>4*((鋼床鈑!I48+鋼床鈑!N48/2+鋼床鈑!O48/2)*(鋼床鈑!K48+鋼床鈑!L48/2+鋼床鈑!M48/2))^2/((鋼床鈑!F48+鋼床鈑!N48/2+鋼床鈑!O48/2)/鋼床鈑!L48+(鋼床鈑!I48+鋼床鈑!N48/2+鋼床鈑!O48/2)/鋼床鈑!M48+(鋼床鈑!K48+鋼床鈑!L48/2+鋼床鈑!M48/2)/鋼床鈑!N48+(鋼床鈑!K48+鋼床鈑!L48/2+鋼床鈑!M48/2)/鋼床鈑!O48)</f>
        <v>1062835337183.1814</v>
      </c>
      <c r="V48" s="12">
        <f t="shared" si="2"/>
        <v>0.33212330110390526</v>
      </c>
      <c r="W48" s="12">
        <f t="shared" si="3"/>
        <v>0.32595594564781244</v>
      </c>
      <c r="X48" s="12">
        <f t="shared" si="4"/>
        <v>0.98846102795299418</v>
      </c>
      <c r="Y48" s="12">
        <f t="shared" si="5"/>
        <v>0.67658643069968283</v>
      </c>
      <c r="Z48" s="12">
        <f t="shared" si="0"/>
        <v>1.5014366541656163</v>
      </c>
      <c r="AA48" s="12">
        <f t="shared" si="1"/>
        <v>2.1362935825672142</v>
      </c>
      <c r="AB48" s="10">
        <f t="shared" si="6"/>
        <v>5.3479999999999999</v>
      </c>
      <c r="AC48" s="10">
        <f t="shared" si="7"/>
        <v>6.45</v>
      </c>
      <c r="AD48" s="10">
        <f t="shared" si="8"/>
        <v>0.47067999999999999</v>
      </c>
      <c r="AE48" s="12">
        <f t="shared" si="9"/>
        <v>1.0628353371831814</v>
      </c>
      <c r="AF48" s="12">
        <f t="shared" si="10"/>
        <v>0.21248</v>
      </c>
      <c r="AG48" s="12">
        <f t="shared" si="11"/>
        <v>0.10224</v>
      </c>
      <c r="AH48" s="10">
        <f t="shared" si="12"/>
        <v>1.0610595846198601</v>
      </c>
      <c r="AI48" s="10">
        <f t="shared" si="13"/>
        <v>2.1480659775156199</v>
      </c>
      <c r="AJ48" s="13">
        <f t="shared" si="14"/>
        <v>1.0610595846198601</v>
      </c>
      <c r="AK48" s="13">
        <f t="shared" si="15"/>
        <v>2.1480659775156199</v>
      </c>
    </row>
    <row r="49" spans="1:37">
      <c r="A49" s="8">
        <f>鋼床鈑!A49</f>
        <v>47</v>
      </c>
      <c r="B49" s="47" t="s">
        <v>41</v>
      </c>
      <c r="C49" s="47" t="s">
        <v>42</v>
      </c>
      <c r="D49" s="47" t="s">
        <v>133</v>
      </c>
      <c r="E49" s="48">
        <v>474760</v>
      </c>
      <c r="F49" s="49">
        <v>114165.16469999999</v>
      </c>
      <c r="G49" s="49">
        <v>192468.65979999999</v>
      </c>
      <c r="H49" s="49">
        <v>1107646169240.5901</v>
      </c>
      <c r="I49" s="49">
        <v>2243303833199.4102</v>
      </c>
      <c r="J49" s="49">
        <v>1069179278299.65</v>
      </c>
      <c r="K49" s="49">
        <v>3255.6087000000002</v>
      </c>
      <c r="L49" s="49">
        <v>3194.3912999999998</v>
      </c>
      <c r="M49" s="49">
        <v>2218.6963999999998</v>
      </c>
      <c r="N49" s="49">
        <v>3231.3036000000002</v>
      </c>
      <c r="O49" s="48">
        <v>0</v>
      </c>
      <c r="P49" s="48">
        <v>0</v>
      </c>
      <c r="Q49" s="48">
        <v>29786</v>
      </c>
      <c r="R49" s="48">
        <v>23662</v>
      </c>
      <c r="S49" s="11">
        <f>(鋼床鈑!F49+鋼床鈑!N49+鋼床鈑!O49)*鋼床鈑!L49+(鋼床鈑!I49+鋼床鈑!N49+鋼床鈑!O49)*鋼床鈑!M49</f>
        <v>102240</v>
      </c>
      <c r="T49" s="11">
        <f>(鋼床鈑!K49)*鋼床鈑!N49+(鋼床鈑!K49)*鋼床鈑!O49</f>
        <v>216560</v>
      </c>
      <c r="U49" s="11">
        <f>4*((鋼床鈑!I49+鋼床鈑!N49/2+鋼床鈑!O49/2)*(鋼床鈑!K49+鋼床鈑!L49/2+鋼床鈑!M49/2))^2/((鋼床鈑!F49+鋼床鈑!N49/2+鋼床鈑!O49/2)/鋼床鈑!L49+(鋼床鈑!I49+鋼床鈑!N49/2+鋼床鈑!O49/2)/鋼床鈑!M49+(鋼床鈑!K49+鋼床鈑!L49/2+鋼床鈑!M49/2)/鋼床鈑!N49+(鋼床鈑!K49+鋼床鈑!L49/2+鋼床鈑!M49/2)/鋼床鈑!O49)</f>
        <v>1090817487117.6709</v>
      </c>
      <c r="V49" s="12">
        <f t="shared" si="2"/>
        <v>0.33470516849318055</v>
      </c>
      <c r="W49" s="12">
        <f t="shared" si="3"/>
        <v>0.32841148209846288</v>
      </c>
      <c r="X49" s="12">
        <f t="shared" si="4"/>
        <v>1.0110909420502103</v>
      </c>
      <c r="Y49" s="12">
        <f t="shared" si="5"/>
        <v>0.69424112088985068</v>
      </c>
      <c r="Z49" s="12">
        <f t="shared" si="0"/>
        <v>1.5006803848415156</v>
      </c>
      <c r="AA49" s="12">
        <f t="shared" si="1"/>
        <v>2.1737369544841485</v>
      </c>
      <c r="AB49" s="10">
        <f t="shared" si="6"/>
        <v>5.45</v>
      </c>
      <c r="AC49" s="10">
        <f t="shared" si="7"/>
        <v>6.45</v>
      </c>
      <c r="AD49" s="10">
        <f t="shared" si="8"/>
        <v>0.47476000000000002</v>
      </c>
      <c r="AE49" s="12">
        <f t="shared" si="9"/>
        <v>1.0908174871176708</v>
      </c>
      <c r="AF49" s="12">
        <f t="shared" si="10"/>
        <v>0.21656</v>
      </c>
      <c r="AG49" s="12">
        <f t="shared" si="11"/>
        <v>0.10224</v>
      </c>
      <c r="AH49" s="10">
        <f t="shared" si="12"/>
        <v>1.0691792782996501</v>
      </c>
      <c r="AI49" s="10">
        <f t="shared" si="13"/>
        <v>2.24330383319941</v>
      </c>
      <c r="AJ49" s="13">
        <f t="shared" si="14"/>
        <v>1.0691792782996501</v>
      </c>
      <c r="AK49" s="13">
        <f t="shared" si="15"/>
        <v>2.24330383319941</v>
      </c>
    </row>
    <row r="50" spans="1:37">
      <c r="A50" s="8">
        <f>鋼床鈑!A50</f>
        <v>48</v>
      </c>
      <c r="B50" s="47" t="s">
        <v>41</v>
      </c>
      <c r="C50" s="47" t="s">
        <v>42</v>
      </c>
      <c r="D50" s="47" t="s">
        <v>134</v>
      </c>
      <c r="E50" s="48">
        <v>479000</v>
      </c>
      <c r="F50" s="49">
        <v>113571.4047</v>
      </c>
      <c r="G50" s="49">
        <v>196680.05179999999</v>
      </c>
      <c r="H50" s="49">
        <v>1137069568010.3601</v>
      </c>
      <c r="I50" s="49">
        <v>2344864362646.21</v>
      </c>
      <c r="J50" s="49">
        <v>1077617244954.22</v>
      </c>
      <c r="K50" s="49">
        <v>3256.0016999999998</v>
      </c>
      <c r="L50" s="49">
        <v>3193.9983000000002</v>
      </c>
      <c r="M50" s="49">
        <v>2266.1356999999998</v>
      </c>
      <c r="N50" s="49">
        <v>3289.8643000000002</v>
      </c>
      <c r="O50" s="48">
        <v>0</v>
      </c>
      <c r="P50" s="48">
        <v>0</v>
      </c>
      <c r="Q50" s="48">
        <v>29998</v>
      </c>
      <c r="R50" s="48">
        <v>23874</v>
      </c>
      <c r="S50" s="11">
        <f>(鋼床鈑!F50+鋼床鈑!N50+鋼床鈑!O50)*鋼床鈑!L50+(鋼床鈑!I50+鋼床鈑!N50+鋼床鈑!O50)*鋼床鈑!M50</f>
        <v>102240</v>
      </c>
      <c r="T50" s="11">
        <f>(鋼床鈑!K50)*鋼床鈑!N50+(鋼床鈑!K50)*鋼床鈑!O50</f>
        <v>220800</v>
      </c>
      <c r="U50" s="11">
        <f>4*((鋼床鈑!I50+鋼床鈑!N50/2+鋼床鈑!O50/2)*(鋼床鈑!K50+鋼床鈑!L50/2+鋼床鈑!M50/2))^2/((鋼床鈑!F50+鋼床鈑!N50/2+鋼床鈑!O50/2)/鋼床鈑!L50+(鋼床鈑!I50+鋼床鈑!N50/2+鋼床鈑!O50/2)/鋼床鈑!M50+(鋼床鈑!K50+鋼床鈑!L50/2+鋼床鈑!M50/2)/鋼床鈑!N50+(鋼床鈑!K50+鋼床鈑!L50/2+鋼床鈑!M50/2)/鋼床鈑!O50)</f>
        <v>1120007744517.9956</v>
      </c>
      <c r="V50" s="12">
        <f t="shared" si="2"/>
        <v>0.33738817110648434</v>
      </c>
      <c r="W50" s="12">
        <f t="shared" si="3"/>
        <v>0.33096335451981496</v>
      </c>
      <c r="X50" s="12">
        <f t="shared" si="4"/>
        <v>1.0347413716867042</v>
      </c>
      <c r="Y50" s="12">
        <f t="shared" si="5"/>
        <v>0.71275412868737764</v>
      </c>
      <c r="Z50" s="12">
        <f t="shared" si="0"/>
        <v>1.4999076136853475</v>
      </c>
      <c r="AA50" s="12">
        <f t="shared" si="1"/>
        <v>2.2125398750384351</v>
      </c>
      <c r="AB50" s="10">
        <f t="shared" si="6"/>
        <v>5.556</v>
      </c>
      <c r="AC50" s="10">
        <f t="shared" si="7"/>
        <v>6.45</v>
      </c>
      <c r="AD50" s="10">
        <f t="shared" si="8"/>
        <v>0.47899999999999998</v>
      </c>
      <c r="AE50" s="12">
        <f t="shared" si="9"/>
        <v>1.1200077445179957</v>
      </c>
      <c r="AF50" s="12">
        <f t="shared" si="10"/>
        <v>0.2208</v>
      </c>
      <c r="AG50" s="12">
        <f t="shared" si="11"/>
        <v>0.10224</v>
      </c>
      <c r="AH50" s="10">
        <f t="shared" si="12"/>
        <v>1.0776172449542201</v>
      </c>
      <c r="AI50" s="10">
        <f t="shared" si="13"/>
        <v>2.3448643626462098</v>
      </c>
      <c r="AJ50" s="13">
        <f t="shared" si="14"/>
        <v>1.0776172449542201</v>
      </c>
      <c r="AK50" s="13">
        <f t="shared" si="15"/>
        <v>2.3448643626462098</v>
      </c>
    </row>
    <row r="51" spans="1:37">
      <c r="A51" s="8">
        <f>鋼床鈑!A51</f>
        <v>49</v>
      </c>
      <c r="B51" s="47" t="s">
        <v>41</v>
      </c>
      <c r="C51" s="47" t="s">
        <v>42</v>
      </c>
      <c r="D51" s="47" t="s">
        <v>135</v>
      </c>
      <c r="E51" s="48">
        <v>482520</v>
      </c>
      <c r="F51" s="49">
        <v>113075.18459999999</v>
      </c>
      <c r="G51" s="49">
        <v>200173.65470000001</v>
      </c>
      <c r="H51" s="49">
        <v>1161568128293.02</v>
      </c>
      <c r="I51" s="49">
        <v>2431199970047.1201</v>
      </c>
      <c r="J51" s="49">
        <v>1084622238780.38</v>
      </c>
      <c r="K51" s="49">
        <v>3256.3226</v>
      </c>
      <c r="L51" s="49">
        <v>3193.6774</v>
      </c>
      <c r="M51" s="49">
        <v>2305.5936000000002</v>
      </c>
      <c r="N51" s="49">
        <v>3338.4063999999998</v>
      </c>
      <c r="O51" s="48">
        <v>0</v>
      </c>
      <c r="P51" s="48">
        <v>0</v>
      </c>
      <c r="Q51" s="48">
        <v>30174</v>
      </c>
      <c r="R51" s="48">
        <v>24050</v>
      </c>
      <c r="S51" s="11">
        <f>(鋼床鈑!F51+鋼床鈑!N51+鋼床鈑!O51)*鋼床鈑!L51+(鋼床鈑!I51+鋼床鈑!N51+鋼床鈑!O51)*鋼床鈑!M51</f>
        <v>102240</v>
      </c>
      <c r="T51" s="11">
        <f>(鋼床鈑!K51)*鋼床鈑!N51+(鋼床鈑!K51)*鋼床鈑!O51</f>
        <v>224320</v>
      </c>
      <c r="U51" s="11">
        <f>4*((鋼床鈑!I51+鋼床鈑!N51/2+鋼床鈑!O51/2)*(鋼床鈑!K51+鋼床鈑!L51/2+鋼床鈑!M51/2))^2/((鋼床鈑!F51+鋼床鈑!N51/2+鋼床鈑!O51/2)/鋼床鈑!L51+(鋼床鈑!I51+鋼床鈑!N51/2+鋼床鈑!O51/2)/鋼床鈑!M51+(鋼床鈑!K51+鋼床鈑!L51/2+鋼床鈑!M51/2)/鋼床鈑!N51+(鋼床鈑!K51+鋼床鈑!L51/2+鋼床鈑!M51/2)/鋼床鈑!O51)</f>
        <v>1144324049337.5007</v>
      </c>
      <c r="V51" s="12">
        <f t="shared" si="2"/>
        <v>0.33961546610198645</v>
      </c>
      <c r="W51" s="12">
        <f t="shared" si="3"/>
        <v>0.33308193690034893</v>
      </c>
      <c r="X51" s="12">
        <f t="shared" si="4"/>
        <v>1.0544789723770571</v>
      </c>
      <c r="Y51" s="12">
        <f t="shared" si="5"/>
        <v>0.72825165026256855</v>
      </c>
      <c r="Z51" s="12">
        <f t="shared" si="0"/>
        <v>1.499276013335747</v>
      </c>
      <c r="AA51" s="12">
        <f t="shared" si="1"/>
        <v>2.2446709253012966</v>
      </c>
      <c r="AB51" s="10">
        <f t="shared" si="6"/>
        <v>5.6440000000000001</v>
      </c>
      <c r="AC51" s="10">
        <f t="shared" si="7"/>
        <v>6.45</v>
      </c>
      <c r="AD51" s="10">
        <f t="shared" si="8"/>
        <v>0.48252</v>
      </c>
      <c r="AE51" s="12">
        <f t="shared" si="9"/>
        <v>1.1443240493375006</v>
      </c>
      <c r="AF51" s="12">
        <f t="shared" si="10"/>
        <v>0.22431999999999999</v>
      </c>
      <c r="AG51" s="12">
        <f t="shared" si="11"/>
        <v>0.10224</v>
      </c>
      <c r="AH51" s="10">
        <f t="shared" si="12"/>
        <v>1.0846222387803801</v>
      </c>
      <c r="AI51" s="10">
        <f t="shared" si="13"/>
        <v>2.4311999700471203</v>
      </c>
      <c r="AJ51" s="13">
        <f t="shared" si="14"/>
        <v>1.0846222387803801</v>
      </c>
      <c r="AK51" s="13">
        <f t="shared" si="15"/>
        <v>2.4311999700471203</v>
      </c>
    </row>
    <row r="52" spans="1:37">
      <c r="A52" s="8">
        <f>鋼床鈑!A52</f>
        <v>50</v>
      </c>
      <c r="B52" s="47" t="s">
        <v>41</v>
      </c>
      <c r="C52" s="47" t="s">
        <v>42</v>
      </c>
      <c r="D52" s="47" t="s">
        <v>136</v>
      </c>
      <c r="E52" s="48">
        <v>488000</v>
      </c>
      <c r="F52" s="49">
        <v>112310.4129</v>
      </c>
      <c r="G52" s="49">
        <v>205610.64679999999</v>
      </c>
      <c r="H52" s="49">
        <v>1199885863960.52</v>
      </c>
      <c r="I52" s="49">
        <v>2569293373093.2002</v>
      </c>
      <c r="J52" s="49">
        <v>1095527546311.62</v>
      </c>
      <c r="K52" s="49">
        <v>3256.8130999999998</v>
      </c>
      <c r="L52" s="49">
        <v>3193.1869000000002</v>
      </c>
      <c r="M52" s="49">
        <v>2367.1527000000001</v>
      </c>
      <c r="N52" s="49">
        <v>3413.8472999999999</v>
      </c>
      <c r="O52" s="48">
        <v>0</v>
      </c>
      <c r="P52" s="48">
        <v>0</v>
      </c>
      <c r="Q52" s="48">
        <v>30448</v>
      </c>
      <c r="R52" s="48">
        <v>24324</v>
      </c>
      <c r="S52" s="11">
        <f>(鋼床鈑!F52+鋼床鈑!N52+鋼床鈑!O52)*鋼床鈑!L52+(鋼床鈑!I52+鋼床鈑!N52+鋼床鈑!O52)*鋼床鈑!M52</f>
        <v>102240</v>
      </c>
      <c r="T52" s="11">
        <f>(鋼床鈑!K52)*鋼床鈑!N52+(鋼床鈑!K52)*鋼床鈑!O52</f>
        <v>229800</v>
      </c>
      <c r="U52" s="11">
        <f>4*((鋼床鈑!I52+鋼床鈑!N52/2+鋼床鈑!O52/2)*(鋼床鈑!K52+鋼床鈑!L52/2+鋼床鈑!M52/2))^2/((鋼床鈑!F52+鋼床鈑!N52/2+鋼床鈑!O52/2)/鋼床鈑!L52+(鋼床鈑!I52+鋼床鈑!N52/2+鋼床鈑!O52/2)/鋼床鈑!M52+(鋼床鈑!K52+鋼床鈑!L52/2+鋼床鈑!M52/2)/鋼床鈑!N52+(鋼床鈑!K52+鋼床鈑!L52/2+鋼床鈑!M52/2)/鋼床鈑!O52)</f>
        <v>1182324224746.6846</v>
      </c>
      <c r="V52" s="12">
        <f t="shared" si="2"/>
        <v>0.34308281369675542</v>
      </c>
      <c r="W52" s="12">
        <f t="shared" si="3"/>
        <v>0.33638023204697259</v>
      </c>
      <c r="X52" s="12">
        <f t="shared" si="4"/>
        <v>1.0853940149670953</v>
      </c>
      <c r="Y52" s="12">
        <f t="shared" si="5"/>
        <v>0.75260934286463266</v>
      </c>
      <c r="Z52" s="12">
        <f t="shared" si="0"/>
        <v>1.4983102137208453</v>
      </c>
      <c r="AA52" s="12">
        <f t="shared" si="1"/>
        <v>2.2945468913636073</v>
      </c>
      <c r="AB52" s="10">
        <f t="shared" si="6"/>
        <v>5.7809999999999997</v>
      </c>
      <c r="AC52" s="10">
        <f t="shared" si="7"/>
        <v>6.45</v>
      </c>
      <c r="AD52" s="10">
        <f t="shared" si="8"/>
        <v>0.48799999999999999</v>
      </c>
      <c r="AE52" s="12">
        <f t="shared" si="9"/>
        <v>1.1823242247466845</v>
      </c>
      <c r="AF52" s="12">
        <f t="shared" si="10"/>
        <v>0.2298</v>
      </c>
      <c r="AG52" s="12">
        <f t="shared" si="11"/>
        <v>0.10224</v>
      </c>
      <c r="AH52" s="10">
        <f t="shared" si="12"/>
        <v>1.0955275463116201</v>
      </c>
      <c r="AI52" s="10">
        <f t="shared" si="13"/>
        <v>2.5692933730932004</v>
      </c>
      <c r="AJ52" s="13">
        <f t="shared" si="14"/>
        <v>1.0955275463116201</v>
      </c>
      <c r="AK52" s="13">
        <f t="shared" si="15"/>
        <v>2.5692933730932004</v>
      </c>
    </row>
    <row r="53" spans="1:37">
      <c r="A53" s="8">
        <f>鋼床鈑!A53</f>
        <v>51</v>
      </c>
      <c r="B53" s="47" t="s">
        <v>41</v>
      </c>
      <c r="C53" s="47" t="s">
        <v>42</v>
      </c>
      <c r="D53" s="47" t="s">
        <v>137</v>
      </c>
      <c r="E53" s="48">
        <v>492720</v>
      </c>
      <c r="F53" s="49">
        <v>111641.59600000001</v>
      </c>
      <c r="G53" s="49">
        <v>210288.48620000001</v>
      </c>
      <c r="H53" s="49">
        <v>1232991022195.3201</v>
      </c>
      <c r="I53" s="49">
        <v>2691867300443.1001</v>
      </c>
      <c r="J53" s="49">
        <v>1104920254619.2</v>
      </c>
      <c r="K53" s="49">
        <v>3257.2267999999999</v>
      </c>
      <c r="L53" s="49">
        <v>3192.7732000000001</v>
      </c>
      <c r="M53" s="49">
        <v>2420.2981</v>
      </c>
      <c r="N53" s="49">
        <v>3478.7019</v>
      </c>
      <c r="O53" s="48">
        <v>0</v>
      </c>
      <c r="P53" s="48">
        <v>0</v>
      </c>
      <c r="Q53" s="48">
        <v>30684</v>
      </c>
      <c r="R53" s="48">
        <v>24560</v>
      </c>
      <c r="S53" s="11">
        <f>(鋼床鈑!F53+鋼床鈑!N53+鋼床鈑!O53)*鋼床鈑!L53+(鋼床鈑!I53+鋼床鈑!N53+鋼床鈑!O53)*鋼床鈑!M53</f>
        <v>102240</v>
      </c>
      <c r="T53" s="11">
        <f>(鋼床鈑!K53)*鋼床鈑!N53+(鋼床鈑!K53)*鋼床鈑!O53</f>
        <v>234520</v>
      </c>
      <c r="U53" s="11">
        <f>4*((鋼床鈑!I53+鋼床鈑!N53/2+鋼床鈑!O53/2)*(鋼床鈑!K53+鋼床鈑!L53/2+鋼床鈑!M53/2))^2/((鋼床鈑!F53+鋼床鈑!N53/2+鋼床鈑!O53/2)/鋼床鈑!L53+(鋼床鈑!I53+鋼床鈑!N53/2+鋼床鈑!O53/2)/鋼床鈑!M53+(鋼床鈑!K53+鋼床鈑!L53/2+鋼床鈑!M53/2)/鋼床鈑!N53+(鋼床鈑!K53+鋼床鈑!L53/2+鋼床鈑!M53/2)/鋼床鈑!O53)</f>
        <v>1215189647037.7205</v>
      </c>
      <c r="V53" s="12">
        <f t="shared" si="2"/>
        <v>0.34606913344775003</v>
      </c>
      <c r="W53" s="12">
        <f t="shared" si="3"/>
        <v>0.33922116035002536</v>
      </c>
      <c r="X53" s="12">
        <f t="shared" si="4"/>
        <v>1.1122048562708453</v>
      </c>
      <c r="Y53" s="12">
        <f t="shared" si="5"/>
        <v>0.77381373219795002</v>
      </c>
      <c r="Z53" s="12">
        <f t="shared" si="0"/>
        <v>1.4974949685495786</v>
      </c>
      <c r="AA53" s="12">
        <f t="shared" si="1"/>
        <v>2.3373660297567875</v>
      </c>
      <c r="AB53" s="10">
        <f t="shared" si="6"/>
        <v>5.899</v>
      </c>
      <c r="AC53" s="10">
        <f t="shared" si="7"/>
        <v>6.45</v>
      </c>
      <c r="AD53" s="10">
        <f t="shared" si="8"/>
        <v>0.49271999999999999</v>
      </c>
      <c r="AE53" s="12">
        <f t="shared" si="9"/>
        <v>1.2151896470377204</v>
      </c>
      <c r="AF53" s="12">
        <f t="shared" si="10"/>
        <v>0.23452000000000001</v>
      </c>
      <c r="AG53" s="12">
        <f t="shared" si="11"/>
        <v>0.10224</v>
      </c>
      <c r="AH53" s="10">
        <f t="shared" si="12"/>
        <v>1.1049202546191998</v>
      </c>
      <c r="AI53" s="10">
        <f t="shared" si="13"/>
        <v>2.6918673004431</v>
      </c>
      <c r="AJ53" s="13">
        <f t="shared" si="14"/>
        <v>1.1049202546191998</v>
      </c>
      <c r="AK53" s="13">
        <f t="shared" si="15"/>
        <v>2.6918673004431</v>
      </c>
    </row>
    <row r="54" spans="1:37">
      <c r="A54" s="8">
        <f>鋼床鈑!A54</f>
        <v>52</v>
      </c>
      <c r="B54" s="47" t="s">
        <v>41</v>
      </c>
      <c r="C54" s="47" t="s">
        <v>42</v>
      </c>
      <c r="D54" s="47" t="s">
        <v>138</v>
      </c>
      <c r="E54" s="48">
        <v>497600</v>
      </c>
      <c r="F54" s="49">
        <v>110948.7651</v>
      </c>
      <c r="G54" s="49">
        <v>215121.55119999999</v>
      </c>
      <c r="H54" s="49">
        <v>1267345398027.6201</v>
      </c>
      <c r="I54" s="49">
        <v>2822168548881.75</v>
      </c>
      <c r="J54" s="49">
        <v>1114631185904.75</v>
      </c>
      <c r="K54" s="49">
        <v>3257.6462999999999</v>
      </c>
      <c r="L54" s="49">
        <v>3192.3537000000001</v>
      </c>
      <c r="M54" s="49">
        <v>2475.3618999999999</v>
      </c>
      <c r="N54" s="49">
        <v>3545.6381000000001</v>
      </c>
      <c r="O54" s="48">
        <v>0</v>
      </c>
      <c r="P54" s="48">
        <v>0</v>
      </c>
      <c r="Q54" s="48">
        <v>30928</v>
      </c>
      <c r="R54" s="48">
        <v>24804</v>
      </c>
      <c r="S54" s="11">
        <f>(鋼床鈑!F54+鋼床鈑!N54+鋼床鈑!O54)*鋼床鈑!L54+(鋼床鈑!I54+鋼床鈑!N54+鋼床鈑!O54)*鋼床鈑!M54</f>
        <v>102240</v>
      </c>
      <c r="T54" s="11">
        <f>(鋼床鈑!K54)*鋼床鈑!N54+(鋼床鈑!K54)*鋼床鈑!O54</f>
        <v>239400</v>
      </c>
      <c r="U54" s="11">
        <f>4*((鋼床鈑!I54+鋼床鈑!N54/2+鋼床鈑!O54/2)*(鋼床鈑!K54+鋼床鈑!L54/2+鋼床鈑!M54/2))^2/((鋼床鈑!F54+鋼床鈑!N54/2+鋼床鈑!O54/2)/鋼床鈑!L54+(鋼床鈑!I54+鋼床鈑!N54/2+鋼床鈑!O54/2)/鋼床鈑!M54+(鋼床鈑!K54+鋼床鈑!L54/2+鋼床鈑!M54/2)/鋼床鈑!N54+(鋼床鈑!K54+鋼床鈑!L54/2+鋼床鈑!M54/2)/鋼床鈑!O54)</f>
        <v>1249295440996.5669</v>
      </c>
      <c r="V54" s="12">
        <f t="shared" si="2"/>
        <v>0.34915654424656956</v>
      </c>
      <c r="W54" s="12">
        <f t="shared" si="3"/>
        <v>0.34215844301597448</v>
      </c>
      <c r="X54" s="12">
        <f t="shared" si="4"/>
        <v>1.1401034123057925</v>
      </c>
      <c r="Y54" s="12">
        <f t="shared" si="5"/>
        <v>0.79595504935536143</v>
      </c>
      <c r="Z54" s="12">
        <f t="shared" si="0"/>
        <v>1.4966677791436913</v>
      </c>
      <c r="AA54" s="12">
        <f t="shared" si="1"/>
        <v>2.3815038502149699</v>
      </c>
      <c r="AB54" s="10">
        <f t="shared" si="6"/>
        <v>6.0209999999999999</v>
      </c>
      <c r="AC54" s="10">
        <f t="shared" si="7"/>
        <v>6.45</v>
      </c>
      <c r="AD54" s="10">
        <f t="shared" si="8"/>
        <v>0.49759999999999999</v>
      </c>
      <c r="AE54" s="12">
        <f t="shared" si="9"/>
        <v>1.2492954409965669</v>
      </c>
      <c r="AF54" s="12">
        <f t="shared" si="10"/>
        <v>0.2394</v>
      </c>
      <c r="AG54" s="12">
        <f t="shared" si="11"/>
        <v>0.10224</v>
      </c>
      <c r="AH54" s="10">
        <f t="shared" si="12"/>
        <v>1.11463118590475</v>
      </c>
      <c r="AI54" s="10">
        <f t="shared" si="13"/>
        <v>2.8221685488817498</v>
      </c>
      <c r="AJ54" s="13">
        <f t="shared" si="14"/>
        <v>1.11463118590475</v>
      </c>
      <c r="AK54" s="13">
        <f t="shared" si="15"/>
        <v>2.8221685488817498</v>
      </c>
    </row>
    <row r="55" spans="1:37">
      <c r="A55" s="8">
        <f>鋼床鈑!A55</f>
        <v>53</v>
      </c>
      <c r="B55" s="47" t="s">
        <v>41</v>
      </c>
      <c r="C55" s="47" t="s">
        <v>42</v>
      </c>
      <c r="D55" s="47" t="s">
        <v>139</v>
      </c>
      <c r="E55" s="48">
        <v>501440</v>
      </c>
      <c r="F55" s="49">
        <v>110406.23789999999</v>
      </c>
      <c r="G55" s="49">
        <v>218923.1998</v>
      </c>
      <c r="H55" s="49">
        <v>1294482023777.4099</v>
      </c>
      <c r="I55" s="49">
        <v>2927278081932.7202</v>
      </c>
      <c r="J55" s="49">
        <v>1122272453483.4299</v>
      </c>
      <c r="K55" s="49">
        <v>3257.9706000000001</v>
      </c>
      <c r="L55" s="49">
        <v>3192.0293999999999</v>
      </c>
      <c r="M55" s="49">
        <v>2518.7721000000001</v>
      </c>
      <c r="N55" s="49">
        <v>3598.2278999999999</v>
      </c>
      <c r="O55" s="48">
        <v>0</v>
      </c>
      <c r="P55" s="48">
        <v>0</v>
      </c>
      <c r="Q55" s="48">
        <v>31120</v>
      </c>
      <c r="R55" s="48">
        <v>24996</v>
      </c>
      <c r="S55" s="11">
        <f>(鋼床鈑!F55+鋼床鈑!N55+鋼床鈑!O55)*鋼床鈑!L55+(鋼床鈑!I55+鋼床鈑!N55+鋼床鈑!O55)*鋼床鈑!M55</f>
        <v>102240</v>
      </c>
      <c r="T55" s="11">
        <f>(鋼床鈑!K55)*鋼床鈑!N55+(鋼床鈑!K55)*鋼床鈑!O55</f>
        <v>243240</v>
      </c>
      <c r="U55" s="11">
        <f>4*((鋼床鈑!I55+鋼床鈑!N55/2+鋼床鈑!O55/2)*(鋼床鈑!K55+鋼床鈑!L55/2+鋼床鈑!M55/2))^2/((鋼床鈑!F55+鋼床鈑!N55/2+鋼床鈑!O55/2)/鋼床鈑!L55+(鋼床鈑!I55+鋼床鈑!N55/2+鋼床鈑!O55/2)/鋼床鈑!M55+(鋼床鈑!K55+鋼床鈑!L55/2+鋼床鈑!M55/2)/鋼床鈑!N55+(鋼床鈑!K55+鋼床鈑!L55/2+鋼床鈑!M55/2)/鋼床鈑!O55)</f>
        <v>1276219781793.2373</v>
      </c>
      <c r="V55" s="12">
        <f t="shared" si="2"/>
        <v>0.35158587620885628</v>
      </c>
      <c r="W55" s="12">
        <f t="shared" si="3"/>
        <v>0.34446979155779667</v>
      </c>
      <c r="X55" s="12">
        <f t="shared" si="4"/>
        <v>1.1621845747508162</v>
      </c>
      <c r="Y55" s="12">
        <f t="shared" si="5"/>
        <v>0.81353326228522671</v>
      </c>
      <c r="Z55" s="12">
        <f t="shared" si="0"/>
        <v>1.4960278009865473</v>
      </c>
      <c r="AA55" s="12">
        <f t="shared" si="1"/>
        <v>2.4161422687194736</v>
      </c>
      <c r="AB55" s="10">
        <f t="shared" si="6"/>
        <v>6.117</v>
      </c>
      <c r="AC55" s="10">
        <f t="shared" si="7"/>
        <v>6.45</v>
      </c>
      <c r="AD55" s="10">
        <f t="shared" si="8"/>
        <v>0.50144</v>
      </c>
      <c r="AE55" s="12">
        <f t="shared" si="9"/>
        <v>1.2762197817932373</v>
      </c>
      <c r="AF55" s="12">
        <f t="shared" si="10"/>
        <v>0.24324000000000001</v>
      </c>
      <c r="AG55" s="12">
        <f t="shared" si="11"/>
        <v>0.10224</v>
      </c>
      <c r="AH55" s="10">
        <f t="shared" si="12"/>
        <v>1.1222724534834299</v>
      </c>
      <c r="AI55" s="10">
        <f t="shared" si="13"/>
        <v>2.9272780819327204</v>
      </c>
      <c r="AJ55" s="13">
        <f t="shared" si="14"/>
        <v>1.1222724534834299</v>
      </c>
      <c r="AK55" s="13">
        <f t="shared" si="15"/>
        <v>2.9272780819327204</v>
      </c>
    </row>
    <row r="56" spans="1:37">
      <c r="A56" s="8">
        <f>鋼床鈑!A56</f>
        <v>54</v>
      </c>
      <c r="B56" s="47" t="s">
        <v>41</v>
      </c>
      <c r="C56" s="47" t="s">
        <v>42</v>
      </c>
      <c r="D56" s="47" t="s">
        <v>140</v>
      </c>
      <c r="E56" s="48">
        <v>507800</v>
      </c>
      <c r="F56" s="49">
        <v>109499.58869999999</v>
      </c>
      <c r="G56" s="49">
        <v>225212.6428</v>
      </c>
      <c r="H56" s="49">
        <v>1339554760718.3301</v>
      </c>
      <c r="I56" s="49">
        <v>3106411440515.5</v>
      </c>
      <c r="J56" s="49">
        <v>1134928075501.1201</v>
      </c>
      <c r="K56" s="49">
        <v>3258.4969999999998</v>
      </c>
      <c r="L56" s="49">
        <v>3191.5030000000002</v>
      </c>
      <c r="M56" s="49">
        <v>2590.8227999999999</v>
      </c>
      <c r="N56" s="49">
        <v>3685.1772000000001</v>
      </c>
      <c r="O56" s="48">
        <v>0</v>
      </c>
      <c r="P56" s="48">
        <v>0</v>
      </c>
      <c r="Q56" s="48">
        <v>31438</v>
      </c>
      <c r="R56" s="48">
        <v>25314</v>
      </c>
      <c r="S56" s="11">
        <f>(鋼床鈑!F56+鋼床鈑!N56+鋼床鈑!O56)*鋼床鈑!L56+(鋼床鈑!I56+鋼床鈑!N56+鋼床鈑!O56)*鋼床鈑!M56</f>
        <v>102240</v>
      </c>
      <c r="T56" s="11">
        <f>(鋼床鈑!K56)*鋼床鈑!N56+(鋼床鈑!K56)*鋼床鈑!O56</f>
        <v>249600</v>
      </c>
      <c r="U56" s="11">
        <f>4*((鋼床鈑!I56+鋼床鈑!N56/2+鋼床鈑!O56/2)*(鋼床鈑!K56+鋼床鈑!L56/2+鋼床鈑!M56/2))^2/((鋼床鈑!F56+鋼床鈑!N56/2+鋼床鈑!O56/2)/鋼床鈑!L56+(鋼床鈑!I56+鋼床鈑!N56/2+鋼床鈑!O56/2)/鋼床鈑!M56+(鋼床鈑!K56+鋼床鈑!L56/2+鋼床鈑!M56/2)/鋼床鈑!N56+(鋼床鈑!K56+鋼床鈑!L56/2+鋼床鈑!M56/2)/鋼床鈑!O56)</f>
        <v>1320975023396.8506</v>
      </c>
      <c r="V56" s="12">
        <f t="shared" si="2"/>
        <v>0.35560927735337244</v>
      </c>
      <c r="W56" s="12">
        <f t="shared" si="3"/>
        <v>0.34829802682068461</v>
      </c>
      <c r="X56" s="12">
        <f t="shared" si="4"/>
        <v>1.1990057523484432</v>
      </c>
      <c r="Y56" s="12">
        <f t="shared" si="5"/>
        <v>0.84294764455709215</v>
      </c>
      <c r="Z56" s="12">
        <f t="shared" si="0"/>
        <v>1.4949883953685292</v>
      </c>
      <c r="AA56" s="12">
        <f t="shared" si="1"/>
        <v>2.4733361220222374</v>
      </c>
      <c r="AB56" s="10">
        <f t="shared" si="6"/>
        <v>6.2759999999999998</v>
      </c>
      <c r="AC56" s="10">
        <f t="shared" si="7"/>
        <v>6.45</v>
      </c>
      <c r="AD56" s="10">
        <f t="shared" si="8"/>
        <v>0.50780000000000003</v>
      </c>
      <c r="AE56" s="12">
        <f t="shared" si="9"/>
        <v>1.3209750233968507</v>
      </c>
      <c r="AF56" s="12">
        <f t="shared" si="10"/>
        <v>0.24959999999999999</v>
      </c>
      <c r="AG56" s="12">
        <f t="shared" si="11"/>
        <v>0.10224</v>
      </c>
      <c r="AH56" s="10">
        <f t="shared" si="12"/>
        <v>1.1349280755011202</v>
      </c>
      <c r="AI56" s="10">
        <f t="shared" si="13"/>
        <v>3.1064114405155001</v>
      </c>
      <c r="AJ56" s="13">
        <f t="shared" si="14"/>
        <v>1.1349280755011202</v>
      </c>
      <c r="AK56" s="13">
        <f t="shared" si="15"/>
        <v>3.1064114405155001</v>
      </c>
    </row>
    <row r="57" spans="1:37">
      <c r="A57" s="8">
        <f>鋼床鈑!A57</f>
        <v>55</v>
      </c>
      <c r="B57" s="47" t="s">
        <v>41</v>
      </c>
      <c r="C57" s="47" t="s">
        <v>42</v>
      </c>
      <c r="D57" s="47" t="s">
        <v>141</v>
      </c>
      <c r="E57" s="48">
        <v>513120</v>
      </c>
      <c r="F57" s="49">
        <v>108738.2064</v>
      </c>
      <c r="G57" s="49">
        <v>230467.65909999999</v>
      </c>
      <c r="H57" s="49">
        <v>1377390094258.1001</v>
      </c>
      <c r="I57" s="49">
        <v>3261137113999.2002</v>
      </c>
      <c r="J57" s="49">
        <v>1145514013500.3601</v>
      </c>
      <c r="K57" s="49">
        <v>3258.9272999999998</v>
      </c>
      <c r="L57" s="49">
        <v>3191.0727000000002</v>
      </c>
      <c r="M57" s="49">
        <v>2651.2334000000001</v>
      </c>
      <c r="N57" s="49">
        <v>3757.7665999999999</v>
      </c>
      <c r="O57" s="48">
        <v>0</v>
      </c>
      <c r="P57" s="48">
        <v>0</v>
      </c>
      <c r="Q57" s="48">
        <v>31704</v>
      </c>
      <c r="R57" s="48">
        <v>25580</v>
      </c>
      <c r="S57" s="11">
        <f>(鋼床鈑!F57+鋼床鈑!N57+鋼床鈑!O57)*鋼床鈑!L57+(鋼床鈑!I57+鋼床鈑!N57+鋼床鈑!O57)*鋼床鈑!M57</f>
        <v>102240</v>
      </c>
      <c r="T57" s="11">
        <f>(鋼床鈑!K57)*鋼床鈑!N57+(鋼床鈑!K57)*鋼床鈑!O57</f>
        <v>254920</v>
      </c>
      <c r="U57" s="11">
        <f>4*((鋼床鈑!I57+鋼床鈑!N57/2+鋼床鈑!O57/2)*(鋼床鈑!K57+鋼床鈑!L57/2+鋼床鈑!M57/2))^2/((鋼床鈑!F57+鋼床鈑!N57/2+鋼床鈑!O57/2)/鋼床鈑!L57+(鋼床鈑!I57+鋼床鈑!N57/2+鋼床鈑!O57/2)/鋼床鈑!M57+(鋼床鈑!K57+鋼床鈑!L57/2+鋼床鈑!M57/2)/鋼床鈑!N57+(鋼床鈑!K57+鋼床鈑!L57/2+鋼床鈑!M57/2)/鋼床鈑!O57)</f>
        <v>1358560492139.4888</v>
      </c>
      <c r="V57" s="12">
        <f t="shared" si="2"/>
        <v>0.35897458979870939</v>
      </c>
      <c r="W57" s="12">
        <f t="shared" si="3"/>
        <v>0.3515003275772246</v>
      </c>
      <c r="X57" s="12">
        <f t="shared" si="4"/>
        <v>1.2300452740219703</v>
      </c>
      <c r="Y57" s="12">
        <f t="shared" si="5"/>
        <v>0.86783918777690983</v>
      </c>
      <c r="Z57" s="12">
        <f t="shared" si="0"/>
        <v>1.4941380713833341</v>
      </c>
      <c r="AA57" s="12">
        <f t="shared" si="1"/>
        <v>2.5210128434691459</v>
      </c>
      <c r="AB57" s="10">
        <f t="shared" si="6"/>
        <v>6.4089999999999998</v>
      </c>
      <c r="AC57" s="10">
        <f t="shared" si="7"/>
        <v>6.45</v>
      </c>
      <c r="AD57" s="10">
        <f t="shared" si="8"/>
        <v>0.51312000000000002</v>
      </c>
      <c r="AE57" s="12">
        <f t="shared" si="9"/>
        <v>1.3585604921394887</v>
      </c>
      <c r="AF57" s="12">
        <f t="shared" si="10"/>
        <v>0.25491999999999998</v>
      </c>
      <c r="AG57" s="12">
        <f t="shared" si="11"/>
        <v>0.10224</v>
      </c>
      <c r="AH57" s="10">
        <f t="shared" si="12"/>
        <v>1.1455140135003601</v>
      </c>
      <c r="AI57" s="10">
        <f t="shared" si="13"/>
        <v>3.2611371139992</v>
      </c>
      <c r="AJ57" s="13">
        <f t="shared" si="14"/>
        <v>1.1455140135003601</v>
      </c>
      <c r="AK57" s="13">
        <f t="shared" si="15"/>
        <v>3.2611371139992</v>
      </c>
    </row>
    <row r="58" spans="1:37">
      <c r="A58" s="8">
        <f>鋼床鈑!A58</f>
        <v>56</v>
      </c>
      <c r="B58" s="47" t="s">
        <v>41</v>
      </c>
      <c r="C58" s="47" t="s">
        <v>42</v>
      </c>
      <c r="D58" s="47" t="s">
        <v>142</v>
      </c>
      <c r="E58" s="48">
        <v>518200</v>
      </c>
      <c r="F58" s="49">
        <v>107886.01880000001</v>
      </c>
      <c r="G58" s="49">
        <v>235311.23920000001</v>
      </c>
      <c r="H58" s="49">
        <v>1411847607546.3701</v>
      </c>
      <c r="I58" s="49">
        <v>3413083023280</v>
      </c>
      <c r="J58" s="49">
        <v>1155622216594.2</v>
      </c>
      <c r="K58" s="49">
        <v>3259.33</v>
      </c>
      <c r="L58" s="49">
        <v>3190.67</v>
      </c>
      <c r="M58" s="49">
        <v>2709.0355</v>
      </c>
      <c r="N58" s="49">
        <v>3826.9645</v>
      </c>
      <c r="O58" s="48">
        <v>0</v>
      </c>
      <c r="P58" s="48">
        <v>0</v>
      </c>
      <c r="Q58" s="48">
        <v>31958</v>
      </c>
      <c r="R58" s="48">
        <v>25834</v>
      </c>
      <c r="S58" s="11">
        <f>(鋼床鈑!F58+鋼床鈑!N58+鋼床鈑!O58)*鋼床鈑!L58+(鋼床鈑!I58+鋼床鈑!N58+鋼床鈑!O58)*鋼床鈑!M58</f>
        <v>102240</v>
      </c>
      <c r="T58" s="11">
        <f>(鋼床鈑!K58)*鋼床鈑!N58+(鋼床鈑!K58)*鋼床鈑!O58</f>
        <v>260000</v>
      </c>
      <c r="U58" s="11">
        <f>4*((鋼床鈑!I58+鋼床鈑!N58/2+鋼床鈑!O58/2)*(鋼床鈑!K58+鋼床鈑!L58/2+鋼床鈑!M58/2))^2/((鋼床鈑!F58+鋼床鈑!N58/2+鋼床鈑!O58/2)/鋼床鈑!L58+(鋼床鈑!I58+鋼床鈑!N58/2+鋼床鈑!O58/2)/鋼床鈑!M58+(鋼床鈑!K58+鋼床鈑!L58/2+鋼床鈑!M58/2)/鋼床鈑!N58+(鋼床鈑!K58+鋼床鈑!L58/2+鋼床鈑!M58/2)/鋼床鈑!O58)</f>
        <v>1394571335545.5344</v>
      </c>
      <c r="V58" s="12">
        <f t="shared" si="2"/>
        <v>0.36218794691842154</v>
      </c>
      <c r="W58" s="12">
        <f t="shared" si="3"/>
        <v>0.35455821183930442</v>
      </c>
      <c r="X58" s="12">
        <f t="shared" si="4"/>
        <v>1.2598886294697873</v>
      </c>
      <c r="Y58" s="12">
        <f t="shared" si="5"/>
        <v>0.89185123699997748</v>
      </c>
      <c r="Z58" s="12">
        <f t="shared" si="0"/>
        <v>1.493341852765389</v>
      </c>
      <c r="AA58" s="12">
        <f t="shared" si="1"/>
        <v>2.5664022182749937</v>
      </c>
      <c r="AB58" s="10">
        <f t="shared" si="6"/>
        <v>6.5359999999999996</v>
      </c>
      <c r="AC58" s="10">
        <f t="shared" si="7"/>
        <v>6.45</v>
      </c>
      <c r="AD58" s="10">
        <f t="shared" si="8"/>
        <v>0.51819999999999999</v>
      </c>
      <c r="AE58" s="12">
        <f t="shared" si="9"/>
        <v>1.3945713355455345</v>
      </c>
      <c r="AF58" s="12">
        <f t="shared" si="10"/>
        <v>0.26</v>
      </c>
      <c r="AG58" s="12">
        <f t="shared" si="11"/>
        <v>0.10224</v>
      </c>
      <c r="AH58" s="10">
        <f t="shared" si="12"/>
        <v>1.1556222165942001</v>
      </c>
      <c r="AI58" s="10">
        <f t="shared" si="13"/>
        <v>3.41308302328</v>
      </c>
      <c r="AJ58" s="13">
        <f t="shared" si="14"/>
        <v>1.1556222165942001</v>
      </c>
      <c r="AK58" s="13">
        <f t="shared" si="15"/>
        <v>3.41308302328</v>
      </c>
    </row>
    <row r="59" spans="1:37">
      <c r="A59" s="8">
        <f>鋼床鈑!A59</f>
        <v>57</v>
      </c>
      <c r="B59" s="47" t="s">
        <v>41</v>
      </c>
      <c r="C59" s="47" t="s">
        <v>42</v>
      </c>
      <c r="D59" s="47" t="s">
        <v>143</v>
      </c>
      <c r="E59" s="48">
        <v>518200</v>
      </c>
      <c r="F59" s="49">
        <v>107886.01880000001</v>
      </c>
      <c r="G59" s="49">
        <v>235311.23920000001</v>
      </c>
      <c r="H59" s="49">
        <v>1411847607546.3701</v>
      </c>
      <c r="I59" s="49">
        <v>3413083023280</v>
      </c>
      <c r="J59" s="49">
        <v>1155622216594.2</v>
      </c>
      <c r="K59" s="49">
        <v>3259.33</v>
      </c>
      <c r="L59" s="49">
        <v>3190.67</v>
      </c>
      <c r="M59" s="49">
        <v>2709.0355</v>
      </c>
      <c r="N59" s="49">
        <v>3826.9645</v>
      </c>
      <c r="O59" s="48">
        <v>0</v>
      </c>
      <c r="P59" s="48">
        <v>0</v>
      </c>
      <c r="Q59" s="48">
        <v>31958</v>
      </c>
      <c r="R59" s="48">
        <v>25834</v>
      </c>
      <c r="S59" s="11">
        <f>(鋼床鈑!F59+鋼床鈑!N59+鋼床鈑!O59)*鋼床鈑!L59+(鋼床鈑!I59+鋼床鈑!N59+鋼床鈑!O59)*鋼床鈑!M59</f>
        <v>102240</v>
      </c>
      <c r="T59" s="11">
        <f>(鋼床鈑!K59)*鋼床鈑!N59+(鋼床鈑!K59)*鋼床鈑!O59</f>
        <v>260000</v>
      </c>
      <c r="U59" s="11">
        <f>4*((鋼床鈑!I59+鋼床鈑!N59/2+鋼床鈑!O59/2)*(鋼床鈑!K59+鋼床鈑!L59/2+鋼床鈑!M59/2))^2/((鋼床鈑!F59+鋼床鈑!N59/2+鋼床鈑!O59/2)/鋼床鈑!L59+(鋼床鈑!I59+鋼床鈑!N59/2+鋼床鈑!O59/2)/鋼床鈑!M59+(鋼床鈑!K59+鋼床鈑!L59/2+鋼床鈑!M59/2)/鋼床鈑!N59+(鋼床鈑!K59+鋼床鈑!L59/2+鋼床鈑!M59/2)/鋼床鈑!O59)</f>
        <v>1394571335545.5344</v>
      </c>
      <c r="V59" s="12">
        <f t="shared" si="2"/>
        <v>0.36218794691842154</v>
      </c>
      <c r="W59" s="12">
        <f t="shared" si="3"/>
        <v>0.35455821183930442</v>
      </c>
      <c r="X59" s="12">
        <f t="shared" si="4"/>
        <v>1.2598886294697873</v>
      </c>
      <c r="Y59" s="12">
        <f t="shared" si="5"/>
        <v>0.89185123699997748</v>
      </c>
      <c r="Z59" s="12">
        <f t="shared" si="0"/>
        <v>1.493341852765389</v>
      </c>
      <c r="AA59" s="12">
        <f t="shared" si="1"/>
        <v>2.5664022182749937</v>
      </c>
      <c r="AB59" s="10">
        <f t="shared" si="6"/>
        <v>6.5359999999999996</v>
      </c>
      <c r="AC59" s="10">
        <f t="shared" si="7"/>
        <v>6.45</v>
      </c>
      <c r="AD59" s="10">
        <f t="shared" si="8"/>
        <v>0.51819999999999999</v>
      </c>
      <c r="AE59" s="12">
        <f t="shared" si="9"/>
        <v>1.3945713355455345</v>
      </c>
      <c r="AF59" s="12">
        <f t="shared" si="10"/>
        <v>0.26</v>
      </c>
      <c r="AG59" s="12">
        <f t="shared" si="11"/>
        <v>0.10224</v>
      </c>
      <c r="AH59" s="10">
        <f t="shared" si="12"/>
        <v>1.1556222165942001</v>
      </c>
      <c r="AI59" s="10">
        <f t="shared" si="13"/>
        <v>3.41308302328</v>
      </c>
      <c r="AJ59" s="13">
        <f t="shared" si="14"/>
        <v>1.1556222165942001</v>
      </c>
      <c r="AK59" s="13">
        <f t="shared" si="15"/>
        <v>3.41308302328</v>
      </c>
    </row>
    <row r="60" spans="1:37">
      <c r="A60" s="8">
        <f>鋼床鈑!A60</f>
        <v>58</v>
      </c>
      <c r="B60" s="47" t="s">
        <v>41</v>
      </c>
      <c r="C60" s="47" t="s">
        <v>42</v>
      </c>
      <c r="D60" s="47" t="s">
        <v>146</v>
      </c>
      <c r="E60" s="48">
        <v>518200</v>
      </c>
      <c r="F60" s="49">
        <v>107886.01880000001</v>
      </c>
      <c r="G60" s="49">
        <v>235311.23920000001</v>
      </c>
      <c r="H60" s="49">
        <v>1411847607546.3701</v>
      </c>
      <c r="I60" s="49">
        <v>3413083023280</v>
      </c>
      <c r="J60" s="49">
        <v>1155622216594.2</v>
      </c>
      <c r="K60" s="49">
        <v>3259.33</v>
      </c>
      <c r="L60" s="49">
        <v>3190.67</v>
      </c>
      <c r="M60" s="49">
        <v>2709.0355</v>
      </c>
      <c r="N60" s="49">
        <v>3826.9645</v>
      </c>
      <c r="O60" s="48">
        <v>0</v>
      </c>
      <c r="P60" s="48">
        <v>0</v>
      </c>
      <c r="Q60" s="48">
        <v>31958</v>
      </c>
      <c r="R60" s="48">
        <v>25834</v>
      </c>
      <c r="S60" s="11">
        <f>(鋼床鈑!F60+鋼床鈑!N60+鋼床鈑!O60)*鋼床鈑!L60+(鋼床鈑!I60+鋼床鈑!N60+鋼床鈑!O60)*鋼床鈑!M60</f>
        <v>102240</v>
      </c>
      <c r="T60" s="11">
        <f>(鋼床鈑!K60)*鋼床鈑!N60+(鋼床鈑!K60)*鋼床鈑!O60</f>
        <v>260000</v>
      </c>
      <c r="U60" s="11">
        <f>4*((鋼床鈑!I60+鋼床鈑!N60/2+鋼床鈑!O60/2)*(鋼床鈑!K60+鋼床鈑!L60/2+鋼床鈑!M60/2))^2/((鋼床鈑!F60+鋼床鈑!N60/2+鋼床鈑!O60/2)/鋼床鈑!L60+(鋼床鈑!I60+鋼床鈑!N60/2+鋼床鈑!O60/2)/鋼床鈑!M60+(鋼床鈑!K60+鋼床鈑!L60/2+鋼床鈑!M60/2)/鋼床鈑!N60+(鋼床鈑!K60+鋼床鈑!L60/2+鋼床鈑!M60/2)/鋼床鈑!O60)</f>
        <v>1394571335545.5344</v>
      </c>
      <c r="V60" s="12">
        <f t="shared" si="2"/>
        <v>0.36218794691842154</v>
      </c>
      <c r="W60" s="12">
        <f t="shared" si="3"/>
        <v>0.35455821183930442</v>
      </c>
      <c r="X60" s="12">
        <f t="shared" si="4"/>
        <v>1.2598886294697873</v>
      </c>
      <c r="Y60" s="12">
        <f t="shared" si="5"/>
        <v>0.89185123699997748</v>
      </c>
      <c r="Z60" s="12">
        <f t="shared" si="0"/>
        <v>1.493341852765389</v>
      </c>
      <c r="AA60" s="12">
        <f t="shared" si="1"/>
        <v>2.5664022182749937</v>
      </c>
      <c r="AB60" s="10">
        <f t="shared" si="6"/>
        <v>6.5359999999999996</v>
      </c>
      <c r="AC60" s="10">
        <f t="shared" si="7"/>
        <v>6.45</v>
      </c>
      <c r="AD60" s="10">
        <f t="shared" si="8"/>
        <v>0.51819999999999999</v>
      </c>
      <c r="AE60" s="12">
        <f t="shared" si="9"/>
        <v>1.3945713355455345</v>
      </c>
      <c r="AF60" s="12">
        <f t="shared" si="10"/>
        <v>0.26</v>
      </c>
      <c r="AG60" s="12">
        <f t="shared" si="11"/>
        <v>0.10224</v>
      </c>
      <c r="AH60" s="10">
        <f t="shared" si="12"/>
        <v>1.1556222165942001</v>
      </c>
      <c r="AI60" s="10">
        <f t="shared" si="13"/>
        <v>3.41308302328</v>
      </c>
      <c r="AJ60" s="13">
        <f t="shared" si="14"/>
        <v>1.1556222165942001</v>
      </c>
      <c r="AK60" s="13">
        <f t="shared" si="15"/>
        <v>3.41308302328</v>
      </c>
    </row>
    <row r="61" spans="1:37">
      <c r="A61" s="8">
        <f>鋼床鈑!A61</f>
        <v>59</v>
      </c>
      <c r="B61" s="47" t="s">
        <v>41</v>
      </c>
      <c r="C61" s="47" t="s">
        <v>42</v>
      </c>
      <c r="D61" s="47" t="s">
        <v>159</v>
      </c>
      <c r="E61" s="48">
        <v>512520</v>
      </c>
      <c r="F61" s="49">
        <v>108823.49430000001</v>
      </c>
      <c r="G61" s="49">
        <v>229875.04120000001</v>
      </c>
      <c r="H61" s="49">
        <v>1373113299617.95</v>
      </c>
      <c r="I61" s="49">
        <v>3243462553968.5</v>
      </c>
      <c r="J61" s="49">
        <v>1144320120137.7</v>
      </c>
      <c r="K61" s="49">
        <v>3258.8793000000001</v>
      </c>
      <c r="L61" s="49">
        <v>3191.1206999999999</v>
      </c>
      <c r="M61" s="49">
        <v>2644.4139</v>
      </c>
      <c r="N61" s="49">
        <v>3749.5861</v>
      </c>
      <c r="O61" s="48">
        <v>0</v>
      </c>
      <c r="P61" s="48">
        <v>0</v>
      </c>
      <c r="Q61" s="48">
        <v>31674</v>
      </c>
      <c r="R61" s="48">
        <v>25550</v>
      </c>
      <c r="S61" s="11">
        <f>(鋼床鈑!F61+鋼床鈑!N61+鋼床鈑!O61)*鋼床鈑!L61+(鋼床鈑!I61+鋼床鈑!N61+鋼床鈑!O61)*鋼床鈑!M61</f>
        <v>102240</v>
      </c>
      <c r="T61" s="11">
        <f>(鋼床鈑!K61)*鋼床鈑!N61+(鋼床鈑!K61)*鋼床鈑!O61</f>
        <v>254320</v>
      </c>
      <c r="U61" s="11">
        <f>4*((鋼床鈑!I61+鋼床鈑!N61/2+鋼床鈑!O61/2)*(鋼床鈑!K61+鋼床鈑!L61/2+鋼床鈑!M61/2))^2/((鋼床鈑!F61+鋼床鈑!N61/2+鋼床鈑!O61/2)/鋼床鈑!L61+(鋼床鈑!I61+鋼床鈑!N61/2+鋼床鈑!O61/2)/鋼床鈑!M61+(鋼床鈑!K61+鋼床鈑!L61/2+鋼床鈑!M61/2)/鋼床鈑!N61+(鋼床鈑!K61+鋼床鈑!L61/2+鋼床鈑!M61/2)/鋼床鈑!O61)</f>
        <v>1354314949164.3716</v>
      </c>
      <c r="V61" s="12">
        <f t="shared" si="2"/>
        <v>0.35859506039295225</v>
      </c>
      <c r="W61" s="12">
        <f t="shared" si="3"/>
        <v>0.3511391539225463</v>
      </c>
      <c r="X61" s="12">
        <f t="shared" si="4"/>
        <v>1.2265336201600288</v>
      </c>
      <c r="Y61" s="12">
        <f t="shared" si="5"/>
        <v>0.86501882273579478</v>
      </c>
      <c r="Z61" s="12">
        <f t="shared" si="0"/>
        <v>1.4942331195570677</v>
      </c>
      <c r="AA61" s="12">
        <f t="shared" si="1"/>
        <v>2.5156431499851091</v>
      </c>
      <c r="AB61" s="10">
        <f t="shared" si="6"/>
        <v>6.3940000000000001</v>
      </c>
      <c r="AC61" s="10">
        <f t="shared" si="7"/>
        <v>6.45</v>
      </c>
      <c r="AD61" s="10">
        <f t="shared" si="8"/>
        <v>0.51251999999999998</v>
      </c>
      <c r="AE61" s="12">
        <f t="shared" si="9"/>
        <v>1.3543149491643716</v>
      </c>
      <c r="AF61" s="12">
        <f t="shared" si="10"/>
        <v>0.25431999999999999</v>
      </c>
      <c r="AG61" s="12">
        <f t="shared" si="11"/>
        <v>0.10224</v>
      </c>
      <c r="AH61" s="10">
        <f t="shared" si="12"/>
        <v>1.1443201201377</v>
      </c>
      <c r="AI61" s="10">
        <f t="shared" si="13"/>
        <v>3.2434625539685</v>
      </c>
      <c r="AJ61" s="13">
        <f t="shared" si="14"/>
        <v>1.1443201201377</v>
      </c>
      <c r="AK61" s="13">
        <f t="shared" si="15"/>
        <v>3.2434625539685</v>
      </c>
    </row>
    <row r="62" spans="1:37">
      <c r="A62" s="8">
        <f>鋼床鈑!A62</f>
        <v>60</v>
      </c>
      <c r="B62" s="47" t="s">
        <v>41</v>
      </c>
      <c r="C62" s="47" t="s">
        <v>42</v>
      </c>
      <c r="D62" s="47" t="s">
        <v>160</v>
      </c>
      <c r="E62" s="48">
        <v>506760</v>
      </c>
      <c r="F62" s="49">
        <v>109646.79029999999</v>
      </c>
      <c r="G62" s="49">
        <v>224184.1594</v>
      </c>
      <c r="H62" s="49">
        <v>1332163957227.52</v>
      </c>
      <c r="I62" s="49">
        <v>3076686146439.8501</v>
      </c>
      <c r="J62" s="49">
        <v>1132858621763.0701</v>
      </c>
      <c r="K62" s="49">
        <v>3258.4119000000001</v>
      </c>
      <c r="L62" s="49">
        <v>3191.5880999999999</v>
      </c>
      <c r="M62" s="49">
        <v>2579.0281</v>
      </c>
      <c r="N62" s="49">
        <v>3670.9719</v>
      </c>
      <c r="O62" s="48">
        <v>0</v>
      </c>
      <c r="P62" s="48">
        <v>0</v>
      </c>
      <c r="Q62" s="48">
        <v>31386</v>
      </c>
      <c r="R62" s="48">
        <v>25262</v>
      </c>
      <c r="S62" s="11">
        <f>(鋼床鈑!F62+鋼床鈑!N62+鋼床鈑!O62)*鋼床鈑!L62+(鋼床鈑!I62+鋼床鈑!N62+鋼床鈑!O62)*鋼床鈑!M62</f>
        <v>102240</v>
      </c>
      <c r="T62" s="11">
        <f>(鋼床鈑!K62)*鋼床鈑!N62+(鋼床鈑!K62)*鋼床鈑!O62</f>
        <v>248560</v>
      </c>
      <c r="U62" s="11">
        <f>4*((鋼床鈑!I62+鋼床鈑!N62/2+鋼床鈑!O62/2)*(鋼床鈑!K62+鋼床鈑!L62/2+鋼床鈑!M62/2))^2/((鋼床鈑!F62+鋼床鈑!N62/2+鋼床鈑!O62/2)/鋼床鈑!L62+(鋼床鈑!I62+鋼床鈑!N62/2+鋼床鈑!O62/2)/鋼床鈑!M62+(鋼床鈑!K62+鋼床鈑!L62/2+鋼床鈑!M62/2)/鋼床鈑!N62+(鋼床鈑!K62+鋼床鈑!L62/2+鋼床鈑!M62/2)/鋼床鈑!O62)</f>
        <v>1313643092466.7979</v>
      </c>
      <c r="V62" s="12">
        <f t="shared" si="2"/>
        <v>0.35495138666642789</v>
      </c>
      <c r="W62" s="12">
        <f t="shared" si="3"/>
        <v>0.3476720121734978</v>
      </c>
      <c r="X62" s="12">
        <f t="shared" si="4"/>
        <v>1.1929634060365026</v>
      </c>
      <c r="Y62" s="12">
        <f t="shared" si="5"/>
        <v>0.83811214856748151</v>
      </c>
      <c r="Z62" s="12">
        <f t="shared" si="0"/>
        <v>1.4951566383230679</v>
      </c>
      <c r="AA62" s="12">
        <f t="shared" si="1"/>
        <v>2.4639984725499349</v>
      </c>
      <c r="AB62" s="10">
        <f t="shared" si="6"/>
        <v>6.25</v>
      </c>
      <c r="AC62" s="10">
        <f t="shared" si="7"/>
        <v>6.45</v>
      </c>
      <c r="AD62" s="10">
        <f t="shared" si="8"/>
        <v>0.50675999999999999</v>
      </c>
      <c r="AE62" s="12">
        <f t="shared" si="9"/>
        <v>1.3136430924667979</v>
      </c>
      <c r="AF62" s="12">
        <f t="shared" si="10"/>
        <v>0.24856</v>
      </c>
      <c r="AG62" s="12">
        <f t="shared" si="11"/>
        <v>0.10224</v>
      </c>
      <c r="AH62" s="10">
        <f t="shared" si="12"/>
        <v>1.1328586217630701</v>
      </c>
      <c r="AI62" s="10">
        <f t="shared" si="13"/>
        <v>3.0766861464398501</v>
      </c>
      <c r="AJ62" s="13">
        <f t="shared" si="14"/>
        <v>1.1328586217630701</v>
      </c>
      <c r="AK62" s="13">
        <f t="shared" si="15"/>
        <v>3.0766861464398501</v>
      </c>
    </row>
    <row r="63" spans="1:37">
      <c r="A63" s="8">
        <f>鋼床鈑!A63</f>
        <v>61</v>
      </c>
      <c r="B63" s="47" t="s">
        <v>41</v>
      </c>
      <c r="C63" s="47" t="s">
        <v>42</v>
      </c>
      <c r="D63" s="47" t="s">
        <v>161</v>
      </c>
      <c r="E63" s="48">
        <v>501600</v>
      </c>
      <c r="F63" s="49">
        <v>110383.7295</v>
      </c>
      <c r="G63" s="49">
        <v>219081.52059999999</v>
      </c>
      <c r="H63" s="49">
        <v>1295614471427.8301</v>
      </c>
      <c r="I63" s="49">
        <v>2931707212299.5</v>
      </c>
      <c r="J63" s="49">
        <v>1122590837361.3</v>
      </c>
      <c r="K63" s="49">
        <v>3257.9841000000001</v>
      </c>
      <c r="L63" s="49">
        <v>3192.0158999999999</v>
      </c>
      <c r="M63" s="49">
        <v>2520.5823</v>
      </c>
      <c r="N63" s="49">
        <v>3600.4177</v>
      </c>
      <c r="O63" s="48">
        <v>0</v>
      </c>
      <c r="P63" s="48">
        <v>0</v>
      </c>
      <c r="Q63" s="48">
        <v>31128</v>
      </c>
      <c r="R63" s="48">
        <v>25004</v>
      </c>
      <c r="S63" s="11">
        <f>(鋼床鈑!F63+鋼床鈑!N63+鋼床鈑!O63)*鋼床鈑!L63+(鋼床鈑!I63+鋼床鈑!N63+鋼床鈑!O63)*鋼床鈑!M63</f>
        <v>102240</v>
      </c>
      <c r="T63" s="11">
        <f>(鋼床鈑!K63)*鋼床鈑!N63+(鋼床鈑!K63)*鋼床鈑!O63</f>
        <v>243400</v>
      </c>
      <c r="U63" s="11">
        <f>4*((鋼床鈑!I63+鋼床鈑!N63/2+鋼床鈑!O63/2)*(鋼床鈑!K63+鋼床鈑!L63/2+鋼床鈑!M63/2))^2/((鋼床鈑!F63+鋼床鈑!N63/2+鋼床鈑!O63/2)/鋼床鈑!L63+(鋼床鈑!I63+鋼床鈑!N63/2+鋼床鈑!O63/2)/鋼床鈑!M63+(鋼床鈑!K63+鋼床鈑!L63/2+鋼床鈑!M63/2)/鋼床鈑!N63+(鋼床鈑!K63+鋼床鈑!L63/2+鋼床鈑!M63/2)/鋼床鈑!O63)</f>
        <v>1277343252273.624</v>
      </c>
      <c r="V63" s="12">
        <f t="shared" si="2"/>
        <v>0.35168710699758737</v>
      </c>
      <c r="W63" s="12">
        <f t="shared" si="3"/>
        <v>0.34456608838615876</v>
      </c>
      <c r="X63" s="12">
        <f t="shared" si="4"/>
        <v>1.1631071170735032</v>
      </c>
      <c r="Y63" s="12">
        <f t="shared" si="5"/>
        <v>0.81426863674720296</v>
      </c>
      <c r="Z63" s="12">
        <f t="shared" si="0"/>
        <v>1.4960013404701205</v>
      </c>
      <c r="AA63" s="12">
        <f t="shared" si="1"/>
        <v>2.4175837830951155</v>
      </c>
      <c r="AB63" s="10">
        <f t="shared" si="6"/>
        <v>6.1210000000000004</v>
      </c>
      <c r="AC63" s="10">
        <f t="shared" si="7"/>
        <v>6.45</v>
      </c>
      <c r="AD63" s="10">
        <f t="shared" si="8"/>
        <v>0.50160000000000005</v>
      </c>
      <c r="AE63" s="12">
        <f t="shared" si="9"/>
        <v>1.2773432522736241</v>
      </c>
      <c r="AF63" s="12">
        <f t="shared" si="10"/>
        <v>0.24340000000000001</v>
      </c>
      <c r="AG63" s="12">
        <f t="shared" si="11"/>
        <v>0.10224</v>
      </c>
      <c r="AH63" s="10">
        <f t="shared" si="12"/>
        <v>1.1225908373613001</v>
      </c>
      <c r="AI63" s="10">
        <f t="shared" si="13"/>
        <v>2.9317072122995</v>
      </c>
      <c r="AJ63" s="13">
        <f t="shared" si="14"/>
        <v>1.1225908373613001</v>
      </c>
      <c r="AK63" s="13">
        <f t="shared" si="15"/>
        <v>2.9317072122995</v>
      </c>
    </row>
    <row r="64" spans="1:37">
      <c r="A64" s="8">
        <f>鋼床鈑!A64</f>
        <v>62</v>
      </c>
      <c r="B64" s="47" t="s">
        <v>41</v>
      </c>
      <c r="C64" s="47" t="s">
        <v>42</v>
      </c>
      <c r="D64" s="47" t="s">
        <v>162</v>
      </c>
      <c r="E64" s="48">
        <v>496600</v>
      </c>
      <c r="F64" s="49">
        <v>111089.32249999999</v>
      </c>
      <c r="G64" s="49">
        <v>214131.56940000001</v>
      </c>
      <c r="H64" s="49">
        <v>1260292149269.3201</v>
      </c>
      <c r="I64" s="49">
        <v>2795169826178.04</v>
      </c>
      <c r="J64" s="49">
        <v>1112641255123.47</v>
      </c>
      <c r="K64" s="49">
        <v>3257.5610000000001</v>
      </c>
      <c r="L64" s="49">
        <v>3192.4389999999999</v>
      </c>
      <c r="M64" s="49">
        <v>2464.0689000000002</v>
      </c>
      <c r="N64" s="49">
        <v>3531.9310999999998</v>
      </c>
      <c r="O64" s="48">
        <v>0</v>
      </c>
      <c r="P64" s="48">
        <v>0</v>
      </c>
      <c r="Q64" s="48">
        <v>30878</v>
      </c>
      <c r="R64" s="48">
        <v>24754</v>
      </c>
      <c r="S64" s="11">
        <f>(鋼床鈑!F64+鋼床鈑!N64+鋼床鈑!O64)*鋼床鈑!L64+(鋼床鈑!I64+鋼床鈑!N64+鋼床鈑!O64)*鋼床鈑!M64</f>
        <v>102240</v>
      </c>
      <c r="T64" s="11">
        <f>(鋼床鈑!K64)*鋼床鈑!N64+(鋼床鈑!K64)*鋼床鈑!O64</f>
        <v>238400</v>
      </c>
      <c r="U64" s="11">
        <f>4*((鋼床鈑!I64+鋼床鈑!N64/2+鋼床鈑!O64/2)*(鋼床鈑!K64+鋼床鈑!L64/2+鋼床鈑!M64/2))^2/((鋼床鈑!F64+鋼床鈑!N64/2+鋼床鈑!O64/2)/鋼床鈑!L64+(鋼床鈑!I64+鋼床鈑!N64/2+鋼床鈑!O64/2)/鋼床鈑!M64+(鋼床鈑!K64+鋼床鈑!L64/2+鋼床鈑!M64/2)/鋼床鈑!N64+(鋼床鈑!K64+鋼床鈑!L64/2+鋼床鈑!M64/2)/鋼床鈑!O64)</f>
        <v>1242296335114.3655</v>
      </c>
      <c r="V64" s="12">
        <f t="shared" si="2"/>
        <v>0.34852388882715379</v>
      </c>
      <c r="W64" s="12">
        <f t="shared" si="3"/>
        <v>0.34155653727542473</v>
      </c>
      <c r="X64" s="12">
        <f t="shared" si="4"/>
        <v>1.1343716184957491</v>
      </c>
      <c r="Y64" s="12">
        <f t="shared" si="5"/>
        <v>0.79139987362098885</v>
      </c>
      <c r="Z64" s="12">
        <f t="shared" si="0"/>
        <v>1.4968360073403029</v>
      </c>
      <c r="AA64" s="12">
        <f t="shared" si="1"/>
        <v>2.3724700691713809</v>
      </c>
      <c r="AB64" s="10">
        <f t="shared" si="6"/>
        <v>5.9960000000000004</v>
      </c>
      <c r="AC64" s="10">
        <f t="shared" si="7"/>
        <v>6.45</v>
      </c>
      <c r="AD64" s="10">
        <f t="shared" si="8"/>
        <v>0.49659999999999999</v>
      </c>
      <c r="AE64" s="12">
        <f t="shared" si="9"/>
        <v>1.2422963351143654</v>
      </c>
      <c r="AF64" s="12">
        <f t="shared" si="10"/>
        <v>0.2384</v>
      </c>
      <c r="AG64" s="12">
        <f t="shared" si="11"/>
        <v>0.10224</v>
      </c>
      <c r="AH64" s="10">
        <f t="shared" si="12"/>
        <v>1.1126412551234699</v>
      </c>
      <c r="AI64" s="10">
        <f t="shared" si="13"/>
        <v>2.7951698261780402</v>
      </c>
      <c r="AJ64" s="13">
        <f t="shared" si="14"/>
        <v>1.1126412551234699</v>
      </c>
      <c r="AK64" s="13">
        <f t="shared" si="15"/>
        <v>2.7951698261780402</v>
      </c>
    </row>
    <row r="65" spans="1:37">
      <c r="A65" s="8">
        <f>鋼床鈑!A65</f>
        <v>63</v>
      </c>
      <c r="B65" s="47" t="s">
        <v>41</v>
      </c>
      <c r="C65" s="47" t="s">
        <v>42</v>
      </c>
      <c r="D65" s="47" t="s">
        <v>163</v>
      </c>
      <c r="E65" s="48">
        <v>491760</v>
      </c>
      <c r="F65" s="49">
        <v>111776.8349</v>
      </c>
      <c r="G65" s="49">
        <v>209337.95050000001</v>
      </c>
      <c r="H65" s="49">
        <v>1226250571400.8601</v>
      </c>
      <c r="I65" s="49">
        <v>2666662899239.0801</v>
      </c>
      <c r="J65" s="49">
        <v>1103009886827.5601</v>
      </c>
      <c r="K65" s="49">
        <v>3257.1433000000002</v>
      </c>
      <c r="L65" s="49">
        <v>3192.8566999999998</v>
      </c>
      <c r="M65" s="49">
        <v>2409.4798000000001</v>
      </c>
      <c r="N65" s="49">
        <v>3465.5201999999999</v>
      </c>
      <c r="O65" s="48">
        <v>0</v>
      </c>
      <c r="P65" s="48">
        <v>0</v>
      </c>
      <c r="Q65" s="48">
        <v>30636</v>
      </c>
      <c r="R65" s="48">
        <v>24512</v>
      </c>
      <c r="S65" s="11">
        <f>(鋼床鈑!F65+鋼床鈑!N65+鋼床鈑!O65)*鋼床鈑!L65+(鋼床鈑!I65+鋼床鈑!N65+鋼床鈑!O65)*鋼床鈑!M65</f>
        <v>102240</v>
      </c>
      <c r="T65" s="11">
        <f>(鋼床鈑!K65)*鋼床鈑!N65+(鋼床鈑!K65)*鋼床鈑!O65</f>
        <v>233560</v>
      </c>
      <c r="U65" s="11">
        <f>4*((鋼床鈑!I65+鋼床鈑!N65/2+鋼床鈑!O65/2)*(鋼床鈑!K65+鋼床鈑!L65/2+鋼床鈑!M65/2))^2/((鋼床鈑!F65+鋼床鈑!N65/2+鋼床鈑!O65/2)/鋼床鈑!L65+(鋼床鈑!I65+鋼床鈑!N65/2+鋼床鈑!O65/2)/鋼床鈑!M65+(鋼床鈑!K65+鋼床鈑!L65/2+鋼床鈑!M65/2)/鋼床鈑!N65+(鋼床鈑!K65+鋼床鈑!L65/2+鋼床鈑!M65/2)/鋼床鈑!O65)</f>
        <v>1208495266526.8286</v>
      </c>
      <c r="V65" s="12">
        <f t="shared" si="2"/>
        <v>0.34546175743733193</v>
      </c>
      <c r="W65" s="12">
        <f t="shared" si="3"/>
        <v>0.33864334026309495</v>
      </c>
      <c r="X65" s="12">
        <f t="shared" si="4"/>
        <v>1.1067380184050848</v>
      </c>
      <c r="Y65" s="12">
        <f t="shared" si="5"/>
        <v>0.76948415976310869</v>
      </c>
      <c r="Z65" s="12">
        <f t="shared" si="0"/>
        <v>1.4976595582735497</v>
      </c>
      <c r="AA65" s="12">
        <f t="shared" si="1"/>
        <v>2.3286673782790217</v>
      </c>
      <c r="AB65" s="10">
        <f t="shared" si="6"/>
        <v>5.875</v>
      </c>
      <c r="AC65" s="10">
        <f t="shared" si="7"/>
        <v>6.45</v>
      </c>
      <c r="AD65" s="10">
        <f t="shared" si="8"/>
        <v>0.49175999999999997</v>
      </c>
      <c r="AE65" s="12">
        <f t="shared" si="9"/>
        <v>1.2084952665268287</v>
      </c>
      <c r="AF65" s="12">
        <f t="shared" si="10"/>
        <v>0.23355999999999999</v>
      </c>
      <c r="AG65" s="12">
        <f t="shared" si="11"/>
        <v>0.10224</v>
      </c>
      <c r="AH65" s="10">
        <f t="shared" si="12"/>
        <v>1.10300988682756</v>
      </c>
      <c r="AI65" s="10">
        <f t="shared" si="13"/>
        <v>2.6666628992390802</v>
      </c>
      <c r="AJ65" s="13">
        <f t="shared" si="14"/>
        <v>1.10300988682756</v>
      </c>
      <c r="AK65" s="13">
        <f t="shared" si="15"/>
        <v>2.6666628992390802</v>
      </c>
    </row>
    <row r="66" spans="1:37">
      <c r="A66" s="8">
        <f>鋼床鈑!A66</f>
        <v>64</v>
      </c>
      <c r="B66" s="47" t="s">
        <v>41</v>
      </c>
      <c r="C66" s="47" t="s">
        <v>42</v>
      </c>
      <c r="D66" s="47" t="s">
        <v>164</v>
      </c>
      <c r="E66" s="48">
        <v>487080</v>
      </c>
      <c r="F66" s="49">
        <v>112439.3735</v>
      </c>
      <c r="G66" s="49">
        <v>204697.84789999999</v>
      </c>
      <c r="H66" s="49">
        <v>1193439928259.3899</v>
      </c>
      <c r="I66" s="49">
        <v>2545794577019.2402</v>
      </c>
      <c r="J66" s="49">
        <v>1093696744505.46</v>
      </c>
      <c r="K66" s="49">
        <v>3256.7314999999999</v>
      </c>
      <c r="L66" s="49">
        <v>3193.2685000000001</v>
      </c>
      <c r="M66" s="49">
        <v>2356.8069999999998</v>
      </c>
      <c r="N66" s="49">
        <v>3401.1930000000002</v>
      </c>
      <c r="O66" s="48">
        <v>0</v>
      </c>
      <c r="P66" s="48">
        <v>0</v>
      </c>
      <c r="Q66" s="48">
        <v>30402</v>
      </c>
      <c r="R66" s="48">
        <v>24278</v>
      </c>
      <c r="S66" s="11">
        <f>(鋼床鈑!F66+鋼床鈑!N66+鋼床鈑!O66)*鋼床鈑!L66+(鋼床鈑!I66+鋼床鈑!N66+鋼床鈑!O66)*鋼床鈑!M66</f>
        <v>102240</v>
      </c>
      <c r="T66" s="11">
        <f>(鋼床鈑!K66)*鋼床鈑!N66+(鋼床鈑!K66)*鋼床鈑!O66</f>
        <v>228880</v>
      </c>
      <c r="U66" s="11">
        <f>4*((鋼床鈑!I66+鋼床鈑!N66/2+鋼床鈑!O66/2)*(鋼床鈑!K66+鋼床鈑!L66/2+鋼床鈑!M66/2))^2/((鋼床鈑!F66+鋼床鈑!N66/2+鋼床鈑!O66/2)/鋼床鈑!L66+(鋼床鈑!I66+鋼床鈑!N66/2+鋼床鈑!O66/2)/鋼床鈑!M66+(鋼床鈑!K66+鋼床鈑!L66/2+鋼床鈑!M66/2)/鋼床鈑!N66+(鋼床鈑!K66+鋼床鈑!L66/2+鋼床鈑!M66/2)/鋼床鈑!O66)</f>
        <v>1175932652970.5469</v>
      </c>
      <c r="V66" s="12">
        <f t="shared" si="2"/>
        <v>0.34250071502144586</v>
      </c>
      <c r="W66" s="12">
        <f t="shared" si="3"/>
        <v>0.33582650105035061</v>
      </c>
      <c r="X66" s="12">
        <f t="shared" si="4"/>
        <v>1.0801879733975843</v>
      </c>
      <c r="Y66" s="12">
        <f t="shared" si="5"/>
        <v>0.74850047528006791</v>
      </c>
      <c r="Z66" s="12">
        <f t="shared" si="0"/>
        <v>1.4984708915909677</v>
      </c>
      <c r="AA66" s="12">
        <f t="shared" si="1"/>
        <v>2.2861858363587806</v>
      </c>
      <c r="AB66" s="10">
        <f t="shared" si="6"/>
        <v>5.758</v>
      </c>
      <c r="AC66" s="10">
        <f t="shared" si="7"/>
        <v>6.45</v>
      </c>
      <c r="AD66" s="10">
        <f t="shared" si="8"/>
        <v>0.48708000000000001</v>
      </c>
      <c r="AE66" s="12">
        <f t="shared" si="9"/>
        <v>1.1759326529705469</v>
      </c>
      <c r="AF66" s="12">
        <f t="shared" si="10"/>
        <v>0.22888</v>
      </c>
      <c r="AG66" s="12">
        <f t="shared" si="11"/>
        <v>0.10224</v>
      </c>
      <c r="AH66" s="10">
        <f t="shared" si="12"/>
        <v>1.09369674450546</v>
      </c>
      <c r="AI66" s="10">
        <f t="shared" si="13"/>
        <v>2.5457945770192403</v>
      </c>
      <c r="AJ66" s="13">
        <f t="shared" si="14"/>
        <v>1.09369674450546</v>
      </c>
      <c r="AK66" s="13">
        <f t="shared" si="15"/>
        <v>2.5457945770192403</v>
      </c>
    </row>
    <row r="67" spans="1:37">
      <c r="A67" s="8">
        <f>鋼床鈑!A67</f>
        <v>65</v>
      </c>
      <c r="B67" s="47" t="s">
        <v>41</v>
      </c>
      <c r="C67" s="47" t="s">
        <v>42</v>
      </c>
      <c r="D67" s="47" t="s">
        <v>165</v>
      </c>
      <c r="E67" s="48">
        <v>482520</v>
      </c>
      <c r="F67" s="49">
        <v>113075.18459999999</v>
      </c>
      <c r="G67" s="49">
        <v>200173.65470000001</v>
      </c>
      <c r="H67" s="49">
        <v>1161568128293.02</v>
      </c>
      <c r="I67" s="49">
        <v>2431199970047.1201</v>
      </c>
      <c r="J67" s="49">
        <v>1084622238780.38</v>
      </c>
      <c r="K67" s="49">
        <v>3256.3226</v>
      </c>
      <c r="L67" s="49">
        <v>3193.6774</v>
      </c>
      <c r="M67" s="49">
        <v>2305.5936000000002</v>
      </c>
      <c r="N67" s="49">
        <v>3338.4063999999998</v>
      </c>
      <c r="O67" s="48">
        <v>0</v>
      </c>
      <c r="P67" s="48">
        <v>0</v>
      </c>
      <c r="Q67" s="48">
        <v>30174</v>
      </c>
      <c r="R67" s="48">
        <v>24050</v>
      </c>
      <c r="S67" s="11">
        <f>(鋼床鈑!F67+鋼床鈑!N67+鋼床鈑!O67)*鋼床鈑!L67+(鋼床鈑!I67+鋼床鈑!N67+鋼床鈑!O67)*鋼床鈑!M67</f>
        <v>102240</v>
      </c>
      <c r="T67" s="11">
        <f>(鋼床鈑!K67)*鋼床鈑!N67+(鋼床鈑!K67)*鋼床鈑!O67</f>
        <v>224320</v>
      </c>
      <c r="U67" s="11">
        <f>4*((鋼床鈑!I67+鋼床鈑!N67/2+鋼床鈑!O67/2)*(鋼床鈑!K67+鋼床鈑!L67/2+鋼床鈑!M67/2))^2/((鋼床鈑!F67+鋼床鈑!N67/2+鋼床鈑!O67/2)/鋼床鈑!L67+(鋼床鈑!I67+鋼床鈑!N67/2+鋼床鈑!O67/2)/鋼床鈑!M67+(鋼床鈑!K67+鋼床鈑!L67/2+鋼床鈑!M67/2)/鋼床鈑!N67+(鋼床鈑!K67+鋼床鈑!L67/2+鋼床鈑!M67/2)/鋼床鈑!O67)</f>
        <v>1144324049337.5007</v>
      </c>
      <c r="V67" s="12">
        <f t="shared" si="2"/>
        <v>0.33961546610198645</v>
      </c>
      <c r="W67" s="12">
        <f t="shared" si="3"/>
        <v>0.33308193690034893</v>
      </c>
      <c r="X67" s="12">
        <f t="shared" si="4"/>
        <v>1.0544789723770571</v>
      </c>
      <c r="Y67" s="12">
        <f t="shared" si="5"/>
        <v>0.72825165026256855</v>
      </c>
      <c r="Z67" s="12">
        <f t="shared" si="0"/>
        <v>1.499276013335747</v>
      </c>
      <c r="AA67" s="12">
        <f t="shared" si="1"/>
        <v>2.2446709253012966</v>
      </c>
      <c r="AB67" s="10">
        <f t="shared" si="6"/>
        <v>5.6440000000000001</v>
      </c>
      <c r="AC67" s="10">
        <f t="shared" si="7"/>
        <v>6.45</v>
      </c>
      <c r="AD67" s="10">
        <f t="shared" si="8"/>
        <v>0.48252</v>
      </c>
      <c r="AE67" s="12">
        <f t="shared" si="9"/>
        <v>1.1443240493375006</v>
      </c>
      <c r="AF67" s="12">
        <f t="shared" si="10"/>
        <v>0.22431999999999999</v>
      </c>
      <c r="AG67" s="12">
        <f t="shared" si="11"/>
        <v>0.10224</v>
      </c>
      <c r="AH67" s="10">
        <f t="shared" si="12"/>
        <v>1.0846222387803801</v>
      </c>
      <c r="AI67" s="10">
        <f t="shared" si="13"/>
        <v>2.4311999700471203</v>
      </c>
      <c r="AJ67" s="13">
        <f t="shared" si="14"/>
        <v>1.0846222387803801</v>
      </c>
      <c r="AK67" s="13">
        <f t="shared" si="15"/>
        <v>2.4311999700471203</v>
      </c>
    </row>
    <row r="68" spans="1:37">
      <c r="A68" s="8">
        <f>鋼床鈑!A68</f>
        <v>66</v>
      </c>
      <c r="B68" s="47" t="s">
        <v>41</v>
      </c>
      <c r="C68" s="47" t="s">
        <v>42</v>
      </c>
      <c r="D68" s="47" t="s">
        <v>166</v>
      </c>
      <c r="E68" s="48">
        <v>478160</v>
      </c>
      <c r="F68" s="49">
        <v>113687.8437</v>
      </c>
      <c r="G68" s="49">
        <v>195845.8077</v>
      </c>
      <c r="H68" s="49">
        <v>1131227829640.54</v>
      </c>
      <c r="I68" s="49">
        <v>2324533218520.8101</v>
      </c>
      <c r="J68" s="49">
        <v>1075945583981.02</v>
      </c>
      <c r="K68" s="49">
        <v>3255.9243999999999</v>
      </c>
      <c r="L68" s="49">
        <v>3194.0756000000001</v>
      </c>
      <c r="M68" s="49">
        <v>2256.7294999999999</v>
      </c>
      <c r="N68" s="49">
        <v>3278.2705000000001</v>
      </c>
      <c r="O68" s="48">
        <v>0</v>
      </c>
      <c r="P68" s="48">
        <v>0</v>
      </c>
      <c r="Q68" s="48">
        <v>29956</v>
      </c>
      <c r="R68" s="48">
        <v>23832</v>
      </c>
      <c r="S68" s="11">
        <f>(鋼床鈑!F68+鋼床鈑!N68+鋼床鈑!O68)*鋼床鈑!L68+(鋼床鈑!I68+鋼床鈑!N68+鋼床鈑!O68)*鋼床鈑!M68</f>
        <v>102240</v>
      </c>
      <c r="T68" s="11">
        <f>(鋼床鈑!K68)*鋼床鈑!N68+(鋼床鈑!K68)*鋼床鈑!O68</f>
        <v>219960</v>
      </c>
      <c r="U68" s="11">
        <f>4*((鋼床鈑!I68+鋼床鈑!N68/2+鋼床鈑!O68/2)*(鋼床鈑!K68+鋼床鈑!L68/2+鋼床鈑!M68/2))^2/((鋼床鈑!F68+鋼床鈑!N68/2+鋼床鈑!O68/2)/鋼床鈑!L68+(鋼床鈑!I68+鋼床鈑!N68/2+鋼床鈑!O68/2)/鋼床鈑!M68+(鋼床鈑!K68+鋼床鈑!L68/2+鋼床鈑!M68/2)/鋼床鈑!N68+(鋼床鈑!K68+鋼床鈑!L68/2+鋼床鈑!M68/2)/鋼床鈑!O68)</f>
        <v>1114215994216.468</v>
      </c>
      <c r="V68" s="12">
        <f t="shared" si="2"/>
        <v>0.33685664296143142</v>
      </c>
      <c r="W68" s="12">
        <f t="shared" si="3"/>
        <v>0.33045779072174403</v>
      </c>
      <c r="X68" s="12">
        <f t="shared" si="4"/>
        <v>1.0300451243805737</v>
      </c>
      <c r="Y68" s="12">
        <f t="shared" si="5"/>
        <v>0.70907303668834221</v>
      </c>
      <c r="Z68" s="12">
        <f t="shared" ref="Z68:Z131" si="16">SQRT(AH68/AD68)</f>
        <v>1.5000596608381085</v>
      </c>
      <c r="AA68" s="12">
        <f t="shared" ref="AA68:AA131" si="17">SQRT(AI68/AD68)</f>
        <v>2.2048612098978442</v>
      </c>
      <c r="AB68" s="10">
        <f t="shared" si="6"/>
        <v>5.5350000000000001</v>
      </c>
      <c r="AC68" s="10">
        <f t="shared" si="7"/>
        <v>6.45</v>
      </c>
      <c r="AD68" s="10">
        <f t="shared" si="8"/>
        <v>0.47815999999999997</v>
      </c>
      <c r="AE68" s="12">
        <f t="shared" si="9"/>
        <v>1.114215994216468</v>
      </c>
      <c r="AF68" s="12">
        <f t="shared" si="10"/>
        <v>0.21995999999999999</v>
      </c>
      <c r="AG68" s="12">
        <f t="shared" si="11"/>
        <v>0.10224</v>
      </c>
      <c r="AH68" s="10">
        <f t="shared" si="12"/>
        <v>1.0759455839810199</v>
      </c>
      <c r="AI68" s="10">
        <f t="shared" si="13"/>
        <v>2.3245332185208101</v>
      </c>
      <c r="AJ68" s="13">
        <f t="shared" si="14"/>
        <v>1.0759455839810199</v>
      </c>
      <c r="AK68" s="13">
        <f t="shared" si="15"/>
        <v>2.3245332185208101</v>
      </c>
    </row>
    <row r="69" spans="1:37">
      <c r="A69" s="8">
        <f>鋼床鈑!A69</f>
        <v>67</v>
      </c>
      <c r="B69" s="47" t="s">
        <v>41</v>
      </c>
      <c r="C69" s="47" t="s">
        <v>42</v>
      </c>
      <c r="D69" s="47" t="s">
        <v>167</v>
      </c>
      <c r="E69" s="48">
        <v>473920</v>
      </c>
      <c r="F69" s="49">
        <v>114281.32369999999</v>
      </c>
      <c r="G69" s="49">
        <v>191634.2647</v>
      </c>
      <c r="H69" s="49">
        <v>1101828805723.6399</v>
      </c>
      <c r="I69" s="49">
        <v>2223497131008.6201</v>
      </c>
      <c r="J69" s="49">
        <v>1067507588074.35</v>
      </c>
      <c r="K69" s="49">
        <v>3255.53</v>
      </c>
      <c r="L69" s="49">
        <v>3194.47</v>
      </c>
      <c r="M69" s="49">
        <v>2209.3098</v>
      </c>
      <c r="N69" s="49">
        <v>3219.6902</v>
      </c>
      <c r="O69" s="48">
        <v>0</v>
      </c>
      <c r="P69" s="48">
        <v>0</v>
      </c>
      <c r="Q69" s="48">
        <v>29744</v>
      </c>
      <c r="R69" s="48">
        <v>23620</v>
      </c>
      <c r="S69" s="11">
        <f>(鋼床鈑!F69+鋼床鈑!N69+鋼床鈑!O69)*鋼床鈑!L69+(鋼床鈑!I69+鋼床鈑!N69+鋼床鈑!O69)*鋼床鈑!M69</f>
        <v>102240</v>
      </c>
      <c r="T69" s="11">
        <f>(鋼床鈑!K69)*鋼床鈑!N69+(鋼床鈑!K69)*鋼床鈑!O69</f>
        <v>215720</v>
      </c>
      <c r="U69" s="11">
        <f>4*((鋼床鈑!I69+鋼床鈑!N69/2+鋼床鈑!O69/2)*(鋼床鈑!K69+鋼床鈑!L69/2+鋼床鈑!M69/2))^2/((鋼床鈑!F69+鋼床鈑!N69/2+鋼床鈑!O69/2)/鋼床鈑!L69+(鋼床鈑!I69+鋼床鈑!N69/2+鋼床鈑!O69/2)/鋼床鈑!M69+(鋼床鈑!K69+鋼床鈑!L69/2+鋼床鈑!M69/2)/鋼床鈑!N69+(鋼床鈑!K69+鋼床鈑!L69/2+鋼床鈑!M69/2)/鋼床鈑!O69)</f>
        <v>1085047784052.6593</v>
      </c>
      <c r="V69" s="12">
        <f t="shared" ref="V69:V132" si="18">AH69/(L69/1000)</f>
        <v>0.33417361505174564</v>
      </c>
      <c r="W69" s="12">
        <f t="shared" ref="W69:W132" si="19">AH69/(K69/1000)</f>
        <v>0.32790592870418944</v>
      </c>
      <c r="X69" s="12">
        <f t="shared" ref="X69:X132" si="20">AI69/(M69/1000)</f>
        <v>1.0064216123101521</v>
      </c>
      <c r="Y69" s="12">
        <f t="shared" ref="Y69:Y132" si="21">AI69/(N69/1000)</f>
        <v>0.69059350213527371</v>
      </c>
      <c r="Z69" s="12">
        <f t="shared" si="16"/>
        <v>1.500835061892648</v>
      </c>
      <c r="AA69" s="12">
        <f t="shared" si="17"/>
        <v>2.1660364881029452</v>
      </c>
      <c r="AB69" s="10">
        <f t="shared" ref="AB69:AB132" si="22">(M69+N69)/1000</f>
        <v>5.4290000000000003</v>
      </c>
      <c r="AC69" s="10">
        <f t="shared" ref="AC69:AC132" si="23">(K69+L69)/1000</f>
        <v>6.45</v>
      </c>
      <c r="AD69" s="10">
        <f t="shared" ref="AD69:AD132" si="24">E69/1000^2</f>
        <v>0.47392000000000001</v>
      </c>
      <c r="AE69" s="12">
        <f t="shared" ref="AE69:AE132" si="25">U69/(1000^4)</f>
        <v>1.0850477840526593</v>
      </c>
      <c r="AF69" s="12">
        <f t="shared" ref="AF69:AF132" si="26">T69/1000^2</f>
        <v>0.21572</v>
      </c>
      <c r="AG69" s="12">
        <f t="shared" ref="AG69:AG132" si="27">S69/1000^2</f>
        <v>0.10224</v>
      </c>
      <c r="AH69" s="10">
        <f t="shared" ref="AH69:AH132" si="28">J69/(1000^4)</f>
        <v>1.0675075880743499</v>
      </c>
      <c r="AI69" s="10">
        <f t="shared" ref="AI69:AI132" si="29">I69/(1000^4)</f>
        <v>2.22349713100862</v>
      </c>
      <c r="AJ69" s="13">
        <f t="shared" ref="AJ69:AJ132" si="30">AH69</f>
        <v>1.0675075880743499</v>
      </c>
      <c r="AK69" s="13">
        <f t="shared" ref="AK69:AK132" si="31">AI69</f>
        <v>2.22349713100862</v>
      </c>
    </row>
    <row r="70" spans="1:37">
      <c r="A70" s="8">
        <f>鋼床鈑!A70</f>
        <v>68</v>
      </c>
      <c r="B70" s="47" t="s">
        <v>41</v>
      </c>
      <c r="C70" s="47" t="s">
        <v>42</v>
      </c>
      <c r="D70" s="47" t="s">
        <v>168</v>
      </c>
      <c r="E70" s="48">
        <v>469880</v>
      </c>
      <c r="F70" s="49">
        <v>114836.63280000001</v>
      </c>
      <c r="G70" s="49">
        <v>187619.14449999999</v>
      </c>
      <c r="H70" s="49">
        <v>1073901373482.6801</v>
      </c>
      <c r="I70" s="49">
        <v>2129676362687.1101</v>
      </c>
      <c r="J70" s="49">
        <v>1059467471305.36</v>
      </c>
      <c r="K70" s="49">
        <v>3255.1477</v>
      </c>
      <c r="L70" s="49">
        <v>3194.8523</v>
      </c>
      <c r="M70" s="49">
        <v>2164.2206000000001</v>
      </c>
      <c r="N70" s="49">
        <v>3163.7793999999999</v>
      </c>
      <c r="O70" s="48">
        <v>0</v>
      </c>
      <c r="P70" s="48">
        <v>0</v>
      </c>
      <c r="Q70" s="48">
        <v>29542</v>
      </c>
      <c r="R70" s="48">
        <v>23418</v>
      </c>
      <c r="S70" s="11">
        <f>(鋼床鈑!F70+鋼床鈑!N70+鋼床鈑!O70)*鋼床鈑!L70+(鋼床鈑!I70+鋼床鈑!N70+鋼床鈑!O70)*鋼床鈑!M70</f>
        <v>102240</v>
      </c>
      <c r="T70" s="11">
        <f>(鋼床鈑!K70)*鋼床鈑!N70+(鋼床鈑!K70)*鋼床鈑!O70</f>
        <v>211680</v>
      </c>
      <c r="U70" s="11">
        <f>4*((鋼床鈑!I70+鋼床鈑!N70/2+鋼床鈑!O70/2)*(鋼床鈑!K70+鋼床鈑!L70/2+鋼床鈑!M70/2))^2/((鋼床鈑!F70+鋼床鈑!N70/2+鋼床鈑!O70/2)/鋼床鈑!L70+(鋼床鈑!I70+鋼床鈑!N70/2+鋼床鈑!O70/2)/鋼床鈑!M70+(鋼床鈑!K70+鋼床鈑!L70/2+鋼床鈑!M70/2)/鋼床鈑!N70+(鋼床鈑!K70+鋼床鈑!L70/2+鋼床鈑!M70/2)/鋼床鈑!O70)</f>
        <v>1057361229071.618</v>
      </c>
      <c r="V70" s="12">
        <f t="shared" si="18"/>
        <v>0.3316170426111279</v>
      </c>
      <c r="W70" s="12">
        <f t="shared" si="19"/>
        <v>0.32547446965474408</v>
      </c>
      <c r="X70" s="12">
        <f t="shared" si="20"/>
        <v>0.98403848604301702</v>
      </c>
      <c r="Y70" s="12">
        <f t="shared" si="21"/>
        <v>0.67314312833793355</v>
      </c>
      <c r="Z70" s="12">
        <f t="shared" si="16"/>
        <v>1.5015864254255857</v>
      </c>
      <c r="AA70" s="12">
        <f t="shared" si="17"/>
        <v>2.1289395265928719</v>
      </c>
      <c r="AB70" s="10">
        <f t="shared" si="22"/>
        <v>5.3280000000000003</v>
      </c>
      <c r="AC70" s="10">
        <f t="shared" si="23"/>
        <v>6.45</v>
      </c>
      <c r="AD70" s="10">
        <f t="shared" si="24"/>
        <v>0.46988000000000002</v>
      </c>
      <c r="AE70" s="12">
        <f t="shared" si="25"/>
        <v>1.0573612290716181</v>
      </c>
      <c r="AF70" s="12">
        <f t="shared" si="26"/>
        <v>0.21168000000000001</v>
      </c>
      <c r="AG70" s="12">
        <f t="shared" si="27"/>
        <v>0.10224</v>
      </c>
      <c r="AH70" s="10">
        <f t="shared" si="28"/>
        <v>1.05946747130536</v>
      </c>
      <c r="AI70" s="10">
        <f t="shared" si="29"/>
        <v>2.12967636268711</v>
      </c>
      <c r="AJ70" s="13">
        <f t="shared" si="30"/>
        <v>1.05946747130536</v>
      </c>
      <c r="AK70" s="13">
        <f t="shared" si="31"/>
        <v>2.12967636268711</v>
      </c>
    </row>
    <row r="71" spans="1:37">
      <c r="A71" s="8">
        <f>鋼床鈑!A71</f>
        <v>69</v>
      </c>
      <c r="B71" s="47" t="s">
        <v>41</v>
      </c>
      <c r="C71" s="47" t="s">
        <v>42</v>
      </c>
      <c r="D71" s="47" t="s">
        <v>169</v>
      </c>
      <c r="E71" s="48">
        <v>465960</v>
      </c>
      <c r="F71" s="49">
        <v>115380.2065</v>
      </c>
      <c r="G71" s="49">
        <v>183720.98490000001</v>
      </c>
      <c r="H71" s="49">
        <v>1046917278557.66</v>
      </c>
      <c r="I71" s="49">
        <v>2040906696435.3999</v>
      </c>
      <c r="J71" s="49">
        <v>1051666036318.11</v>
      </c>
      <c r="K71" s="49">
        <v>3254.7703999999999</v>
      </c>
      <c r="L71" s="49">
        <v>3195.2296000000001</v>
      </c>
      <c r="M71" s="49">
        <v>2120.5603000000001</v>
      </c>
      <c r="N71" s="49">
        <v>3109.4396999999999</v>
      </c>
      <c r="O71" s="48">
        <v>0</v>
      </c>
      <c r="P71" s="48">
        <v>0</v>
      </c>
      <c r="Q71" s="48">
        <v>29346</v>
      </c>
      <c r="R71" s="48">
        <v>23222</v>
      </c>
      <c r="S71" s="11">
        <f>(鋼床鈑!F71+鋼床鈑!N71+鋼床鈑!O71)*鋼床鈑!L71+(鋼床鈑!I71+鋼床鈑!N71+鋼床鈑!O71)*鋼床鈑!M71</f>
        <v>102240</v>
      </c>
      <c r="T71" s="11">
        <f>(鋼床鈑!K71)*鋼床鈑!N71+(鋼床鈑!K71)*鋼床鈑!O71</f>
        <v>207760</v>
      </c>
      <c r="U71" s="11">
        <f>4*((鋼床鈑!I71+鋼床鈑!N71/2+鋼床鈑!O71/2)*(鋼床鈑!K71+鋼床鈑!L71/2+鋼床鈑!M71/2))^2/((鋼床鈑!F71+鋼床鈑!N71/2+鋼床鈑!O71/2)/鋼床鈑!L71+(鋼床鈑!I71+鋼床鈑!N71/2+鋼床鈑!O71/2)/鋼床鈑!M71+(鋼床鈑!K71+鋼床鈑!L71/2+鋼床鈑!M71/2)/鋼床鈑!N71+(鋼床鈑!K71+鋼床鈑!L71/2+鋼床鈑!M71/2)/鋼床鈑!O71)</f>
        <v>1030599323349.5139</v>
      </c>
      <c r="V71" s="12">
        <f t="shared" si="18"/>
        <v>0.32913629628309338</v>
      </c>
      <c r="W71" s="12">
        <f t="shared" si="19"/>
        <v>0.32311527606313184</v>
      </c>
      <c r="X71" s="12">
        <f t="shared" si="20"/>
        <v>0.9624374729807964</v>
      </c>
      <c r="Y71" s="12">
        <f t="shared" si="21"/>
        <v>0.65635834534286031</v>
      </c>
      <c r="Z71" s="12">
        <f t="shared" si="16"/>
        <v>1.5023274617109035</v>
      </c>
      <c r="AA71" s="12">
        <f t="shared" si="17"/>
        <v>2.0928459259948435</v>
      </c>
      <c r="AB71" s="10">
        <f t="shared" si="22"/>
        <v>5.23</v>
      </c>
      <c r="AC71" s="10">
        <f t="shared" si="23"/>
        <v>6.45</v>
      </c>
      <c r="AD71" s="10">
        <f t="shared" si="24"/>
        <v>0.46595999999999999</v>
      </c>
      <c r="AE71" s="12">
        <f t="shared" si="25"/>
        <v>1.0305993233495139</v>
      </c>
      <c r="AF71" s="12">
        <f t="shared" si="26"/>
        <v>0.20776</v>
      </c>
      <c r="AG71" s="12">
        <f t="shared" si="27"/>
        <v>0.10224</v>
      </c>
      <c r="AH71" s="10">
        <f t="shared" si="28"/>
        <v>1.0516660363181101</v>
      </c>
      <c r="AI71" s="10">
        <f t="shared" si="29"/>
        <v>2.0409066964353997</v>
      </c>
      <c r="AJ71" s="13">
        <f t="shared" si="30"/>
        <v>1.0516660363181101</v>
      </c>
      <c r="AK71" s="13">
        <f t="shared" si="31"/>
        <v>2.0409066964353997</v>
      </c>
    </row>
    <row r="72" spans="1:37">
      <c r="A72" s="8">
        <f>鋼床鈑!A72</f>
        <v>70</v>
      </c>
      <c r="B72" s="47" t="s">
        <v>41</v>
      </c>
      <c r="C72" s="47" t="s">
        <v>42</v>
      </c>
      <c r="D72" s="47" t="s">
        <v>170</v>
      </c>
      <c r="E72" s="48">
        <v>462200</v>
      </c>
      <c r="F72" s="49">
        <v>115891.60550000001</v>
      </c>
      <c r="G72" s="49">
        <v>179979.50880000001</v>
      </c>
      <c r="H72" s="49">
        <v>1021109175319.21</v>
      </c>
      <c r="I72" s="49">
        <v>1957837552217.4099</v>
      </c>
      <c r="J72" s="49">
        <v>1044182900504.84</v>
      </c>
      <c r="K72" s="49">
        <v>3254.4023999999999</v>
      </c>
      <c r="L72" s="49">
        <v>3195.5976000000001</v>
      </c>
      <c r="M72" s="49">
        <v>2078.7671999999998</v>
      </c>
      <c r="N72" s="49">
        <v>3057.2328000000002</v>
      </c>
      <c r="O72" s="48">
        <v>0</v>
      </c>
      <c r="P72" s="48">
        <v>0</v>
      </c>
      <c r="Q72" s="48">
        <v>29158</v>
      </c>
      <c r="R72" s="48">
        <v>23034</v>
      </c>
      <c r="S72" s="11">
        <f>(鋼床鈑!F72+鋼床鈑!N72+鋼床鈑!O72)*鋼床鈑!L72+(鋼床鈑!I72+鋼床鈑!N72+鋼床鈑!O72)*鋼床鈑!M72</f>
        <v>102240</v>
      </c>
      <c r="T72" s="11">
        <f>(鋼床鈑!K72)*鋼床鈑!N72+(鋼床鈑!K72)*鋼床鈑!O72</f>
        <v>204000</v>
      </c>
      <c r="U72" s="11">
        <f>4*((鋼床鈑!I72+鋼床鈑!N72/2+鋼床鈑!O72/2)*(鋼床鈑!K72+鋼床鈑!L72/2+鋼床鈑!M72/2))^2/((鋼床鈑!F72+鋼床鈑!N72/2+鋼床鈑!O72/2)/鋼床鈑!L72+(鋼床鈑!I72+鋼床鈑!N72/2+鋼床鈑!O72/2)/鋼床鈑!M72+(鋼床鈑!K72+鋼床鈑!L72/2+鋼床鈑!M72/2)/鋼床鈑!N72+(鋼床鈑!K72+鋼床鈑!L72/2+鋼床鈑!M72/2)/鋼床鈑!O72)</f>
        <v>1005027736409.6255</v>
      </c>
      <c r="V72" s="12">
        <f t="shared" si="18"/>
        <v>0.32675669192668061</v>
      </c>
      <c r="W72" s="12">
        <f t="shared" si="19"/>
        <v>0.32085242455107577</v>
      </c>
      <c r="X72" s="12">
        <f t="shared" si="20"/>
        <v>0.9418262671343911</v>
      </c>
      <c r="Y72" s="12">
        <f t="shared" si="21"/>
        <v>0.64039531180530629</v>
      </c>
      <c r="Z72" s="12">
        <f t="shared" si="16"/>
        <v>1.5030496191857408</v>
      </c>
      <c r="AA72" s="12">
        <f t="shared" si="17"/>
        <v>2.0581326226198597</v>
      </c>
      <c r="AB72" s="10">
        <f t="shared" si="22"/>
        <v>5.1360000000000001</v>
      </c>
      <c r="AC72" s="10">
        <f t="shared" si="23"/>
        <v>6.45</v>
      </c>
      <c r="AD72" s="10">
        <f t="shared" si="24"/>
        <v>0.4622</v>
      </c>
      <c r="AE72" s="12">
        <f t="shared" si="25"/>
        <v>1.0050277364096254</v>
      </c>
      <c r="AF72" s="12">
        <f t="shared" si="26"/>
        <v>0.20399999999999999</v>
      </c>
      <c r="AG72" s="12">
        <f t="shared" si="27"/>
        <v>0.10224</v>
      </c>
      <c r="AH72" s="10">
        <f t="shared" si="28"/>
        <v>1.04418290050484</v>
      </c>
      <c r="AI72" s="10">
        <f t="shared" si="29"/>
        <v>1.9578375522174098</v>
      </c>
      <c r="AJ72" s="13">
        <f t="shared" si="30"/>
        <v>1.04418290050484</v>
      </c>
      <c r="AK72" s="13">
        <f t="shared" si="31"/>
        <v>1.9578375522174098</v>
      </c>
    </row>
    <row r="73" spans="1:37">
      <c r="A73" s="8">
        <f>鋼床鈑!A73</f>
        <v>71</v>
      </c>
      <c r="B73" s="47" t="s">
        <v>41</v>
      </c>
      <c r="C73" s="47" t="s">
        <v>42</v>
      </c>
      <c r="D73" s="47" t="s">
        <v>171</v>
      </c>
      <c r="E73" s="48">
        <v>458600</v>
      </c>
      <c r="F73" s="49">
        <v>116386.65730000001</v>
      </c>
      <c r="G73" s="49">
        <v>176396.57569999999</v>
      </c>
      <c r="H73" s="49">
        <v>996512441244.62903</v>
      </c>
      <c r="I73" s="49">
        <v>1880193132005.26</v>
      </c>
      <c r="J73" s="49">
        <v>1037018076848.1</v>
      </c>
      <c r="K73" s="49">
        <v>3254.0445</v>
      </c>
      <c r="L73" s="49">
        <v>3195.9555</v>
      </c>
      <c r="M73" s="49">
        <v>2038.8325</v>
      </c>
      <c r="N73" s="49">
        <v>3007.1675</v>
      </c>
      <c r="O73" s="48">
        <v>0</v>
      </c>
      <c r="P73" s="48">
        <v>0</v>
      </c>
      <c r="Q73" s="48">
        <v>28978</v>
      </c>
      <c r="R73" s="48">
        <v>22854</v>
      </c>
      <c r="S73" s="11">
        <f>(鋼床鈑!F73+鋼床鈑!N73+鋼床鈑!O73)*鋼床鈑!L73+(鋼床鈑!I73+鋼床鈑!N73+鋼床鈑!O73)*鋼床鈑!M73</f>
        <v>102240</v>
      </c>
      <c r="T73" s="11">
        <f>(鋼床鈑!K73)*鋼床鈑!N73+(鋼床鈑!K73)*鋼床鈑!O73</f>
        <v>200400</v>
      </c>
      <c r="U73" s="11">
        <f>4*((鋼床鈑!I73+鋼床鈑!N73/2+鋼床鈑!O73/2)*(鋼床鈑!K73+鋼床鈑!L73/2+鋼床鈑!M73/2))^2/((鋼床鈑!F73+鋼床鈑!N73/2+鋼床鈑!O73/2)/鋼床鈑!L73+(鋼床鈑!I73+鋼床鈑!N73/2+鋼床鈑!O73/2)/鋼床鈑!M73+(鋼床鈑!K73+鋼床鈑!L73/2+鋼床鈑!M73/2)/鋼床鈑!N73+(鋼床鈑!K73+鋼床鈑!L73/2+鋼床鈑!M73/2)/鋼床鈑!O73)</f>
        <v>980637310805.92651</v>
      </c>
      <c r="V73" s="12">
        <f t="shared" si="18"/>
        <v>0.32447825911471539</v>
      </c>
      <c r="W73" s="12">
        <f t="shared" si="19"/>
        <v>0.31868589284753168</v>
      </c>
      <c r="X73" s="12">
        <f t="shared" si="20"/>
        <v>0.92219107357041852</v>
      </c>
      <c r="Y73" s="12">
        <f t="shared" si="21"/>
        <v>0.62523724801004932</v>
      </c>
      <c r="Z73" s="12">
        <f t="shared" si="16"/>
        <v>1.5037517239821196</v>
      </c>
      <c r="AA73" s="12">
        <f t="shared" si="17"/>
        <v>2.0248096678521676</v>
      </c>
      <c r="AB73" s="10">
        <f t="shared" si="22"/>
        <v>5.0460000000000003</v>
      </c>
      <c r="AC73" s="10">
        <f t="shared" si="23"/>
        <v>6.45</v>
      </c>
      <c r="AD73" s="10">
        <f t="shared" si="24"/>
        <v>0.45860000000000001</v>
      </c>
      <c r="AE73" s="12">
        <f t="shared" si="25"/>
        <v>0.98063731080592653</v>
      </c>
      <c r="AF73" s="12">
        <f t="shared" si="26"/>
        <v>0.20039999999999999</v>
      </c>
      <c r="AG73" s="12">
        <f t="shared" si="27"/>
        <v>0.10224</v>
      </c>
      <c r="AH73" s="10">
        <f t="shared" si="28"/>
        <v>1.0370180768480999</v>
      </c>
      <c r="AI73" s="10">
        <f t="shared" si="29"/>
        <v>1.8801931320052601</v>
      </c>
      <c r="AJ73" s="13">
        <f t="shared" si="30"/>
        <v>1.0370180768480999</v>
      </c>
      <c r="AK73" s="13">
        <f t="shared" si="31"/>
        <v>1.8801931320052601</v>
      </c>
    </row>
    <row r="74" spans="1:37">
      <c r="A74" s="8">
        <f>鋼床鈑!A74</f>
        <v>72</v>
      </c>
      <c r="B74" s="47" t="s">
        <v>41</v>
      </c>
      <c r="C74" s="47" t="s">
        <v>42</v>
      </c>
      <c r="D74" s="47" t="s">
        <v>172</v>
      </c>
      <c r="E74" s="48">
        <v>455120</v>
      </c>
      <c r="F74" s="49">
        <v>116854.56819999999</v>
      </c>
      <c r="G74" s="49">
        <v>172930.7746</v>
      </c>
      <c r="H74" s="49">
        <v>972798803191.26099</v>
      </c>
      <c r="I74" s="49">
        <v>1806879790915.1799</v>
      </c>
      <c r="J74" s="49">
        <v>1030091967206.64</v>
      </c>
      <c r="K74" s="49">
        <v>3253.6931</v>
      </c>
      <c r="L74" s="49">
        <v>3196.3069</v>
      </c>
      <c r="M74" s="49">
        <v>2000.3052</v>
      </c>
      <c r="N74" s="49">
        <v>2958.6948000000002</v>
      </c>
      <c r="O74" s="48">
        <v>0</v>
      </c>
      <c r="P74" s="48">
        <v>0</v>
      </c>
      <c r="Q74" s="48">
        <v>28804</v>
      </c>
      <c r="R74" s="48">
        <v>22680</v>
      </c>
      <c r="S74" s="11">
        <f>(鋼床鈑!F74+鋼床鈑!N74+鋼床鈑!O74)*鋼床鈑!L74+(鋼床鈑!I74+鋼床鈑!N74+鋼床鈑!O74)*鋼床鈑!M74</f>
        <v>102240</v>
      </c>
      <c r="T74" s="11">
        <f>(鋼床鈑!K74)*鋼床鈑!N74+(鋼床鈑!K74)*鋼床鈑!O74</f>
        <v>196920</v>
      </c>
      <c r="U74" s="11">
        <f>4*((鋼床鈑!I74+鋼床鈑!N74/2+鋼床鈑!O74/2)*(鋼床鈑!K74+鋼床鈑!L74/2+鋼床鈑!M74/2))^2/((鋼床鈑!F74+鋼床鈑!N74/2+鋼床鈑!O74/2)/鋼床鈑!L74+(鋼床鈑!I74+鋼床鈑!N74/2+鋼床鈑!O74/2)/鋼床鈑!M74+(鋼床鈑!K74+鋼床鈑!L74/2+鋼床鈑!M74/2)/鋼床鈑!N74+(鋼床鈑!K74+鋼床鈑!L74/2+鋼床鈑!M74/2)/鋼床鈑!O74)</f>
        <v>957149276166.3894</v>
      </c>
      <c r="V74" s="12">
        <f t="shared" si="18"/>
        <v>0.32227567609563396</v>
      </c>
      <c r="W74" s="12">
        <f t="shared" si="19"/>
        <v>0.3165916192915183</v>
      </c>
      <c r="X74" s="12">
        <f t="shared" si="20"/>
        <v>0.90330205156452115</v>
      </c>
      <c r="Y74" s="12">
        <f t="shared" si="21"/>
        <v>0.6107016482116302</v>
      </c>
      <c r="Z74" s="12">
        <f t="shared" si="16"/>
        <v>1.5044405818256179</v>
      </c>
      <c r="AA74" s="12">
        <f t="shared" si="17"/>
        <v>1.9925153228347749</v>
      </c>
      <c r="AB74" s="10">
        <f t="shared" si="22"/>
        <v>4.9589999999999996</v>
      </c>
      <c r="AC74" s="10">
        <f t="shared" si="23"/>
        <v>6.45</v>
      </c>
      <c r="AD74" s="10">
        <f t="shared" si="24"/>
        <v>0.45512000000000002</v>
      </c>
      <c r="AE74" s="12">
        <f t="shared" si="25"/>
        <v>0.95714927616638945</v>
      </c>
      <c r="AF74" s="12">
        <f t="shared" si="26"/>
        <v>0.19692000000000001</v>
      </c>
      <c r="AG74" s="12">
        <f t="shared" si="27"/>
        <v>0.10224</v>
      </c>
      <c r="AH74" s="10">
        <f t="shared" si="28"/>
        <v>1.03009196720664</v>
      </c>
      <c r="AI74" s="10">
        <f t="shared" si="29"/>
        <v>1.8068797909151799</v>
      </c>
      <c r="AJ74" s="13">
        <f t="shared" si="30"/>
        <v>1.03009196720664</v>
      </c>
      <c r="AK74" s="13">
        <f t="shared" si="31"/>
        <v>1.8068797909151799</v>
      </c>
    </row>
    <row r="75" spans="1:37">
      <c r="A75" s="8">
        <f>鋼床鈑!A75</f>
        <v>73</v>
      </c>
      <c r="B75" s="47" t="s">
        <v>41</v>
      </c>
      <c r="C75" s="47" t="s">
        <v>42</v>
      </c>
      <c r="D75" s="47" t="s">
        <v>173</v>
      </c>
      <c r="E75" s="48">
        <v>451840</v>
      </c>
      <c r="F75" s="49">
        <v>117301.0618</v>
      </c>
      <c r="G75" s="49">
        <v>169664.72719999999</v>
      </c>
      <c r="H75" s="49">
        <v>950555198698.64197</v>
      </c>
      <c r="I75" s="49">
        <v>1739335941505.79</v>
      </c>
      <c r="J75" s="49">
        <v>1023563805414.86</v>
      </c>
      <c r="K75" s="49">
        <v>3253.3569000000002</v>
      </c>
      <c r="L75" s="49">
        <v>3196.6430999999998</v>
      </c>
      <c r="M75" s="49">
        <v>1964.0622000000001</v>
      </c>
      <c r="N75" s="49">
        <v>2912.9378000000002</v>
      </c>
      <c r="O75" s="48">
        <v>0</v>
      </c>
      <c r="P75" s="48">
        <v>0</v>
      </c>
      <c r="Q75" s="48">
        <v>28640</v>
      </c>
      <c r="R75" s="48">
        <v>22516</v>
      </c>
      <c r="S75" s="11">
        <f>(鋼床鈑!F75+鋼床鈑!N75+鋼床鈑!O75)*鋼床鈑!L75+(鋼床鈑!I75+鋼床鈑!N75+鋼床鈑!O75)*鋼床鈑!M75</f>
        <v>102240</v>
      </c>
      <c r="T75" s="11">
        <f>(鋼床鈑!K75)*鋼床鈑!N75+(鋼床鈑!K75)*鋼床鈑!O75</f>
        <v>193640</v>
      </c>
      <c r="U75" s="11">
        <f>4*((鋼床鈑!I75+鋼床鈑!N75/2+鋼床鈑!O75/2)*(鋼床鈑!K75+鋼床鈑!L75/2+鋼床鈑!M75/2))^2/((鋼床鈑!F75+鋼床鈑!N75/2+鋼床鈑!O75/2)/鋼床鈑!L75+(鋼床鈑!I75+鋼床鈑!N75/2+鋼床鈑!O75/2)/鋼床鈑!M75+(鋼床鈑!K75+鋼床鈑!L75/2+鋼床鈑!M75/2)/鋼床鈑!N75+(鋼床鈑!K75+鋼床鈑!L75/2+鋼床鈑!M75/2)/鋼床鈑!O75)</f>
        <v>935094155086.34741</v>
      </c>
      <c r="V75" s="12">
        <f t="shared" si="18"/>
        <v>0.32019958856678743</v>
      </c>
      <c r="W75" s="12">
        <f t="shared" si="19"/>
        <v>0.31461774311169483</v>
      </c>
      <c r="X75" s="12">
        <f t="shared" si="20"/>
        <v>0.88558088511951916</v>
      </c>
      <c r="Y75" s="12">
        <f t="shared" si="21"/>
        <v>0.59710713407810834</v>
      </c>
      <c r="Z75" s="12">
        <f t="shared" si="16"/>
        <v>1.5050991920295629</v>
      </c>
      <c r="AA75" s="12">
        <f t="shared" si="17"/>
        <v>1.9620017848326949</v>
      </c>
      <c r="AB75" s="10">
        <f t="shared" si="22"/>
        <v>4.8769999999999998</v>
      </c>
      <c r="AC75" s="10">
        <f t="shared" si="23"/>
        <v>6.45</v>
      </c>
      <c r="AD75" s="10">
        <f t="shared" si="24"/>
        <v>0.45184000000000002</v>
      </c>
      <c r="AE75" s="12">
        <f t="shared" si="25"/>
        <v>0.93509415508634741</v>
      </c>
      <c r="AF75" s="12">
        <f t="shared" si="26"/>
        <v>0.19364000000000001</v>
      </c>
      <c r="AG75" s="12">
        <f t="shared" si="27"/>
        <v>0.10224</v>
      </c>
      <c r="AH75" s="10">
        <f t="shared" si="28"/>
        <v>1.0235638054148599</v>
      </c>
      <c r="AI75" s="10">
        <f t="shared" si="29"/>
        <v>1.7393359415057901</v>
      </c>
      <c r="AJ75" s="13">
        <f t="shared" si="30"/>
        <v>1.0235638054148599</v>
      </c>
      <c r="AK75" s="13">
        <f t="shared" si="31"/>
        <v>1.7393359415057901</v>
      </c>
    </row>
    <row r="76" spans="1:37">
      <c r="A76" s="8">
        <f>鋼床鈑!A76</f>
        <v>74</v>
      </c>
      <c r="B76" s="47" t="s">
        <v>41</v>
      </c>
      <c r="C76" s="47" t="s">
        <v>42</v>
      </c>
      <c r="D76" s="47" t="s">
        <v>174</v>
      </c>
      <c r="E76" s="48">
        <v>448680</v>
      </c>
      <c r="F76" s="49">
        <v>117721.04399999999</v>
      </c>
      <c r="G76" s="49">
        <v>166515.53</v>
      </c>
      <c r="H76" s="49">
        <v>929175241594.32898</v>
      </c>
      <c r="I76" s="49">
        <v>1675680455517.6001</v>
      </c>
      <c r="J76" s="49">
        <v>1017274380846.01</v>
      </c>
      <c r="K76" s="49">
        <v>3253.0284000000001</v>
      </c>
      <c r="L76" s="49">
        <v>3196.9715999999999</v>
      </c>
      <c r="M76" s="49">
        <v>1929.2109</v>
      </c>
      <c r="N76" s="49">
        <v>2868.7891</v>
      </c>
      <c r="O76" s="48">
        <v>0</v>
      </c>
      <c r="P76" s="48">
        <v>0</v>
      </c>
      <c r="Q76" s="48">
        <v>28482</v>
      </c>
      <c r="R76" s="48">
        <v>22358</v>
      </c>
      <c r="S76" s="11">
        <f>(鋼床鈑!F76+鋼床鈑!N76+鋼床鈑!O76)*鋼床鈑!L76+(鋼床鈑!I76+鋼床鈑!N76+鋼床鈑!O76)*鋼床鈑!M76</f>
        <v>102240</v>
      </c>
      <c r="T76" s="11">
        <f>(鋼床鈑!K76)*鋼床鈑!N76+(鋼床鈑!K76)*鋼床鈑!O76</f>
        <v>190480</v>
      </c>
      <c r="U76" s="11">
        <f>4*((鋼床鈑!I76+鋼床鈑!N76/2+鋼床鈑!O76/2)*(鋼床鈑!K76+鋼床鈑!L76/2+鋼床鈑!M76/2))^2/((鋼床鈑!F76+鋼床鈑!N76/2+鋼床鈑!O76/2)/鋼床鈑!L76+(鋼床鈑!I76+鋼床鈑!N76/2+鋼床鈑!O76/2)/鋼床鈑!M76+(鋼床鈑!K76+鋼床鈑!L76/2+鋼床鈑!M76/2)/鋼床鈑!N76+(鋼床鈑!K76+鋼床鈑!L76/2+鋼床鈑!M76/2)/鋼床鈑!O76)</f>
        <v>913924507563.65918</v>
      </c>
      <c r="V76" s="12">
        <f t="shared" si="18"/>
        <v>0.3181993799525808</v>
      </c>
      <c r="W76" s="12">
        <f t="shared" si="19"/>
        <v>0.31271610811821071</v>
      </c>
      <c r="X76" s="12">
        <f t="shared" si="20"/>
        <v>0.86858334437028129</v>
      </c>
      <c r="Y76" s="12">
        <f t="shared" si="21"/>
        <v>0.58410723030061718</v>
      </c>
      <c r="Z76" s="12">
        <f t="shared" si="16"/>
        <v>1.5057424632450171</v>
      </c>
      <c r="AA76" s="12">
        <f t="shared" si="17"/>
        <v>1.9325344588396955</v>
      </c>
      <c r="AB76" s="10">
        <f t="shared" si="22"/>
        <v>4.798</v>
      </c>
      <c r="AC76" s="10">
        <f t="shared" si="23"/>
        <v>6.45</v>
      </c>
      <c r="AD76" s="10">
        <f t="shared" si="24"/>
        <v>0.44868000000000002</v>
      </c>
      <c r="AE76" s="12">
        <f t="shared" si="25"/>
        <v>0.91392450756365917</v>
      </c>
      <c r="AF76" s="12">
        <f t="shared" si="26"/>
        <v>0.19048000000000001</v>
      </c>
      <c r="AG76" s="12">
        <f t="shared" si="27"/>
        <v>0.10224</v>
      </c>
      <c r="AH76" s="10">
        <f t="shared" si="28"/>
        <v>1.0172743808460101</v>
      </c>
      <c r="AI76" s="10">
        <f t="shared" si="29"/>
        <v>1.6756804555176001</v>
      </c>
      <c r="AJ76" s="13">
        <f t="shared" si="30"/>
        <v>1.0172743808460101</v>
      </c>
      <c r="AK76" s="13">
        <f t="shared" si="31"/>
        <v>1.6756804555176001</v>
      </c>
    </row>
    <row r="77" spans="1:37">
      <c r="A77" s="8">
        <f>鋼床鈑!A77</f>
        <v>75</v>
      </c>
      <c r="B77" s="47" t="s">
        <v>41</v>
      </c>
      <c r="C77" s="47" t="s">
        <v>42</v>
      </c>
      <c r="D77" s="47" t="s">
        <v>175</v>
      </c>
      <c r="E77" s="48">
        <v>445680</v>
      </c>
      <c r="F77" s="49">
        <v>118126.1808</v>
      </c>
      <c r="G77" s="49">
        <v>163526.33059999999</v>
      </c>
      <c r="H77" s="49">
        <v>908974428909.33301</v>
      </c>
      <c r="I77" s="49">
        <v>1616525556938.76</v>
      </c>
      <c r="J77" s="49">
        <v>1011303317309.1</v>
      </c>
      <c r="K77" s="49">
        <v>3252.7123000000001</v>
      </c>
      <c r="L77" s="49">
        <v>3197.2876999999999</v>
      </c>
      <c r="M77" s="49">
        <v>1896.1853000000001</v>
      </c>
      <c r="N77" s="49">
        <v>2826.8146999999999</v>
      </c>
      <c r="O77" s="48">
        <v>0</v>
      </c>
      <c r="P77" s="48">
        <v>0</v>
      </c>
      <c r="Q77" s="48">
        <v>28332</v>
      </c>
      <c r="R77" s="48">
        <v>22208</v>
      </c>
      <c r="S77" s="11">
        <f>(鋼床鈑!F77+鋼床鈑!N77+鋼床鈑!O77)*鋼床鈑!L77+(鋼床鈑!I77+鋼床鈑!N77+鋼床鈑!O77)*鋼床鈑!M77</f>
        <v>102240</v>
      </c>
      <c r="T77" s="11">
        <f>(鋼床鈑!K77)*鋼床鈑!N77+(鋼床鈑!K77)*鋼床鈑!O77</f>
        <v>187480</v>
      </c>
      <c r="U77" s="11">
        <f>4*((鋼床鈑!I77+鋼床鈑!N77/2+鋼床鈑!O77/2)*(鋼床鈑!K77+鋼床鈑!L77/2+鋼床鈑!M77/2))^2/((鋼床鈑!F77+鋼床鈑!N77/2+鋼床鈑!O77/2)/鋼床鈑!L77+(鋼床鈑!I77+鋼床鈑!N77/2+鋼床鈑!O77/2)/鋼床鈑!M77+(鋼床鈑!K77+鋼床鈑!L77/2+鋼床鈑!M77/2)/鋼床鈑!N77+(鋼床鈑!K77+鋼床鈑!L77/2+鋼床鈑!M77/2)/鋼床鈑!O77)</f>
        <v>893900235404.63342</v>
      </c>
      <c r="V77" s="12">
        <f t="shared" si="18"/>
        <v>0.31630038088505452</v>
      </c>
      <c r="W77" s="12">
        <f t="shared" si="19"/>
        <v>0.3109107796927198</v>
      </c>
      <c r="X77" s="12">
        <f t="shared" si="20"/>
        <v>0.85251454957422135</v>
      </c>
      <c r="Y77" s="12">
        <f t="shared" si="21"/>
        <v>0.57185409320913749</v>
      </c>
      <c r="Z77" s="12">
        <f t="shared" si="16"/>
        <v>1.5063612775147712</v>
      </c>
      <c r="AA77" s="12">
        <f t="shared" si="17"/>
        <v>1.9044944650554287</v>
      </c>
      <c r="AB77" s="10">
        <f t="shared" si="22"/>
        <v>4.7229999999999999</v>
      </c>
      <c r="AC77" s="10">
        <f t="shared" si="23"/>
        <v>6.45</v>
      </c>
      <c r="AD77" s="10">
        <f t="shared" si="24"/>
        <v>0.44568000000000002</v>
      </c>
      <c r="AE77" s="12">
        <f t="shared" si="25"/>
        <v>0.89390023540463337</v>
      </c>
      <c r="AF77" s="12">
        <f t="shared" si="26"/>
        <v>0.18748000000000001</v>
      </c>
      <c r="AG77" s="12">
        <f t="shared" si="27"/>
        <v>0.10224</v>
      </c>
      <c r="AH77" s="10">
        <f t="shared" si="28"/>
        <v>1.0113033173090999</v>
      </c>
      <c r="AI77" s="10">
        <f t="shared" si="29"/>
        <v>1.61652555693876</v>
      </c>
      <c r="AJ77" s="13">
        <f t="shared" si="30"/>
        <v>1.0113033173090999</v>
      </c>
      <c r="AK77" s="13">
        <f t="shared" si="31"/>
        <v>1.61652555693876</v>
      </c>
    </row>
    <row r="78" spans="1:37">
      <c r="A78" s="8">
        <f>鋼床鈑!A78</f>
        <v>76</v>
      </c>
      <c r="B78" s="47" t="s">
        <v>41</v>
      </c>
      <c r="C78" s="47" t="s">
        <v>42</v>
      </c>
      <c r="D78" s="47" t="s">
        <v>176</v>
      </c>
      <c r="E78" s="48">
        <v>442840</v>
      </c>
      <c r="F78" s="49">
        <v>118499.1859</v>
      </c>
      <c r="G78" s="49">
        <v>160694.514</v>
      </c>
      <c r="H78" s="49">
        <v>889891602692.92505</v>
      </c>
      <c r="I78" s="49">
        <v>1561664044656.55</v>
      </c>
      <c r="J78" s="49">
        <v>1005650627304.78</v>
      </c>
      <c r="K78" s="49">
        <v>3252.4090000000001</v>
      </c>
      <c r="L78" s="49">
        <v>3197.5909999999999</v>
      </c>
      <c r="M78" s="49">
        <v>1864.9768999999999</v>
      </c>
      <c r="N78" s="49">
        <v>2787.0230999999999</v>
      </c>
      <c r="O78" s="48">
        <v>0</v>
      </c>
      <c r="P78" s="48">
        <v>0</v>
      </c>
      <c r="Q78" s="48">
        <v>28190</v>
      </c>
      <c r="R78" s="48">
        <v>22066</v>
      </c>
      <c r="S78" s="11">
        <f>(鋼床鈑!F78+鋼床鈑!N78+鋼床鈑!O78)*鋼床鈑!L78+(鋼床鈑!I78+鋼床鈑!N78+鋼床鈑!O78)*鋼床鈑!M78</f>
        <v>102240</v>
      </c>
      <c r="T78" s="11">
        <f>(鋼床鈑!K78)*鋼床鈑!N78+(鋼床鈑!K78)*鋼床鈑!O78</f>
        <v>184640</v>
      </c>
      <c r="U78" s="11">
        <f>4*((鋼床鈑!I78+鋼床鈑!N78/2+鋼床鈑!O78/2)*(鋼床鈑!K78+鋼床鈑!L78/2+鋼床鈑!M78/2))^2/((鋼床鈑!F78+鋼床鈑!N78/2+鋼床鈑!O78/2)/鋼床鈑!L78+(鋼床鈑!I78+鋼床鈑!N78/2+鋼床鈑!O78/2)/鋼床鈑!M78+(鋼床鈑!K78+鋼床鈑!L78/2+鋼床鈑!M78/2)/鋼床鈑!N78+(鋼床鈑!K78+鋼床鈑!L78/2+鋼床鈑!M78/2)/鋼床鈑!O78)</f>
        <v>875011786047.01196</v>
      </c>
      <c r="V78" s="12">
        <f t="shared" si="18"/>
        <v>0.31450258250813817</v>
      </c>
      <c r="W78" s="12">
        <f t="shared" si="19"/>
        <v>0.30920177238003588</v>
      </c>
      <c r="X78" s="12">
        <f t="shared" si="20"/>
        <v>0.83736374678772163</v>
      </c>
      <c r="Y78" s="12">
        <f t="shared" si="21"/>
        <v>0.56033408716868904</v>
      </c>
      <c r="Z78" s="12">
        <f t="shared" si="16"/>
        <v>1.5069545127199608</v>
      </c>
      <c r="AA78" s="12">
        <f t="shared" si="17"/>
        <v>1.8778910176180512</v>
      </c>
      <c r="AB78" s="10">
        <f t="shared" si="22"/>
        <v>4.6520000000000001</v>
      </c>
      <c r="AC78" s="10">
        <f t="shared" si="23"/>
        <v>6.45</v>
      </c>
      <c r="AD78" s="10">
        <f t="shared" si="24"/>
        <v>0.44284000000000001</v>
      </c>
      <c r="AE78" s="12">
        <f t="shared" si="25"/>
        <v>0.87501178604701191</v>
      </c>
      <c r="AF78" s="12">
        <f t="shared" si="26"/>
        <v>0.18464</v>
      </c>
      <c r="AG78" s="12">
        <f t="shared" si="27"/>
        <v>0.10224</v>
      </c>
      <c r="AH78" s="10">
        <f t="shared" si="28"/>
        <v>1.0056506273047801</v>
      </c>
      <c r="AI78" s="10">
        <f t="shared" si="29"/>
        <v>1.56166404465655</v>
      </c>
      <c r="AJ78" s="13">
        <f t="shared" si="30"/>
        <v>1.0056506273047801</v>
      </c>
      <c r="AK78" s="13">
        <f t="shared" si="31"/>
        <v>1.56166404465655</v>
      </c>
    </row>
    <row r="79" spans="1:37">
      <c r="A79" s="8">
        <f>鋼床鈑!A79</f>
        <v>77</v>
      </c>
      <c r="B79" s="47" t="s">
        <v>41</v>
      </c>
      <c r="C79" s="47" t="s">
        <v>42</v>
      </c>
      <c r="D79" s="47" t="s">
        <v>177</v>
      </c>
      <c r="E79" s="48">
        <v>440200</v>
      </c>
      <c r="F79" s="49">
        <v>118853.4262</v>
      </c>
      <c r="G79" s="49">
        <v>158063.15359999999</v>
      </c>
      <c r="H79" s="49">
        <v>872238703413.37</v>
      </c>
      <c r="I79" s="49">
        <v>1511652398022.02</v>
      </c>
      <c r="J79" s="49">
        <v>1000395940099.46</v>
      </c>
      <c r="K79" s="49">
        <v>3252.1235999999999</v>
      </c>
      <c r="L79" s="49">
        <v>3197.8764000000001</v>
      </c>
      <c r="M79" s="49">
        <v>1836.0159000000001</v>
      </c>
      <c r="N79" s="49">
        <v>2749.9841000000001</v>
      </c>
      <c r="O79" s="48">
        <v>0</v>
      </c>
      <c r="P79" s="48">
        <v>0</v>
      </c>
      <c r="Q79" s="48">
        <v>28058</v>
      </c>
      <c r="R79" s="48">
        <v>21934</v>
      </c>
      <c r="S79" s="11">
        <f>(鋼床鈑!F79+鋼床鈑!N79+鋼床鈑!O79)*鋼床鈑!L79+(鋼床鈑!I79+鋼床鈑!N79+鋼床鈑!O79)*鋼床鈑!M79</f>
        <v>102240</v>
      </c>
      <c r="T79" s="11">
        <f>(鋼床鈑!K79)*鋼床鈑!N79+(鋼床鈑!K79)*鋼床鈑!O79</f>
        <v>182000</v>
      </c>
      <c r="U79" s="11">
        <f>4*((鋼床鈑!I79+鋼床鈑!N79/2+鋼床鈑!O79/2)*(鋼床鈑!K79+鋼床鈑!L79/2+鋼床鈑!M79/2))^2/((鋼床鈑!F79+鋼床鈑!N79/2+鋼床鈑!O79/2)/鋼床鈑!L79+(鋼床鈑!I79+鋼床鈑!N79/2+鋼床鈑!O79/2)/鋼床鈑!M79+(鋼床鈑!K79+鋼床鈑!L79/2+鋼床鈑!M79/2)/鋼床鈑!N79+(鋼床鈑!K79+鋼床鈑!L79/2+鋼床鈑!M79/2)/鋼床鈑!O79)</f>
        <v>857514324385.24646</v>
      </c>
      <c r="V79" s="12">
        <f t="shared" si="18"/>
        <v>0.31283133397509044</v>
      </c>
      <c r="W79" s="12">
        <f t="shared" si="19"/>
        <v>0.30761313625947673</v>
      </c>
      <c r="X79" s="12">
        <f t="shared" si="20"/>
        <v>0.82333295589761502</v>
      </c>
      <c r="Y79" s="12">
        <f t="shared" si="21"/>
        <v>0.54969495933522661</v>
      </c>
      <c r="Z79" s="12">
        <f t="shared" si="16"/>
        <v>1.5075125668642557</v>
      </c>
      <c r="AA79" s="12">
        <f t="shared" si="17"/>
        <v>1.8531089328468699</v>
      </c>
      <c r="AB79" s="10">
        <f t="shared" si="22"/>
        <v>4.5860000000000003</v>
      </c>
      <c r="AC79" s="10">
        <f t="shared" si="23"/>
        <v>6.45</v>
      </c>
      <c r="AD79" s="10">
        <f t="shared" si="24"/>
        <v>0.44019999999999998</v>
      </c>
      <c r="AE79" s="12">
        <f t="shared" si="25"/>
        <v>0.85751432438524644</v>
      </c>
      <c r="AF79" s="12">
        <f t="shared" si="26"/>
        <v>0.182</v>
      </c>
      <c r="AG79" s="12">
        <f t="shared" si="27"/>
        <v>0.10224</v>
      </c>
      <c r="AH79" s="10">
        <f t="shared" si="28"/>
        <v>1.00039594009946</v>
      </c>
      <c r="AI79" s="10">
        <f t="shared" si="29"/>
        <v>1.51165239802202</v>
      </c>
      <c r="AJ79" s="13">
        <f t="shared" si="30"/>
        <v>1.00039594009946</v>
      </c>
      <c r="AK79" s="13">
        <f t="shared" si="31"/>
        <v>1.51165239802202</v>
      </c>
    </row>
    <row r="80" spans="1:37">
      <c r="A80" s="8">
        <f>鋼床鈑!A80</f>
        <v>78</v>
      </c>
      <c r="B80" s="47" t="s">
        <v>41</v>
      </c>
      <c r="C80" s="47" t="s">
        <v>42</v>
      </c>
      <c r="D80" s="47" t="s">
        <v>178</v>
      </c>
      <c r="E80" s="48">
        <v>437640</v>
      </c>
      <c r="F80" s="49">
        <v>119186.11440000001</v>
      </c>
      <c r="G80" s="49">
        <v>155508.87669999999</v>
      </c>
      <c r="H80" s="49">
        <v>855145848599.00098</v>
      </c>
      <c r="I80" s="49">
        <v>1464058047968.28</v>
      </c>
      <c r="J80" s="49">
        <v>995300416533.43701</v>
      </c>
      <c r="K80" s="49">
        <v>3251.8434999999999</v>
      </c>
      <c r="L80" s="49">
        <v>3198.1565000000001</v>
      </c>
      <c r="M80" s="49">
        <v>1807.9791</v>
      </c>
      <c r="N80" s="49">
        <v>2714.0209</v>
      </c>
      <c r="O80" s="48">
        <v>0</v>
      </c>
      <c r="P80" s="48">
        <v>0</v>
      </c>
      <c r="Q80" s="48">
        <v>27930</v>
      </c>
      <c r="R80" s="48">
        <v>21806</v>
      </c>
      <c r="S80" s="11">
        <f>(鋼床鈑!F80+鋼床鈑!N80+鋼床鈑!O80)*鋼床鈑!L80+(鋼床鈑!I80+鋼床鈑!N80+鋼床鈑!O80)*鋼床鈑!M80</f>
        <v>102240</v>
      </c>
      <c r="T80" s="11">
        <f>(鋼床鈑!K80)*鋼床鈑!N80+(鋼床鈑!K80)*鋼床鈑!O80</f>
        <v>179440</v>
      </c>
      <c r="U80" s="11">
        <f>4*((鋼床鈑!I80+鋼床鈑!N80/2+鋼床鈑!O80/2)*(鋼床鈑!K80+鋼床鈑!L80/2+鋼床鈑!M80/2))^2/((鋼床鈑!F80+鋼床鈑!N80/2+鋼床鈑!O80/2)/鋼床鈑!L80+(鋼床鈑!I80+鋼床鈑!N80/2+鋼床鈑!O80/2)/鋼床鈑!M80+(鋼床鈑!K80+鋼床鈑!L80/2+鋼床鈑!M80/2)/鋼床鈑!N80+(鋼床鈑!K80+鋼床鈑!L80/2+鋼床鈑!M80/2)/鋼床鈑!O80)</f>
        <v>840604513194.29419</v>
      </c>
      <c r="V80" s="12">
        <f t="shared" si="18"/>
        <v>0.3112106666867106</v>
      </c>
      <c r="W80" s="12">
        <f t="shared" si="19"/>
        <v>0.30607266817527873</v>
      </c>
      <c r="X80" s="12">
        <f t="shared" si="20"/>
        <v>0.80977598024682917</v>
      </c>
      <c r="Y80" s="12">
        <f t="shared" si="21"/>
        <v>0.5394424368538504</v>
      </c>
      <c r="Z80" s="12">
        <f t="shared" si="16"/>
        <v>1.508059886864145</v>
      </c>
      <c r="AA80" s="12">
        <f t="shared" si="17"/>
        <v>1.8290292190211666</v>
      </c>
      <c r="AB80" s="10">
        <f t="shared" si="22"/>
        <v>4.5220000000000002</v>
      </c>
      <c r="AC80" s="10">
        <f t="shared" si="23"/>
        <v>6.45</v>
      </c>
      <c r="AD80" s="10">
        <f t="shared" si="24"/>
        <v>0.43763999999999997</v>
      </c>
      <c r="AE80" s="12">
        <f t="shared" si="25"/>
        <v>0.84060451319429419</v>
      </c>
      <c r="AF80" s="12">
        <f t="shared" si="26"/>
        <v>0.17943999999999999</v>
      </c>
      <c r="AG80" s="12">
        <f t="shared" si="27"/>
        <v>0.10224</v>
      </c>
      <c r="AH80" s="10">
        <f t="shared" si="28"/>
        <v>0.99530041653343704</v>
      </c>
      <c r="AI80" s="10">
        <f t="shared" si="29"/>
        <v>1.4640580479682801</v>
      </c>
      <c r="AJ80" s="13">
        <f t="shared" si="30"/>
        <v>0.99530041653343704</v>
      </c>
      <c r="AK80" s="13">
        <f t="shared" si="31"/>
        <v>1.4640580479682801</v>
      </c>
    </row>
    <row r="81" spans="1:37">
      <c r="A81" s="8">
        <f>鋼床鈑!A81</f>
        <v>79</v>
      </c>
      <c r="B81" s="47" t="s">
        <v>41</v>
      </c>
      <c r="C81" s="47" t="s">
        <v>42</v>
      </c>
      <c r="D81" s="47" t="s">
        <v>179</v>
      </c>
      <c r="E81" s="48">
        <v>435280</v>
      </c>
      <c r="F81" s="49">
        <v>119490.8959</v>
      </c>
      <c r="G81" s="49">
        <v>153155.10889999999</v>
      </c>
      <c r="H81" s="49">
        <v>839445584746.64197</v>
      </c>
      <c r="I81" s="49">
        <v>1420963799528.27</v>
      </c>
      <c r="J81" s="49">
        <v>990602919244.64502</v>
      </c>
      <c r="K81" s="49">
        <v>3251.5823999999998</v>
      </c>
      <c r="L81" s="49">
        <v>3198.4176000000002</v>
      </c>
      <c r="M81" s="49">
        <v>1782.1739</v>
      </c>
      <c r="N81" s="49">
        <v>2680.8261000000002</v>
      </c>
      <c r="O81" s="48">
        <v>0</v>
      </c>
      <c r="P81" s="48">
        <v>0</v>
      </c>
      <c r="Q81" s="48">
        <v>27812</v>
      </c>
      <c r="R81" s="48">
        <v>21688</v>
      </c>
      <c r="S81" s="11">
        <f>(鋼床鈑!F81+鋼床鈑!N81+鋼床鈑!O81)*鋼床鈑!L81+(鋼床鈑!I81+鋼床鈑!N81+鋼床鈑!O81)*鋼床鈑!M81</f>
        <v>102240</v>
      </c>
      <c r="T81" s="11">
        <f>(鋼床鈑!K81)*鋼床鈑!N81+(鋼床鈑!K81)*鋼床鈑!O81</f>
        <v>177080</v>
      </c>
      <c r="U81" s="11">
        <f>4*((鋼床鈑!I81+鋼床鈑!N81/2+鋼床鈑!O81/2)*(鋼床鈑!K81+鋼床鈑!L81/2+鋼床鈑!M81/2))^2/((鋼床鈑!F81+鋼床鈑!N81/2+鋼床鈑!O81/2)/鋼床鈑!L81+(鋼床鈑!I81+鋼床鈑!N81/2+鋼床鈑!O81/2)/鋼床鈑!M81+(鋼床鈑!K81+鋼床鈑!L81/2+鋼床鈑!M81/2)/鋼床鈑!N81+(鋼床鈑!K81+鋼床鈑!L81/2+鋼床鈑!M81/2)/鋼床鈑!O81)</f>
        <v>825067111309.48474</v>
      </c>
      <c r="V81" s="12">
        <f t="shared" si="18"/>
        <v>0.30971656710638562</v>
      </c>
      <c r="W81" s="12">
        <f t="shared" si="19"/>
        <v>0.30465256523858819</v>
      </c>
      <c r="X81" s="12">
        <f t="shared" si="20"/>
        <v>0.79732050813238253</v>
      </c>
      <c r="Y81" s="12">
        <f t="shared" si="21"/>
        <v>0.53004698795206062</v>
      </c>
      <c r="Z81" s="12">
        <f t="shared" si="16"/>
        <v>1.5085699248828319</v>
      </c>
      <c r="AA81" s="12">
        <f t="shared" si="17"/>
        <v>1.8067878047272294</v>
      </c>
      <c r="AB81" s="10">
        <f t="shared" si="22"/>
        <v>4.4630000000000001</v>
      </c>
      <c r="AC81" s="10">
        <f t="shared" si="23"/>
        <v>6.45</v>
      </c>
      <c r="AD81" s="10">
        <f t="shared" si="24"/>
        <v>0.43528</v>
      </c>
      <c r="AE81" s="12">
        <f t="shared" si="25"/>
        <v>0.82506711130948474</v>
      </c>
      <c r="AF81" s="12">
        <f t="shared" si="26"/>
        <v>0.17707999999999999</v>
      </c>
      <c r="AG81" s="12">
        <f t="shared" si="27"/>
        <v>0.10224</v>
      </c>
      <c r="AH81" s="10">
        <f t="shared" si="28"/>
        <v>0.99060291924464505</v>
      </c>
      <c r="AI81" s="10">
        <f t="shared" si="29"/>
        <v>1.42096379952827</v>
      </c>
      <c r="AJ81" s="13">
        <f t="shared" si="30"/>
        <v>0.99060291924464505</v>
      </c>
      <c r="AK81" s="13">
        <f t="shared" si="31"/>
        <v>1.42096379952827</v>
      </c>
    </row>
    <row r="82" spans="1:37">
      <c r="A82" s="8">
        <f>鋼床鈑!A82</f>
        <v>80</v>
      </c>
      <c r="B82" s="47" t="s">
        <v>41</v>
      </c>
      <c r="C82" s="47" t="s">
        <v>42</v>
      </c>
      <c r="D82" s="47" t="s">
        <v>180</v>
      </c>
      <c r="E82" s="48">
        <v>433080</v>
      </c>
      <c r="F82" s="49">
        <v>119783.4856</v>
      </c>
      <c r="G82" s="49">
        <v>150961.35800000001</v>
      </c>
      <c r="H82" s="49">
        <v>824874967824.78101</v>
      </c>
      <c r="I82" s="49">
        <v>1381462763899.45</v>
      </c>
      <c r="J82" s="49">
        <v>986223842337.95105</v>
      </c>
      <c r="K82" s="49">
        <v>3251.3364999999999</v>
      </c>
      <c r="L82" s="49">
        <v>3198.6635000000001</v>
      </c>
      <c r="M82" s="49">
        <v>1758.1545000000001</v>
      </c>
      <c r="N82" s="49">
        <v>2649.8454999999999</v>
      </c>
      <c r="O82" s="48">
        <v>0</v>
      </c>
      <c r="P82" s="48">
        <v>0</v>
      </c>
      <c r="Q82" s="48">
        <v>27702</v>
      </c>
      <c r="R82" s="48">
        <v>21578</v>
      </c>
      <c r="S82" s="11">
        <f>(鋼床鈑!F82+鋼床鈑!N82+鋼床鈑!O82)*鋼床鈑!L82+(鋼床鈑!I82+鋼床鈑!N82+鋼床鈑!O82)*鋼床鈑!M82</f>
        <v>102240</v>
      </c>
      <c r="T82" s="11">
        <f>(鋼床鈑!K82)*鋼床鈑!N82+(鋼床鈑!K82)*鋼床鈑!O82</f>
        <v>174880</v>
      </c>
      <c r="U82" s="11">
        <f>4*((鋼床鈑!I82+鋼床鈑!N82/2+鋼床鈑!O82/2)*(鋼床鈑!K82+鋼床鈑!L82/2+鋼床鈑!M82/2))^2/((鋼床鈑!F82+鋼床鈑!N82/2+鋼床鈑!O82/2)/鋼床鈑!L82+(鋼床鈑!I82+鋼床鈑!N82/2+鋼床鈑!O82/2)/鋼床鈑!M82+(鋼床鈑!K82+鋼床鈑!L82/2+鋼床鈑!M82/2)/鋼床鈑!N82+(鋼床鈑!K82+鋼床鈑!L82/2+鋼床鈑!M82/2)/鋼床鈑!O82)</f>
        <v>810628485500.82642</v>
      </c>
      <c r="V82" s="12">
        <f t="shared" si="18"/>
        <v>0.30832372406098701</v>
      </c>
      <c r="W82" s="12">
        <f t="shared" si="19"/>
        <v>0.30332875183419222</v>
      </c>
      <c r="X82" s="12">
        <f t="shared" si="20"/>
        <v>0.78574594206564319</v>
      </c>
      <c r="Y82" s="12">
        <f t="shared" si="21"/>
        <v>0.52133709829476849</v>
      </c>
      <c r="Z82" s="12">
        <f t="shared" si="16"/>
        <v>1.5090501912686862</v>
      </c>
      <c r="AA82" s="12">
        <f t="shared" si="17"/>
        <v>1.786016750315754</v>
      </c>
      <c r="AB82" s="10">
        <f t="shared" si="22"/>
        <v>4.4080000000000004</v>
      </c>
      <c r="AC82" s="10">
        <f t="shared" si="23"/>
        <v>6.45</v>
      </c>
      <c r="AD82" s="10">
        <f t="shared" si="24"/>
        <v>0.43308000000000002</v>
      </c>
      <c r="AE82" s="12">
        <f t="shared" si="25"/>
        <v>0.81062848550082645</v>
      </c>
      <c r="AF82" s="12">
        <f t="shared" si="26"/>
        <v>0.17488000000000001</v>
      </c>
      <c r="AG82" s="12">
        <f t="shared" si="27"/>
        <v>0.10224</v>
      </c>
      <c r="AH82" s="10">
        <f t="shared" si="28"/>
        <v>0.98622384233795102</v>
      </c>
      <c r="AI82" s="10">
        <f t="shared" si="29"/>
        <v>1.3814627638994499</v>
      </c>
      <c r="AJ82" s="13">
        <f t="shared" si="30"/>
        <v>0.98622384233795102</v>
      </c>
      <c r="AK82" s="13">
        <f t="shared" si="31"/>
        <v>1.3814627638994499</v>
      </c>
    </row>
    <row r="83" spans="1:37">
      <c r="A83" s="8">
        <f>鋼床鈑!A83</f>
        <v>81</v>
      </c>
      <c r="B83" s="47" t="s">
        <v>41</v>
      </c>
      <c r="C83" s="47" t="s">
        <v>42</v>
      </c>
      <c r="D83" s="47" t="s">
        <v>181</v>
      </c>
      <c r="E83" s="48">
        <v>431000</v>
      </c>
      <c r="F83" s="49">
        <v>120049.72779999999</v>
      </c>
      <c r="G83" s="49">
        <v>148885.82149999999</v>
      </c>
      <c r="H83" s="49">
        <v>811115579840.25903</v>
      </c>
      <c r="I83" s="49">
        <v>1344709054007.27</v>
      </c>
      <c r="J83" s="49">
        <v>982083575504.41797</v>
      </c>
      <c r="K83" s="49">
        <v>3251.1016</v>
      </c>
      <c r="L83" s="49">
        <v>3198.8984</v>
      </c>
      <c r="M83" s="49">
        <v>1735.4780000000001</v>
      </c>
      <c r="N83" s="49">
        <v>2620.5219999999999</v>
      </c>
      <c r="O83" s="48">
        <v>0</v>
      </c>
      <c r="P83" s="48">
        <v>0</v>
      </c>
      <c r="Q83" s="48">
        <v>27598</v>
      </c>
      <c r="R83" s="48">
        <v>21474</v>
      </c>
      <c r="S83" s="11">
        <f>(鋼床鈑!F83+鋼床鈑!N83+鋼床鈑!O83)*鋼床鈑!L83+(鋼床鈑!I83+鋼床鈑!N83+鋼床鈑!O83)*鋼床鈑!M83</f>
        <v>102240</v>
      </c>
      <c r="T83" s="11">
        <f>(鋼床鈑!K83)*鋼床鈑!N83+(鋼床鈑!K83)*鋼床鈑!O83</f>
        <v>172800</v>
      </c>
      <c r="U83" s="11">
        <f>4*((鋼床鈑!I83+鋼床鈑!N83/2+鋼床鈑!O83/2)*(鋼床鈑!K83+鋼床鈑!L83/2+鋼床鈑!M83/2))^2/((鋼床鈑!F83+鋼床鈑!N83/2+鋼床鈑!O83/2)/鋼床鈑!L83+(鋼床鈑!I83+鋼床鈑!N83/2+鋼床鈑!O83/2)/鋼床鈑!M83+(鋼床鈑!K83+鋼床鈑!L83/2+鋼床鈑!M83/2)/鋼床鈑!N83+(鋼床鈑!K83+鋼床鈑!L83/2+鋼床鈑!M83/2)/鋼床鈑!O83)</f>
        <v>797018593092.87</v>
      </c>
      <c r="V83" s="12">
        <f t="shared" si="18"/>
        <v>0.30700680443755823</v>
      </c>
      <c r="W83" s="12">
        <f t="shared" si="19"/>
        <v>0.30207717147456048</v>
      </c>
      <c r="X83" s="12">
        <f t="shared" si="20"/>
        <v>0.77483497572845628</v>
      </c>
      <c r="Y83" s="12">
        <f t="shared" si="21"/>
        <v>0.51314549315261238</v>
      </c>
      <c r="Z83" s="12">
        <f t="shared" si="16"/>
        <v>1.5095085903912593</v>
      </c>
      <c r="AA83" s="12">
        <f t="shared" si="17"/>
        <v>1.7663449842160301</v>
      </c>
      <c r="AB83" s="10">
        <f t="shared" si="22"/>
        <v>4.3559999999999999</v>
      </c>
      <c r="AC83" s="10">
        <f t="shared" si="23"/>
        <v>6.45</v>
      </c>
      <c r="AD83" s="10">
        <f t="shared" si="24"/>
        <v>0.43099999999999999</v>
      </c>
      <c r="AE83" s="12">
        <f t="shared" si="25"/>
        <v>0.79701859309287004</v>
      </c>
      <c r="AF83" s="12">
        <f t="shared" si="26"/>
        <v>0.17280000000000001</v>
      </c>
      <c r="AG83" s="12">
        <f t="shared" si="27"/>
        <v>0.10224</v>
      </c>
      <c r="AH83" s="10">
        <f t="shared" si="28"/>
        <v>0.98208357550441794</v>
      </c>
      <c r="AI83" s="10">
        <f t="shared" si="29"/>
        <v>1.3447090540072699</v>
      </c>
      <c r="AJ83" s="13">
        <f t="shared" si="30"/>
        <v>0.98208357550441794</v>
      </c>
      <c r="AK83" s="13">
        <f t="shared" si="31"/>
        <v>1.3447090540072699</v>
      </c>
    </row>
    <row r="84" spans="1:37">
      <c r="A84" s="8">
        <f>鋼床鈑!A84</f>
        <v>82</v>
      </c>
      <c r="B84" s="47" t="s">
        <v>41</v>
      </c>
      <c r="C84" s="47" t="s">
        <v>42</v>
      </c>
      <c r="D84" s="47" t="s">
        <v>182</v>
      </c>
      <c r="E84" s="48">
        <v>429080</v>
      </c>
      <c r="F84" s="49">
        <v>120294.1122</v>
      </c>
      <c r="G84" s="49">
        <v>146970.14749999999</v>
      </c>
      <c r="H84" s="49">
        <v>798451127546.25806</v>
      </c>
      <c r="I84" s="49">
        <v>1311291287205.0601</v>
      </c>
      <c r="J84" s="49">
        <v>978261748143.69897</v>
      </c>
      <c r="K84" s="49">
        <v>3250.8827999999999</v>
      </c>
      <c r="L84" s="49">
        <v>3199.1172000000001</v>
      </c>
      <c r="M84" s="49">
        <v>1714.5743</v>
      </c>
      <c r="N84" s="49">
        <v>2593.4256999999998</v>
      </c>
      <c r="O84" s="48">
        <v>0</v>
      </c>
      <c r="P84" s="48">
        <v>0</v>
      </c>
      <c r="Q84" s="48">
        <v>27502</v>
      </c>
      <c r="R84" s="48">
        <v>21378</v>
      </c>
      <c r="S84" s="11">
        <f>(鋼床鈑!F84+鋼床鈑!N84+鋼床鈑!O84)*鋼床鈑!L84+(鋼床鈑!I84+鋼床鈑!N84+鋼床鈑!O84)*鋼床鈑!M84</f>
        <v>102240</v>
      </c>
      <c r="T84" s="11">
        <f>(鋼床鈑!K84)*鋼床鈑!N84+(鋼床鈑!K84)*鋼床鈑!O84</f>
        <v>170880</v>
      </c>
      <c r="U84" s="11">
        <f>4*((鋼床鈑!I84+鋼床鈑!N84/2+鋼床鈑!O84/2)*(鋼床鈑!K84+鋼床鈑!L84/2+鋼床鈑!M84/2))^2/((鋼床鈑!F84+鋼床鈑!N84/2+鋼床鈑!O84/2)/鋼床鈑!L84+(鋼床鈑!I84+鋼床鈑!N84/2+鋼床鈑!O84/2)/鋼床鈑!M84+(鋼床鈑!K84+鋼床鈑!L84/2+鋼床鈑!M84/2)/鋼床鈑!N84+(鋼床鈑!K84+鋼床鈑!L84/2+鋼床鈑!M84/2)/鋼床鈑!O84)</f>
        <v>784491871839.19592</v>
      </c>
      <c r="V84" s="12">
        <f t="shared" si="18"/>
        <v>0.30579115643018606</v>
      </c>
      <c r="W84" s="12">
        <f t="shared" si="19"/>
        <v>0.30092187517301422</v>
      </c>
      <c r="X84" s="12">
        <f t="shared" si="20"/>
        <v>0.76479117131585383</v>
      </c>
      <c r="Y84" s="12">
        <f t="shared" si="21"/>
        <v>0.50562130513515791</v>
      </c>
      <c r="Z84" s="12">
        <f t="shared" si="16"/>
        <v>1.5099355145487805</v>
      </c>
      <c r="AA84" s="12">
        <f t="shared" si="17"/>
        <v>1.7481570735308771</v>
      </c>
      <c r="AB84" s="10">
        <f t="shared" si="22"/>
        <v>4.3079999999999998</v>
      </c>
      <c r="AC84" s="10">
        <f t="shared" si="23"/>
        <v>6.45</v>
      </c>
      <c r="AD84" s="10">
        <f t="shared" si="24"/>
        <v>0.42908000000000002</v>
      </c>
      <c r="AE84" s="12">
        <f t="shared" si="25"/>
        <v>0.78449187183919589</v>
      </c>
      <c r="AF84" s="12">
        <f t="shared" si="26"/>
        <v>0.17088</v>
      </c>
      <c r="AG84" s="12">
        <f t="shared" si="27"/>
        <v>0.10224</v>
      </c>
      <c r="AH84" s="10">
        <f t="shared" si="28"/>
        <v>0.97826174814369893</v>
      </c>
      <c r="AI84" s="10">
        <f t="shared" si="29"/>
        <v>1.3112912872050602</v>
      </c>
      <c r="AJ84" s="13">
        <f t="shared" si="30"/>
        <v>0.97826174814369893</v>
      </c>
      <c r="AK84" s="13">
        <f t="shared" si="31"/>
        <v>1.3112912872050602</v>
      </c>
    </row>
    <row r="85" spans="1:37">
      <c r="A85" s="8">
        <f>鋼床鈑!A85</f>
        <v>83</v>
      </c>
      <c r="B85" s="47" t="s">
        <v>41</v>
      </c>
      <c r="C85" s="47" t="s">
        <v>42</v>
      </c>
      <c r="D85" s="47" t="s">
        <v>183</v>
      </c>
      <c r="E85" s="48">
        <v>427320</v>
      </c>
      <c r="F85" s="49">
        <v>120528.1048</v>
      </c>
      <c r="G85" s="49">
        <v>145215.48980000001</v>
      </c>
      <c r="H85" s="49">
        <v>786899287402.29504</v>
      </c>
      <c r="I85" s="49">
        <v>1281085327181.6499</v>
      </c>
      <c r="J85" s="49">
        <v>974758369993.54102</v>
      </c>
      <c r="K85" s="49">
        <v>3250.6804999999999</v>
      </c>
      <c r="L85" s="49">
        <v>3199.3195000000001</v>
      </c>
      <c r="M85" s="49">
        <v>1695.4371000000001</v>
      </c>
      <c r="N85" s="49">
        <v>2568.5628999999999</v>
      </c>
      <c r="O85" s="48">
        <v>0</v>
      </c>
      <c r="P85" s="48">
        <v>0</v>
      </c>
      <c r="Q85" s="48">
        <v>27414</v>
      </c>
      <c r="R85" s="48">
        <v>21290</v>
      </c>
      <c r="S85" s="11">
        <f>(鋼床鈑!F85+鋼床鈑!N85+鋼床鈑!O85)*鋼床鈑!L85+(鋼床鈑!I85+鋼床鈑!N85+鋼床鈑!O85)*鋼床鈑!M85</f>
        <v>102240</v>
      </c>
      <c r="T85" s="11">
        <f>(鋼床鈑!K85)*鋼床鈑!N85+(鋼床鈑!K85)*鋼床鈑!O85</f>
        <v>169120</v>
      </c>
      <c r="U85" s="11">
        <f>4*((鋼床鈑!I85+鋼床鈑!N85/2+鋼床鈑!O85/2)*(鋼床鈑!K85+鋼床鈑!L85/2+鋼床鈑!M85/2))^2/((鋼床鈑!F85+鋼床鈑!N85/2+鋼床鈑!O85/2)/鋼床鈑!L85+(鋼床鈑!I85+鋼床鈑!N85/2+鋼床鈑!O85/2)/鋼床鈑!M85+(鋼床鈑!K85+鋼床鈑!L85/2+鋼床鈑!M85/2)/鋼床鈑!N85+(鋼床鈑!K85+鋼床鈑!L85/2+鋼床鈑!M85/2)/鋼床鈑!O85)</f>
        <v>773040213727.30347</v>
      </c>
      <c r="V85" s="12">
        <f t="shared" si="18"/>
        <v>0.30467678204491333</v>
      </c>
      <c r="W85" s="12">
        <f t="shared" si="19"/>
        <v>0.29986286563491582</v>
      </c>
      <c r="X85" s="12">
        <f t="shared" si="20"/>
        <v>0.75560769973810871</v>
      </c>
      <c r="Y85" s="12">
        <f t="shared" si="21"/>
        <v>0.49875567663990233</v>
      </c>
      <c r="Z85" s="12">
        <f t="shared" si="16"/>
        <v>1.5103300963336719</v>
      </c>
      <c r="AA85" s="12">
        <f t="shared" si="17"/>
        <v>1.7314598233476846</v>
      </c>
      <c r="AB85" s="10">
        <f t="shared" si="22"/>
        <v>4.2640000000000002</v>
      </c>
      <c r="AC85" s="10">
        <f t="shared" si="23"/>
        <v>6.45</v>
      </c>
      <c r="AD85" s="10">
        <f t="shared" si="24"/>
        <v>0.42731999999999998</v>
      </c>
      <c r="AE85" s="12">
        <f t="shared" si="25"/>
        <v>0.77304021372730347</v>
      </c>
      <c r="AF85" s="12">
        <f t="shared" si="26"/>
        <v>0.16911999999999999</v>
      </c>
      <c r="AG85" s="12">
        <f t="shared" si="27"/>
        <v>0.10224</v>
      </c>
      <c r="AH85" s="10">
        <f t="shared" si="28"/>
        <v>0.97475836999354104</v>
      </c>
      <c r="AI85" s="10">
        <f t="shared" si="29"/>
        <v>1.2810853271816498</v>
      </c>
      <c r="AJ85" s="13">
        <f t="shared" si="30"/>
        <v>0.97475836999354104</v>
      </c>
      <c r="AK85" s="13">
        <f t="shared" si="31"/>
        <v>1.2810853271816498</v>
      </c>
    </row>
    <row r="86" spans="1:37">
      <c r="A86" s="8">
        <f>鋼床鈑!A86</f>
        <v>84</v>
      </c>
      <c r="B86" s="47" t="s">
        <v>41</v>
      </c>
      <c r="C86" s="47" t="s">
        <v>42</v>
      </c>
      <c r="D86" s="47" t="s">
        <v>184</v>
      </c>
      <c r="E86" s="48">
        <v>425720</v>
      </c>
      <c r="F86" s="49">
        <v>120730.325</v>
      </c>
      <c r="G86" s="49">
        <v>143618.731</v>
      </c>
      <c r="H86" s="49">
        <v>776397566714.18799</v>
      </c>
      <c r="I86" s="49">
        <v>1253978231042.4299</v>
      </c>
      <c r="J86" s="49">
        <v>971573450175.58704</v>
      </c>
      <c r="K86" s="49">
        <v>3250.4951999999998</v>
      </c>
      <c r="L86" s="49">
        <v>3199.5048000000002</v>
      </c>
      <c r="M86" s="49">
        <v>1678.0601999999999</v>
      </c>
      <c r="N86" s="49">
        <v>2545.9398000000001</v>
      </c>
      <c r="O86" s="48">
        <v>0</v>
      </c>
      <c r="P86" s="48">
        <v>0</v>
      </c>
      <c r="Q86" s="48">
        <v>27334</v>
      </c>
      <c r="R86" s="48">
        <v>21210</v>
      </c>
      <c r="S86" s="11">
        <f>(鋼床鈑!F86+鋼床鈑!N86+鋼床鈑!O86)*鋼床鈑!L86+(鋼床鈑!I86+鋼床鈑!N86+鋼床鈑!O86)*鋼床鈑!M86</f>
        <v>102240</v>
      </c>
      <c r="T86" s="11">
        <f>(鋼床鈑!K86)*鋼床鈑!N86+(鋼床鈑!K86)*鋼床鈑!O86</f>
        <v>167520</v>
      </c>
      <c r="U86" s="11">
        <f>4*((鋼床鈑!I86+鋼床鈑!N86/2+鋼床鈑!O86/2)*(鋼床鈑!K86+鋼床鈑!L86/2+鋼床鈑!M86/2))^2/((鋼床鈑!F86+鋼床鈑!N86/2+鋼床鈑!O86/2)/鋼床鈑!L86+(鋼床鈑!I86+鋼床鈑!N86/2+鋼床鈑!O86/2)/鋼床鈑!M86+(鋼床鈑!K86+鋼床鈑!L86/2+鋼床鈑!M86/2)/鋼床鈑!N86+(鋼床鈑!K86+鋼床鈑!L86/2+鋼床鈑!M86/2)/鋼床鈑!O86)</f>
        <v>762655950376.90601</v>
      </c>
      <c r="V86" s="12">
        <f t="shared" si="18"/>
        <v>0.30366369513669333</v>
      </c>
      <c r="W86" s="12">
        <f t="shared" si="19"/>
        <v>0.29890013379364072</v>
      </c>
      <c r="X86" s="12">
        <f t="shared" si="20"/>
        <v>0.74727845344429833</v>
      </c>
      <c r="Y86" s="12">
        <f t="shared" si="21"/>
        <v>0.49254040925964937</v>
      </c>
      <c r="Z86" s="12">
        <f t="shared" si="16"/>
        <v>1.5106915239146212</v>
      </c>
      <c r="AA86" s="12">
        <f t="shared" si="17"/>
        <v>1.7162595698829923</v>
      </c>
      <c r="AB86" s="10">
        <f t="shared" si="22"/>
        <v>4.2240000000000002</v>
      </c>
      <c r="AC86" s="10">
        <f t="shared" si="23"/>
        <v>6.45</v>
      </c>
      <c r="AD86" s="10">
        <f t="shared" si="24"/>
        <v>0.42571999999999999</v>
      </c>
      <c r="AE86" s="12">
        <f t="shared" si="25"/>
        <v>0.76265595037690603</v>
      </c>
      <c r="AF86" s="12">
        <f t="shared" si="26"/>
        <v>0.16752</v>
      </c>
      <c r="AG86" s="12">
        <f t="shared" si="27"/>
        <v>0.10224</v>
      </c>
      <c r="AH86" s="10">
        <f t="shared" si="28"/>
        <v>0.97157345017558705</v>
      </c>
      <c r="AI86" s="10">
        <f t="shared" si="29"/>
        <v>1.2539782310424299</v>
      </c>
      <c r="AJ86" s="13">
        <f t="shared" si="30"/>
        <v>0.97157345017558705</v>
      </c>
      <c r="AK86" s="13">
        <f t="shared" si="31"/>
        <v>1.2539782310424299</v>
      </c>
    </row>
    <row r="87" spans="1:37">
      <c r="A87" s="8">
        <f>鋼床鈑!A87</f>
        <v>85</v>
      </c>
      <c r="B87" s="47" t="s">
        <v>41</v>
      </c>
      <c r="C87" s="47" t="s">
        <v>42</v>
      </c>
      <c r="D87" s="47" t="s">
        <v>185</v>
      </c>
      <c r="E87" s="48">
        <v>424280</v>
      </c>
      <c r="F87" s="49">
        <v>120911.5992</v>
      </c>
      <c r="G87" s="49">
        <v>142181.55119999999</v>
      </c>
      <c r="H87" s="49">
        <v>766966731345.10303</v>
      </c>
      <c r="I87" s="49">
        <v>1229868028661.4299</v>
      </c>
      <c r="J87" s="49">
        <v>968706997148.18396</v>
      </c>
      <c r="K87" s="49">
        <v>3250.3271</v>
      </c>
      <c r="L87" s="49">
        <v>3199.6729</v>
      </c>
      <c r="M87" s="49">
        <v>1662.4378999999999</v>
      </c>
      <c r="N87" s="49">
        <v>2525.5621000000001</v>
      </c>
      <c r="O87" s="48">
        <v>0</v>
      </c>
      <c r="P87" s="48">
        <v>0</v>
      </c>
      <c r="Q87" s="48">
        <v>27262</v>
      </c>
      <c r="R87" s="48">
        <v>21138</v>
      </c>
      <c r="S87" s="11">
        <f>(鋼床鈑!F87+鋼床鈑!N87+鋼床鈑!O87)*鋼床鈑!L87+(鋼床鈑!I87+鋼床鈑!N87+鋼床鈑!O87)*鋼床鈑!M87</f>
        <v>102240</v>
      </c>
      <c r="T87" s="11">
        <f>(鋼床鈑!K87)*鋼床鈑!N87+(鋼床鈑!K87)*鋼床鈑!O87</f>
        <v>166080</v>
      </c>
      <c r="U87" s="11">
        <f>4*((鋼床鈑!I87+鋼床鈑!N87/2+鋼床鈑!O87/2)*(鋼床鈑!K87+鋼床鈑!L87/2+鋼床鈑!M87/2))^2/((鋼床鈑!F87+鋼床鈑!N87/2+鋼床鈑!O87/2)/鋼床鈑!L87+(鋼床鈑!I87+鋼床鈑!N87/2+鋼床鈑!O87/2)/鋼床鈑!M87+(鋼床鈑!K87+鋼床鈑!L87/2+鋼床鈑!M87/2)/鋼床鈑!N87+(鋼床鈑!K87+鋼床鈑!L87/2+鋼床鈑!M87/2)/鋼床鈑!O87)</f>
        <v>753331907987.74255</v>
      </c>
      <c r="V87" s="12">
        <f t="shared" si="18"/>
        <v>0.30275188352790189</v>
      </c>
      <c r="W87" s="12">
        <f t="shared" si="19"/>
        <v>0.29803369548504333</v>
      </c>
      <c r="X87" s="12">
        <f t="shared" si="20"/>
        <v>0.73979787675764008</v>
      </c>
      <c r="Y87" s="12">
        <f t="shared" si="21"/>
        <v>0.4869680411586117</v>
      </c>
      <c r="Z87" s="12">
        <f t="shared" si="16"/>
        <v>1.5110190450837748</v>
      </c>
      <c r="AA87" s="12">
        <f t="shared" si="17"/>
        <v>1.7025621561055075</v>
      </c>
      <c r="AB87" s="10">
        <f t="shared" si="22"/>
        <v>4.1879999999999997</v>
      </c>
      <c r="AC87" s="10">
        <f t="shared" si="23"/>
        <v>6.45</v>
      </c>
      <c r="AD87" s="10">
        <f t="shared" si="24"/>
        <v>0.42427999999999999</v>
      </c>
      <c r="AE87" s="12">
        <f t="shared" si="25"/>
        <v>0.75333190798774252</v>
      </c>
      <c r="AF87" s="12">
        <f t="shared" si="26"/>
        <v>0.16608000000000001</v>
      </c>
      <c r="AG87" s="12">
        <f t="shared" si="27"/>
        <v>0.10224</v>
      </c>
      <c r="AH87" s="10">
        <f t="shared" si="28"/>
        <v>0.96870699714818398</v>
      </c>
      <c r="AI87" s="10">
        <f t="shared" si="29"/>
        <v>1.2298680286614299</v>
      </c>
      <c r="AJ87" s="13">
        <f t="shared" si="30"/>
        <v>0.96870699714818398</v>
      </c>
      <c r="AK87" s="13">
        <f t="shared" si="31"/>
        <v>1.2298680286614299</v>
      </c>
    </row>
    <row r="88" spans="1:37">
      <c r="A88" s="8">
        <f>鋼床鈑!A88</f>
        <v>86</v>
      </c>
      <c r="B88" s="47" t="s">
        <v>41</v>
      </c>
      <c r="C88" s="47" t="s">
        <v>42</v>
      </c>
      <c r="D88" s="47" t="s">
        <v>186</v>
      </c>
      <c r="E88" s="48">
        <v>423000</v>
      </c>
      <c r="F88" s="49">
        <v>121071.6912</v>
      </c>
      <c r="G88" s="49">
        <v>140904.04240000001</v>
      </c>
      <c r="H88" s="49">
        <v>758599976520.44604</v>
      </c>
      <c r="I88" s="49">
        <v>1208663521762.1699</v>
      </c>
      <c r="J88" s="49">
        <v>966159018661.84497</v>
      </c>
      <c r="K88" s="49">
        <v>3250.1768000000002</v>
      </c>
      <c r="L88" s="49">
        <v>3199.8231999999998</v>
      </c>
      <c r="M88" s="49">
        <v>1648.5650000000001</v>
      </c>
      <c r="N88" s="49">
        <v>2507.4349999999999</v>
      </c>
      <c r="O88" s="48">
        <v>0</v>
      </c>
      <c r="P88" s="48">
        <v>0</v>
      </c>
      <c r="Q88" s="48">
        <v>27198</v>
      </c>
      <c r="R88" s="48">
        <v>21074</v>
      </c>
      <c r="S88" s="11">
        <f>(鋼床鈑!F88+鋼床鈑!N88+鋼床鈑!O88)*鋼床鈑!L88+(鋼床鈑!I88+鋼床鈑!N88+鋼床鈑!O88)*鋼床鈑!M88</f>
        <v>102240</v>
      </c>
      <c r="T88" s="11">
        <f>(鋼床鈑!K88)*鋼床鈑!N88+(鋼床鈑!K88)*鋼床鈑!O88</f>
        <v>164800</v>
      </c>
      <c r="U88" s="11">
        <f>4*((鋼床鈑!I88+鋼床鈑!N88/2+鋼床鈑!O88/2)*(鋼床鈑!K88+鋼床鈑!L88/2+鋼床鈑!M88/2))^2/((鋼床鈑!F88+鋼床鈑!N88/2+鋼床鈑!O88/2)/鋼床鈑!L88+(鋼床鈑!I88+鋼床鈑!N88/2+鋼床鈑!O88/2)/鋼床鈑!M88+(鋼床鈑!K88+鋼床鈑!L88/2+鋼床鈑!M88/2)/鋼床鈑!N88+(鋼床鈑!K88+鋼床鈑!L88/2+鋼床鈑!M88/2)/鋼床鈑!O88)</f>
        <v>745061460122.28992</v>
      </c>
      <c r="V88" s="12">
        <f t="shared" si="18"/>
        <v>0.30194137559282808</v>
      </c>
      <c r="W88" s="12">
        <f t="shared" si="19"/>
        <v>0.29726352691393432</v>
      </c>
      <c r="X88" s="12">
        <f t="shared" si="20"/>
        <v>0.73316097440026318</v>
      </c>
      <c r="Y88" s="12">
        <f t="shared" si="21"/>
        <v>0.48203184599487919</v>
      </c>
      <c r="Z88" s="12">
        <f t="shared" si="16"/>
        <v>1.5113119710718468</v>
      </c>
      <c r="AA88" s="12">
        <f t="shared" si="17"/>
        <v>1.69037290901794</v>
      </c>
      <c r="AB88" s="10">
        <f t="shared" si="22"/>
        <v>4.1559999999999997</v>
      </c>
      <c r="AC88" s="10">
        <f t="shared" si="23"/>
        <v>6.45</v>
      </c>
      <c r="AD88" s="10">
        <f t="shared" si="24"/>
        <v>0.42299999999999999</v>
      </c>
      <c r="AE88" s="12">
        <f t="shared" si="25"/>
        <v>0.74506146012228991</v>
      </c>
      <c r="AF88" s="12">
        <f t="shared" si="26"/>
        <v>0.1648</v>
      </c>
      <c r="AG88" s="12">
        <f t="shared" si="27"/>
        <v>0.10224</v>
      </c>
      <c r="AH88" s="10">
        <f t="shared" si="28"/>
        <v>0.96615901866184495</v>
      </c>
      <c r="AI88" s="10">
        <f t="shared" si="29"/>
        <v>1.20866352176217</v>
      </c>
      <c r="AJ88" s="13">
        <f t="shared" si="30"/>
        <v>0.96615901866184495</v>
      </c>
      <c r="AK88" s="13">
        <f t="shared" si="31"/>
        <v>1.20866352176217</v>
      </c>
    </row>
    <row r="89" spans="1:37">
      <c r="A89" s="8">
        <f>鋼床鈑!A89</f>
        <v>87</v>
      </c>
      <c r="B89" s="47" t="s">
        <v>41</v>
      </c>
      <c r="C89" s="47" t="s">
        <v>42</v>
      </c>
      <c r="D89" s="47" t="s">
        <v>187</v>
      </c>
      <c r="E89" s="48">
        <v>421840</v>
      </c>
      <c r="F89" s="49">
        <v>121217.4097</v>
      </c>
      <c r="G89" s="49">
        <v>139747.0422</v>
      </c>
      <c r="H89" s="49">
        <v>751037681780.09204</v>
      </c>
      <c r="I89" s="49">
        <v>1189630701407.1101</v>
      </c>
      <c r="J89" s="49">
        <v>963849896553.15295</v>
      </c>
      <c r="K89" s="49">
        <v>3250.0398</v>
      </c>
      <c r="L89" s="49">
        <v>3199.9602</v>
      </c>
      <c r="M89" s="49">
        <v>1636.0038</v>
      </c>
      <c r="N89" s="49">
        <v>2490.9962</v>
      </c>
      <c r="O89" s="48">
        <v>0</v>
      </c>
      <c r="P89" s="48">
        <v>0</v>
      </c>
      <c r="Q89" s="48">
        <v>27140</v>
      </c>
      <c r="R89" s="48">
        <v>21016</v>
      </c>
      <c r="S89" s="11">
        <f>(鋼床鈑!F89+鋼床鈑!N89+鋼床鈑!O89)*鋼床鈑!L89+(鋼床鈑!I89+鋼床鈑!N89+鋼床鈑!O89)*鋼床鈑!M89</f>
        <v>102240</v>
      </c>
      <c r="T89" s="11">
        <f>(鋼床鈑!K89)*鋼床鈑!N89+(鋼床鈑!K89)*鋼床鈑!O89</f>
        <v>163640</v>
      </c>
      <c r="U89" s="11">
        <f>4*((鋼床鈑!I89+鋼床鈑!N89/2+鋼床鈑!O89/2)*(鋼床鈑!K89+鋼床鈑!L89/2+鋼床鈑!M89/2))^2/((鋼床鈑!F89+鋼床鈑!N89/2+鋼床鈑!O89/2)/鋼床鈑!L89+(鋼床鈑!I89+鋼床鈑!N89/2+鋼床鈑!O89/2)/鋼床鈑!M89+(鋼床鈑!K89+鋼床鈑!L89/2+鋼床鈑!M89/2)/鋼床鈑!N89+(鋼床鈑!K89+鋼床鈑!L89/2+鋼床鈑!M89/2)/鋼床鈑!O89)</f>
        <v>737580857045.38892</v>
      </c>
      <c r="V89" s="12">
        <f t="shared" si="18"/>
        <v>0.30120683893291955</v>
      </c>
      <c r="W89" s="12">
        <f t="shared" si="19"/>
        <v>0.29656556715187088</v>
      </c>
      <c r="X89" s="12">
        <f t="shared" si="20"/>
        <v>0.72715644145026448</v>
      </c>
      <c r="Y89" s="12">
        <f t="shared" si="21"/>
        <v>0.47757226663256658</v>
      </c>
      <c r="Z89" s="12">
        <f t="shared" si="16"/>
        <v>1.5115789082695477</v>
      </c>
      <c r="AA89" s="12">
        <f t="shared" si="17"/>
        <v>1.6793151372195183</v>
      </c>
      <c r="AB89" s="10">
        <f t="shared" si="22"/>
        <v>4.1269999999999998</v>
      </c>
      <c r="AC89" s="10">
        <f t="shared" si="23"/>
        <v>6.45</v>
      </c>
      <c r="AD89" s="10">
        <f t="shared" si="24"/>
        <v>0.42183999999999999</v>
      </c>
      <c r="AE89" s="12">
        <f t="shared" si="25"/>
        <v>0.73758085704538889</v>
      </c>
      <c r="AF89" s="12">
        <f t="shared" si="26"/>
        <v>0.16364000000000001</v>
      </c>
      <c r="AG89" s="12">
        <f t="shared" si="27"/>
        <v>0.10224</v>
      </c>
      <c r="AH89" s="10">
        <f t="shared" si="28"/>
        <v>0.96384989655315301</v>
      </c>
      <c r="AI89" s="10">
        <f t="shared" si="29"/>
        <v>1.1896307014071101</v>
      </c>
      <c r="AJ89" s="13">
        <f t="shared" si="30"/>
        <v>0.96384989655315301</v>
      </c>
      <c r="AK89" s="13">
        <f t="shared" si="31"/>
        <v>1.1896307014071101</v>
      </c>
    </row>
    <row r="90" spans="1:37">
      <c r="A90" s="8">
        <f>鋼床鈑!A90</f>
        <v>88</v>
      </c>
      <c r="B90" s="47" t="s">
        <v>41</v>
      </c>
      <c r="C90" s="47" t="s">
        <v>42</v>
      </c>
      <c r="D90" s="47" t="s">
        <v>188</v>
      </c>
      <c r="E90" s="48">
        <v>420880</v>
      </c>
      <c r="F90" s="49">
        <v>121337.2001</v>
      </c>
      <c r="G90" s="49">
        <v>138788.35209999999</v>
      </c>
      <c r="H90" s="49">
        <v>744782060983.80298</v>
      </c>
      <c r="I90" s="49">
        <v>1174011157663.96</v>
      </c>
      <c r="J90" s="49">
        <v>961938886909.35303</v>
      </c>
      <c r="K90" s="49">
        <v>3249.9259000000002</v>
      </c>
      <c r="L90" s="49">
        <v>3200.0740999999998</v>
      </c>
      <c r="M90" s="49">
        <v>1625.6165000000001</v>
      </c>
      <c r="N90" s="49">
        <v>2477.3834999999999</v>
      </c>
      <c r="O90" s="48">
        <v>0</v>
      </c>
      <c r="P90" s="48">
        <v>0</v>
      </c>
      <c r="Q90" s="48">
        <v>27092</v>
      </c>
      <c r="R90" s="48">
        <v>20968</v>
      </c>
      <c r="S90" s="11">
        <f>(鋼床鈑!F90+鋼床鈑!N90+鋼床鈑!O90)*鋼床鈑!L90+(鋼床鈑!I90+鋼床鈑!N90+鋼床鈑!O90)*鋼床鈑!M90</f>
        <v>102240</v>
      </c>
      <c r="T90" s="11">
        <f>(鋼床鈑!K90)*鋼床鈑!N90+(鋼床鈑!K90)*鋼床鈑!O90</f>
        <v>162680</v>
      </c>
      <c r="U90" s="11">
        <f>4*((鋼床鈑!I90+鋼床鈑!N90/2+鋼床鈑!O90/2)*(鋼床鈑!K90+鋼床鈑!L90/2+鋼床鈑!M90/2))^2/((鋼床鈑!F90+鋼床鈑!N90/2+鋼床鈑!O90/2)/鋼床鈑!L90+(鋼床鈑!I90+鋼床鈑!N90/2+鋼床鈑!O90/2)/鋼床鈑!M90+(鋼床鈑!K90+鋼床鈑!L90/2+鋼床鈑!M90/2)/鋼床鈑!N90+(鋼床鈑!K90+鋼床鈑!L90/2+鋼床鈑!M90/2)/鋼床鈑!O90)</f>
        <v>731400554405.78711</v>
      </c>
      <c r="V90" s="12">
        <f t="shared" si="18"/>
        <v>0.30059894141493571</v>
      </c>
      <c r="W90" s="12">
        <f t="shared" si="19"/>
        <v>0.29598794449724314</v>
      </c>
      <c r="X90" s="12">
        <f t="shared" si="20"/>
        <v>0.72219441526581452</v>
      </c>
      <c r="Y90" s="12">
        <f t="shared" si="21"/>
        <v>0.47389157054770087</v>
      </c>
      <c r="Z90" s="12">
        <f t="shared" si="16"/>
        <v>1.5118008892048054</v>
      </c>
      <c r="AA90" s="12">
        <f t="shared" si="17"/>
        <v>1.6701557297803729</v>
      </c>
      <c r="AB90" s="10">
        <f t="shared" si="22"/>
        <v>4.1029999999999998</v>
      </c>
      <c r="AC90" s="10">
        <f t="shared" si="23"/>
        <v>6.45</v>
      </c>
      <c r="AD90" s="10">
        <f t="shared" si="24"/>
        <v>0.42087999999999998</v>
      </c>
      <c r="AE90" s="12">
        <f t="shared" si="25"/>
        <v>0.73140055440578711</v>
      </c>
      <c r="AF90" s="12">
        <f t="shared" si="26"/>
        <v>0.16267999999999999</v>
      </c>
      <c r="AG90" s="12">
        <f t="shared" si="27"/>
        <v>0.10224</v>
      </c>
      <c r="AH90" s="10">
        <f t="shared" si="28"/>
        <v>0.96193888690935303</v>
      </c>
      <c r="AI90" s="10">
        <f t="shared" si="29"/>
        <v>1.17401115766396</v>
      </c>
      <c r="AJ90" s="13">
        <f t="shared" si="30"/>
        <v>0.96193888690935303</v>
      </c>
      <c r="AK90" s="13">
        <f t="shared" si="31"/>
        <v>1.17401115766396</v>
      </c>
    </row>
    <row r="91" spans="1:37">
      <c r="A91" s="8">
        <f>鋼床鈑!A91</f>
        <v>89</v>
      </c>
      <c r="B91" s="47" t="s">
        <v>41</v>
      </c>
      <c r="C91" s="47" t="s">
        <v>42</v>
      </c>
      <c r="D91" s="47" t="s">
        <v>189</v>
      </c>
      <c r="E91" s="48">
        <v>420040</v>
      </c>
      <c r="F91" s="49">
        <v>121452.56819999999</v>
      </c>
      <c r="G91" s="49">
        <v>137951.10449999999</v>
      </c>
      <c r="H91" s="49">
        <v>739342045362.58606</v>
      </c>
      <c r="I91" s="49">
        <v>1160441695830.02</v>
      </c>
      <c r="J91" s="49">
        <v>960266744465.72205</v>
      </c>
      <c r="K91" s="49">
        <v>3249.8256999999999</v>
      </c>
      <c r="L91" s="49">
        <v>3200.1743000000001</v>
      </c>
      <c r="M91" s="49">
        <v>1616.5336</v>
      </c>
      <c r="N91" s="49">
        <v>2465.4663999999998</v>
      </c>
      <c r="O91" s="48">
        <v>0</v>
      </c>
      <c r="P91" s="48">
        <v>0</v>
      </c>
      <c r="Q91" s="48">
        <v>27050</v>
      </c>
      <c r="R91" s="48">
        <v>20926</v>
      </c>
      <c r="S91" s="11">
        <f>(鋼床鈑!F91+鋼床鈑!N91+鋼床鈑!O91)*鋼床鈑!L91+(鋼床鈑!I91+鋼床鈑!N91+鋼床鈑!O91)*鋼床鈑!M91</f>
        <v>102240</v>
      </c>
      <c r="T91" s="11">
        <f>(鋼床鈑!K91)*鋼床鈑!N91+(鋼床鈑!K91)*鋼床鈑!O91</f>
        <v>161840</v>
      </c>
      <c r="U91" s="11">
        <f>4*((鋼床鈑!I91+鋼床鈑!N91/2+鋼床鈑!O91/2)*(鋼床鈑!K91+鋼床鈑!L91/2+鋼床鈑!M91/2))^2/((鋼床鈑!F91+鋼床鈑!N91/2+鋼床鈑!O91/2)/鋼床鈑!L91+(鋼床鈑!I91+鋼床鈑!N91/2+鋼床鈑!O91/2)/鋼床鈑!M91+(鋼床鈑!K91+鋼床鈑!L91/2+鋼床鈑!M91/2)/鋼床鈑!N91+(鋼床鈑!K91+鋼床鈑!L91/2+鋼床鈑!M91/2)/鋼床鈑!O91)</f>
        <v>726000701059.35181</v>
      </c>
      <c r="V91" s="12">
        <f t="shared" si="18"/>
        <v>0.30006701337040359</v>
      </c>
      <c r="W91" s="12">
        <f t="shared" si="19"/>
        <v>0.29548253756062121</v>
      </c>
      <c r="X91" s="12">
        <f t="shared" si="20"/>
        <v>0.7178580734913399</v>
      </c>
      <c r="Y91" s="12">
        <f t="shared" si="21"/>
        <v>0.47067836569584565</v>
      </c>
      <c r="Z91" s="12">
        <f t="shared" si="16"/>
        <v>1.5119959208806872</v>
      </c>
      <c r="AA91" s="12">
        <f t="shared" si="17"/>
        <v>1.662135164478151</v>
      </c>
      <c r="AB91" s="10">
        <f t="shared" si="22"/>
        <v>4.0819999999999999</v>
      </c>
      <c r="AC91" s="10">
        <f t="shared" si="23"/>
        <v>6.45</v>
      </c>
      <c r="AD91" s="10">
        <f t="shared" si="24"/>
        <v>0.42004000000000002</v>
      </c>
      <c r="AE91" s="12">
        <f t="shared" si="25"/>
        <v>0.72600070105935177</v>
      </c>
      <c r="AF91" s="12">
        <f t="shared" si="26"/>
        <v>0.16184000000000001</v>
      </c>
      <c r="AG91" s="12">
        <f t="shared" si="27"/>
        <v>0.10224</v>
      </c>
      <c r="AH91" s="10">
        <f t="shared" si="28"/>
        <v>0.96026674446572202</v>
      </c>
      <c r="AI91" s="10">
        <f t="shared" si="29"/>
        <v>1.1604416958300201</v>
      </c>
      <c r="AJ91" s="13">
        <f t="shared" si="30"/>
        <v>0.96026674446572202</v>
      </c>
      <c r="AK91" s="13">
        <f t="shared" si="31"/>
        <v>1.1604416958300201</v>
      </c>
    </row>
    <row r="92" spans="1:37">
      <c r="A92" s="8">
        <f>鋼床鈑!A92</f>
        <v>90</v>
      </c>
      <c r="B92" s="47" t="s">
        <v>41</v>
      </c>
      <c r="C92" s="47" t="s">
        <v>42</v>
      </c>
      <c r="D92" s="47" t="s">
        <v>190</v>
      </c>
      <c r="E92" s="48">
        <v>419360</v>
      </c>
      <c r="F92" s="49">
        <v>121537.3821</v>
      </c>
      <c r="G92" s="49">
        <v>137272.83559999999</v>
      </c>
      <c r="H92" s="49">
        <v>734927297506.32397</v>
      </c>
      <c r="I92" s="49">
        <v>1149523498369.46</v>
      </c>
      <c r="J92" s="49">
        <v>958913099152.27405</v>
      </c>
      <c r="K92" s="49">
        <v>3249.7444</v>
      </c>
      <c r="L92" s="49">
        <v>3200.2556</v>
      </c>
      <c r="M92" s="49">
        <v>1609.1849</v>
      </c>
      <c r="N92" s="49">
        <v>2455.8150999999998</v>
      </c>
      <c r="O92" s="48">
        <v>0</v>
      </c>
      <c r="P92" s="48">
        <v>0</v>
      </c>
      <c r="Q92" s="48">
        <v>27016</v>
      </c>
      <c r="R92" s="48">
        <v>20892</v>
      </c>
      <c r="S92" s="11">
        <f>(鋼床鈑!F92+鋼床鈑!N92+鋼床鈑!O92)*鋼床鈑!L92+(鋼床鈑!I92+鋼床鈑!N92+鋼床鈑!O92)*鋼床鈑!M92</f>
        <v>102240</v>
      </c>
      <c r="T92" s="11">
        <f>(鋼床鈑!K92)*鋼床鈑!N92+(鋼床鈑!K92)*鋼床鈑!O92</f>
        <v>161160</v>
      </c>
      <c r="U92" s="11">
        <f>4*((鋼床鈑!I92+鋼床鈑!N92/2+鋼床鈑!O92/2)*(鋼床鈑!K92+鋼床鈑!L92/2+鋼床鈑!M92/2))^2/((鋼床鈑!F92+鋼床鈑!N92/2+鋼床鈑!O92/2)/鋼床鈑!L92+(鋼床鈑!I92+鋼床鈑!N92/2+鋼床鈑!O92/2)/鋼床鈑!M92+(鋼床鈑!K92+鋼床鈑!L92/2+鋼床鈑!M92/2)/鋼床鈑!N92+(鋼床鈑!K92+鋼床鈑!L92/2+鋼床鈑!M92/2)/鋼床鈑!O92)</f>
        <v>721634845912.3208</v>
      </c>
      <c r="V92" s="12">
        <f t="shared" si="18"/>
        <v>0.29963641002683478</v>
      </c>
      <c r="W92" s="12">
        <f t="shared" si="19"/>
        <v>0.29507339074183003</v>
      </c>
      <c r="X92" s="12">
        <f t="shared" si="20"/>
        <v>0.71435140757874371</v>
      </c>
      <c r="Y92" s="12">
        <f t="shared" si="21"/>
        <v>0.46808226660446062</v>
      </c>
      <c r="Z92" s="12">
        <f t="shared" si="16"/>
        <v>1.5121543525201886</v>
      </c>
      <c r="AA92" s="12">
        <f t="shared" si="17"/>
        <v>1.6556381495089885</v>
      </c>
      <c r="AB92" s="10">
        <f t="shared" si="22"/>
        <v>4.0650000000000004</v>
      </c>
      <c r="AC92" s="10">
        <f t="shared" si="23"/>
        <v>6.45</v>
      </c>
      <c r="AD92" s="10">
        <f t="shared" si="24"/>
        <v>0.41936000000000001</v>
      </c>
      <c r="AE92" s="12">
        <f t="shared" si="25"/>
        <v>0.72163484591232085</v>
      </c>
      <c r="AF92" s="12">
        <f t="shared" si="26"/>
        <v>0.16116</v>
      </c>
      <c r="AG92" s="12">
        <f t="shared" si="27"/>
        <v>0.10224</v>
      </c>
      <c r="AH92" s="10">
        <f t="shared" si="28"/>
        <v>0.95891309915227407</v>
      </c>
      <c r="AI92" s="10">
        <f t="shared" si="29"/>
        <v>1.14952349836946</v>
      </c>
      <c r="AJ92" s="13">
        <f t="shared" si="30"/>
        <v>0.95891309915227407</v>
      </c>
      <c r="AK92" s="13">
        <f t="shared" si="31"/>
        <v>1.14952349836946</v>
      </c>
    </row>
    <row r="93" spans="1:37">
      <c r="A93" s="8">
        <f>鋼床鈑!A93</f>
        <v>91</v>
      </c>
      <c r="B93" s="47" t="s">
        <v>41</v>
      </c>
      <c r="C93" s="47" t="s">
        <v>42</v>
      </c>
      <c r="D93" s="47" t="s">
        <v>191</v>
      </c>
      <c r="E93" s="48">
        <v>418840</v>
      </c>
      <c r="F93" s="49">
        <v>121601.2522</v>
      </c>
      <c r="G93" s="49">
        <v>136753.8535</v>
      </c>
      <c r="H93" s="49">
        <v>731551312482.86096</v>
      </c>
      <c r="I93" s="49">
        <v>1141214429034.9099</v>
      </c>
      <c r="J93" s="49">
        <v>957877954861.797</v>
      </c>
      <c r="K93" s="49">
        <v>3249.6819999999998</v>
      </c>
      <c r="L93" s="49">
        <v>3200.3180000000002</v>
      </c>
      <c r="M93" s="49">
        <v>1603.5679</v>
      </c>
      <c r="N93" s="49">
        <v>2448.4321</v>
      </c>
      <c r="O93" s="48">
        <v>0</v>
      </c>
      <c r="P93" s="48">
        <v>0</v>
      </c>
      <c r="Q93" s="48">
        <v>26990</v>
      </c>
      <c r="R93" s="48">
        <v>20866</v>
      </c>
      <c r="S93" s="11">
        <f>(鋼床鈑!F93+鋼床鈑!N93+鋼床鈑!O93)*鋼床鈑!L93+(鋼床鈑!I93+鋼床鈑!N93+鋼床鈑!O93)*鋼床鈑!M93</f>
        <v>102240</v>
      </c>
      <c r="T93" s="11">
        <f>(鋼床鈑!K93)*鋼床鈑!N93+(鋼床鈑!K93)*鋼床鈑!O93</f>
        <v>160640</v>
      </c>
      <c r="U93" s="11">
        <f>4*((鋼床鈑!I93+鋼床鈑!N93/2+鋼床鈑!O93/2)*(鋼床鈑!K93+鋼床鈑!L93/2+鋼床鈑!M93/2))^2/((鋼床鈑!F93+鋼床鈑!N93/2+鋼床鈑!O93/2)/鋼床鈑!L93+(鋼床鈑!I93+鋼床鈑!N93/2+鋼床鈑!O93/2)/鋼床鈑!M93+(鋼床鈑!K93+鋼床鈑!L93/2+鋼床鈑!M93/2)/鋼床鈑!N93+(鋼床鈑!K93+鋼床鈑!L93/2+鋼床鈑!M93/2)/鋼床鈑!O93)</f>
        <v>718299567192.95068</v>
      </c>
      <c r="V93" s="12">
        <f t="shared" si="18"/>
        <v>0.29930711724953485</v>
      </c>
      <c r="W93" s="12">
        <f t="shared" si="19"/>
        <v>0.29476051960216321</v>
      </c>
      <c r="X93" s="12">
        <f t="shared" si="20"/>
        <v>0.71167203399052203</v>
      </c>
      <c r="Y93" s="12">
        <f t="shared" si="21"/>
        <v>0.46610009280425219</v>
      </c>
      <c r="Z93" s="12">
        <f t="shared" si="16"/>
        <v>1.5122758390279532</v>
      </c>
      <c r="AA93" s="12">
        <f t="shared" si="17"/>
        <v>1.6506673138525454</v>
      </c>
      <c r="AB93" s="10">
        <f t="shared" si="22"/>
        <v>4.0519999999999996</v>
      </c>
      <c r="AC93" s="10">
        <f t="shared" si="23"/>
        <v>6.45</v>
      </c>
      <c r="AD93" s="10">
        <f t="shared" si="24"/>
        <v>0.41883999999999999</v>
      </c>
      <c r="AE93" s="12">
        <f t="shared" si="25"/>
        <v>0.71829956719295074</v>
      </c>
      <c r="AF93" s="12">
        <f t="shared" si="26"/>
        <v>0.16064000000000001</v>
      </c>
      <c r="AG93" s="12">
        <f t="shared" si="27"/>
        <v>0.10224</v>
      </c>
      <c r="AH93" s="10">
        <f t="shared" si="28"/>
        <v>0.95787795486179694</v>
      </c>
      <c r="AI93" s="10">
        <f t="shared" si="29"/>
        <v>1.14121442903491</v>
      </c>
      <c r="AJ93" s="13">
        <f t="shared" si="30"/>
        <v>0.95787795486179694</v>
      </c>
      <c r="AK93" s="13">
        <f t="shared" si="31"/>
        <v>1.14121442903491</v>
      </c>
    </row>
    <row r="94" spans="1:37">
      <c r="A94" s="8">
        <f>鋼床鈑!A94</f>
        <v>92</v>
      </c>
      <c r="B94" s="47" t="s">
        <v>41</v>
      </c>
      <c r="C94" s="47" t="s">
        <v>42</v>
      </c>
      <c r="D94" s="47" t="s">
        <v>192</v>
      </c>
      <c r="E94" s="48">
        <v>418480</v>
      </c>
      <c r="F94" s="49">
        <v>121646.23020000001</v>
      </c>
      <c r="G94" s="49">
        <v>136394.22010000001</v>
      </c>
      <c r="H94" s="49">
        <v>729215379955.453</v>
      </c>
      <c r="I94" s="49">
        <v>1135482348272.01</v>
      </c>
      <c r="J94" s="49">
        <v>957161314592.51404</v>
      </c>
      <c r="K94" s="49">
        <v>3249.6387</v>
      </c>
      <c r="L94" s="49">
        <v>3200.3613</v>
      </c>
      <c r="M94" s="49">
        <v>1599.6804</v>
      </c>
      <c r="N94" s="49">
        <v>2443.3195999999998</v>
      </c>
      <c r="O94" s="48">
        <v>0</v>
      </c>
      <c r="P94" s="48">
        <v>0</v>
      </c>
      <c r="Q94" s="48">
        <v>26972</v>
      </c>
      <c r="R94" s="48">
        <v>20848</v>
      </c>
      <c r="S94" s="11">
        <f>(鋼床鈑!F94+鋼床鈑!N94+鋼床鈑!O94)*鋼床鈑!L94+(鋼床鈑!I94+鋼床鈑!N94+鋼床鈑!O94)*鋼床鈑!M94</f>
        <v>102240</v>
      </c>
      <c r="T94" s="11">
        <f>(鋼床鈑!K94)*鋼床鈑!N94+(鋼床鈑!K94)*鋼床鈑!O94</f>
        <v>160280</v>
      </c>
      <c r="U94" s="11">
        <f>4*((鋼床鈑!I94+鋼床鈑!N94/2+鋼床鈑!O94/2)*(鋼床鈑!K94+鋼床鈑!L94/2+鋼床鈑!M94/2))^2/((鋼床鈑!F94+鋼床鈑!N94/2+鋼床鈑!O94/2)/鋼床鈑!L94+(鋼床鈑!I94+鋼床鈑!N94/2+鋼床鈑!O94/2)/鋼床鈑!M94+(鋼床鈑!K94+鋼床鈑!L94/2+鋼床鈑!M94/2)/鋼床鈑!N94+(鋼床鈑!K94+鋼床鈑!L94/2+鋼床鈑!M94/2)/鋼床鈑!O94)</f>
        <v>715992220910.03821</v>
      </c>
      <c r="V94" s="12">
        <f t="shared" si="18"/>
        <v>0.29907914290568194</v>
      </c>
      <c r="W94" s="12">
        <f t="shared" si="19"/>
        <v>0.29454391794155887</v>
      </c>
      <c r="X94" s="12">
        <f t="shared" si="20"/>
        <v>0.709818253866216</v>
      </c>
      <c r="Y94" s="12">
        <f t="shared" si="21"/>
        <v>0.46472935766242374</v>
      </c>
      <c r="Z94" s="12">
        <f t="shared" si="16"/>
        <v>1.5123601146879766</v>
      </c>
      <c r="AA94" s="12">
        <f t="shared" si="17"/>
        <v>1.6472246781765474</v>
      </c>
      <c r="AB94" s="10">
        <f t="shared" si="22"/>
        <v>4.0430000000000001</v>
      </c>
      <c r="AC94" s="10">
        <f t="shared" si="23"/>
        <v>6.45</v>
      </c>
      <c r="AD94" s="10">
        <f t="shared" si="24"/>
        <v>0.41848000000000002</v>
      </c>
      <c r="AE94" s="12">
        <f t="shared" si="25"/>
        <v>0.71599222091003822</v>
      </c>
      <c r="AF94" s="12">
        <f t="shared" si="26"/>
        <v>0.16028000000000001</v>
      </c>
      <c r="AG94" s="12">
        <f t="shared" si="27"/>
        <v>0.10224</v>
      </c>
      <c r="AH94" s="10">
        <f t="shared" si="28"/>
        <v>0.95716131459251408</v>
      </c>
      <c r="AI94" s="10">
        <f t="shared" si="29"/>
        <v>1.13548234827201</v>
      </c>
      <c r="AJ94" s="13">
        <f t="shared" si="30"/>
        <v>0.95716131459251408</v>
      </c>
      <c r="AK94" s="13">
        <f t="shared" si="31"/>
        <v>1.13548234827201</v>
      </c>
    </row>
    <row r="95" spans="1:37">
      <c r="A95" s="8">
        <f>鋼床鈑!A95</f>
        <v>93</v>
      </c>
      <c r="B95" s="47" t="s">
        <v>41</v>
      </c>
      <c r="C95" s="47" t="s">
        <v>42</v>
      </c>
      <c r="D95" s="47" t="s">
        <v>193</v>
      </c>
      <c r="E95" s="48">
        <v>418280</v>
      </c>
      <c r="F95" s="49">
        <v>121670.73330000001</v>
      </c>
      <c r="G95" s="49">
        <v>136195.32860000001</v>
      </c>
      <c r="H95" s="49">
        <v>727922338441.48999</v>
      </c>
      <c r="I95" s="49">
        <v>1132305047408.99</v>
      </c>
      <c r="J95" s="49">
        <v>956763180431.04602</v>
      </c>
      <c r="K95" s="49">
        <v>3249.6145999999999</v>
      </c>
      <c r="L95" s="49">
        <v>3200.3854000000001</v>
      </c>
      <c r="M95" s="49">
        <v>1597.5211999999999</v>
      </c>
      <c r="N95" s="49">
        <v>2440.4787999999999</v>
      </c>
      <c r="O95" s="48">
        <v>0</v>
      </c>
      <c r="P95" s="48">
        <v>0</v>
      </c>
      <c r="Q95" s="48">
        <v>26962</v>
      </c>
      <c r="R95" s="48">
        <v>20838</v>
      </c>
      <c r="S95" s="11">
        <f>(鋼床鈑!F95+鋼床鈑!N95+鋼床鈑!O95)*鋼床鈑!L95+(鋼床鈑!I95+鋼床鈑!N95+鋼床鈑!O95)*鋼床鈑!M95</f>
        <v>102240</v>
      </c>
      <c r="T95" s="11">
        <f>(鋼床鈑!K95)*鋼床鈑!N95+(鋼床鈑!K95)*鋼床鈑!O95</f>
        <v>160080</v>
      </c>
      <c r="U95" s="11">
        <f>4*((鋼床鈑!I95+鋼床鈑!N95/2+鋼床鈑!O95/2)*(鋼床鈑!K95+鋼床鈑!L95/2+鋼床鈑!M95/2))^2/((鋼床鈑!F95+鋼床鈑!N95/2+鋼床鈑!O95/2)/鋼床鈑!L95+(鋼床鈑!I95+鋼床鈑!N95/2+鋼床鈑!O95/2)/鋼床鈑!M95+(鋼床鈑!K95+鋼床鈑!L95/2+鋼床鈑!M95/2)/鋼床鈑!N95+(鋼床鈑!K95+鋼床鈑!L95/2+鋼床鈑!M95/2)/鋼床鈑!O95)</f>
        <v>714710962586.0271</v>
      </c>
      <c r="V95" s="12">
        <f t="shared" si="18"/>
        <v>0.29895248879433273</v>
      </c>
      <c r="W95" s="12">
        <f t="shared" si="19"/>
        <v>0.29442358500944887</v>
      </c>
      <c r="X95" s="12">
        <f t="shared" si="20"/>
        <v>0.70878874559473137</v>
      </c>
      <c r="Y95" s="12">
        <f t="shared" si="21"/>
        <v>0.46396840136820289</v>
      </c>
      <c r="Z95" s="12">
        <f t="shared" si="16"/>
        <v>1.5124069946130618</v>
      </c>
      <c r="AA95" s="12">
        <f t="shared" si="17"/>
        <v>1.6453116466421602</v>
      </c>
      <c r="AB95" s="10">
        <f t="shared" si="22"/>
        <v>4.0380000000000003</v>
      </c>
      <c r="AC95" s="10">
        <f t="shared" si="23"/>
        <v>6.45</v>
      </c>
      <c r="AD95" s="10">
        <f t="shared" si="24"/>
        <v>0.41827999999999999</v>
      </c>
      <c r="AE95" s="12">
        <f t="shared" si="25"/>
        <v>0.71471096258602707</v>
      </c>
      <c r="AF95" s="12">
        <f t="shared" si="26"/>
        <v>0.16008</v>
      </c>
      <c r="AG95" s="12">
        <f t="shared" si="27"/>
        <v>0.10224</v>
      </c>
      <c r="AH95" s="10">
        <f t="shared" si="28"/>
        <v>0.95676318043104602</v>
      </c>
      <c r="AI95" s="10">
        <f t="shared" si="29"/>
        <v>1.13230504740899</v>
      </c>
      <c r="AJ95" s="13">
        <f t="shared" si="30"/>
        <v>0.95676318043104602</v>
      </c>
      <c r="AK95" s="13">
        <f t="shared" si="31"/>
        <v>1.13230504740899</v>
      </c>
    </row>
    <row r="96" spans="1:37">
      <c r="A96" s="8">
        <f>鋼床鈑!A96</f>
        <v>94</v>
      </c>
      <c r="B96" s="47" t="s">
        <v>41</v>
      </c>
      <c r="C96" s="47" t="s">
        <v>42</v>
      </c>
      <c r="D96" s="47" t="s">
        <v>194</v>
      </c>
      <c r="E96" s="48">
        <v>418200</v>
      </c>
      <c r="F96" s="49">
        <v>121680.8575</v>
      </c>
      <c r="G96" s="49">
        <v>136115.51930000001</v>
      </c>
      <c r="H96" s="49">
        <v>727404217233.58801</v>
      </c>
      <c r="I96" s="49">
        <v>1131035563965.47</v>
      </c>
      <c r="J96" s="49">
        <v>956603926630.54297</v>
      </c>
      <c r="K96" s="49">
        <v>3249.605</v>
      </c>
      <c r="L96" s="49">
        <v>3200.395</v>
      </c>
      <c r="M96" s="49">
        <v>1596.6576</v>
      </c>
      <c r="N96" s="49">
        <v>2439.3424</v>
      </c>
      <c r="O96" s="48">
        <v>0</v>
      </c>
      <c r="P96" s="48">
        <v>0</v>
      </c>
      <c r="Q96" s="48">
        <v>26958</v>
      </c>
      <c r="R96" s="48">
        <v>20834</v>
      </c>
      <c r="S96" s="11">
        <f>(鋼床鈑!F96+鋼床鈑!N96+鋼床鈑!O96)*鋼床鈑!L96+(鋼床鈑!I96+鋼床鈑!N96+鋼床鈑!O96)*鋼床鈑!M96</f>
        <v>102240</v>
      </c>
      <c r="T96" s="11">
        <f>(鋼床鈑!K96)*鋼床鈑!N96+(鋼床鈑!K96)*鋼床鈑!O96</f>
        <v>160000</v>
      </c>
      <c r="U96" s="11">
        <f>4*((鋼床鈑!I96+鋼床鈑!N96/2+鋼床鈑!O96/2)*(鋼床鈑!K96+鋼床鈑!L96/2+鋼床鈑!M96/2))^2/((鋼床鈑!F96+鋼床鈑!N96/2+鋼床鈑!O96/2)/鋼床鈑!L96+(鋼床鈑!I96+鋼床鈑!N96/2+鋼床鈑!O96/2)/鋼床鈑!M96+(鋼床鈑!K96+鋼床鈑!L96/2+鋼床鈑!M96/2)/鋼床鈑!N96+(鋼床鈑!K96+鋼床鈑!L96/2+鋼床鈑!M96/2)/鋼床鈑!O96)</f>
        <v>714198579668.17334</v>
      </c>
      <c r="V96" s="12">
        <f t="shared" si="18"/>
        <v>0.29890183137723403</v>
      </c>
      <c r="W96" s="12">
        <f t="shared" si="19"/>
        <v>0.29437544767149948</v>
      </c>
      <c r="X96" s="12">
        <f t="shared" si="20"/>
        <v>0.70837702708800554</v>
      </c>
      <c r="Y96" s="12">
        <f t="shared" si="21"/>
        <v>0.46366412684232844</v>
      </c>
      <c r="Z96" s="12">
        <f t="shared" si="16"/>
        <v>1.5124257586235506</v>
      </c>
      <c r="AA96" s="12">
        <f t="shared" si="17"/>
        <v>1.6445463426974198</v>
      </c>
      <c r="AB96" s="10">
        <f t="shared" si="22"/>
        <v>4.0359999999999996</v>
      </c>
      <c r="AC96" s="10">
        <f t="shared" si="23"/>
        <v>6.45</v>
      </c>
      <c r="AD96" s="10">
        <f t="shared" si="24"/>
        <v>0.41820000000000002</v>
      </c>
      <c r="AE96" s="12">
        <f t="shared" si="25"/>
        <v>0.71419857966817335</v>
      </c>
      <c r="AF96" s="12">
        <f t="shared" si="26"/>
        <v>0.16</v>
      </c>
      <c r="AG96" s="12">
        <f t="shared" si="27"/>
        <v>0.10224</v>
      </c>
      <c r="AH96" s="10">
        <f t="shared" si="28"/>
        <v>0.95660392663054294</v>
      </c>
      <c r="AI96" s="10">
        <f t="shared" si="29"/>
        <v>1.1310355639654699</v>
      </c>
      <c r="AJ96" s="13">
        <f t="shared" si="30"/>
        <v>0.95660392663054294</v>
      </c>
      <c r="AK96" s="13">
        <f t="shared" si="31"/>
        <v>1.1310355639654699</v>
      </c>
    </row>
    <row r="97" spans="1:37">
      <c r="A97" s="8">
        <f>鋼床鈑!A97</f>
        <v>95</v>
      </c>
      <c r="B97" s="47" t="s">
        <v>41</v>
      </c>
      <c r="C97" s="47" t="s">
        <v>42</v>
      </c>
      <c r="D97" s="47" t="s">
        <v>195</v>
      </c>
      <c r="E97" s="48">
        <v>418280</v>
      </c>
      <c r="F97" s="49">
        <v>121670.73330000001</v>
      </c>
      <c r="G97" s="49">
        <v>136195.32860000001</v>
      </c>
      <c r="H97" s="49">
        <v>727922338441.48999</v>
      </c>
      <c r="I97" s="49">
        <v>1132305047408.99</v>
      </c>
      <c r="J97" s="49">
        <v>956763180431.04602</v>
      </c>
      <c r="K97" s="49">
        <v>3249.6145999999999</v>
      </c>
      <c r="L97" s="49">
        <v>3200.3854000000001</v>
      </c>
      <c r="M97" s="49">
        <v>1597.5211999999999</v>
      </c>
      <c r="N97" s="49">
        <v>2440.4787999999999</v>
      </c>
      <c r="O97" s="48">
        <v>0</v>
      </c>
      <c r="P97" s="48">
        <v>0</v>
      </c>
      <c r="Q97" s="48">
        <v>26962</v>
      </c>
      <c r="R97" s="48">
        <v>20838</v>
      </c>
      <c r="S97" s="11">
        <f>(鋼床鈑!F97+鋼床鈑!N97+鋼床鈑!O97)*鋼床鈑!L97+(鋼床鈑!I97+鋼床鈑!N97+鋼床鈑!O97)*鋼床鈑!M97</f>
        <v>102240</v>
      </c>
      <c r="T97" s="11">
        <f>(鋼床鈑!K97)*鋼床鈑!N97+(鋼床鈑!K97)*鋼床鈑!O97</f>
        <v>160080</v>
      </c>
      <c r="U97" s="11">
        <f>4*((鋼床鈑!I97+鋼床鈑!N97/2+鋼床鈑!O97/2)*(鋼床鈑!K97+鋼床鈑!L97/2+鋼床鈑!M97/2))^2/((鋼床鈑!F97+鋼床鈑!N97/2+鋼床鈑!O97/2)/鋼床鈑!L97+(鋼床鈑!I97+鋼床鈑!N97/2+鋼床鈑!O97/2)/鋼床鈑!M97+(鋼床鈑!K97+鋼床鈑!L97/2+鋼床鈑!M97/2)/鋼床鈑!N97+(鋼床鈑!K97+鋼床鈑!L97/2+鋼床鈑!M97/2)/鋼床鈑!O97)</f>
        <v>714710962586.0271</v>
      </c>
      <c r="V97" s="12">
        <f t="shared" si="18"/>
        <v>0.29895248879433273</v>
      </c>
      <c r="W97" s="12">
        <f t="shared" si="19"/>
        <v>0.29442358500944887</v>
      </c>
      <c r="X97" s="12">
        <f t="shared" si="20"/>
        <v>0.70878874559473137</v>
      </c>
      <c r="Y97" s="12">
        <f t="shared" si="21"/>
        <v>0.46396840136820289</v>
      </c>
      <c r="Z97" s="12">
        <f t="shared" si="16"/>
        <v>1.5124069946130618</v>
      </c>
      <c r="AA97" s="12">
        <f t="shared" si="17"/>
        <v>1.6453116466421602</v>
      </c>
      <c r="AB97" s="10">
        <f t="shared" si="22"/>
        <v>4.0380000000000003</v>
      </c>
      <c r="AC97" s="10">
        <f t="shared" si="23"/>
        <v>6.45</v>
      </c>
      <c r="AD97" s="10">
        <f t="shared" si="24"/>
        <v>0.41827999999999999</v>
      </c>
      <c r="AE97" s="12">
        <f t="shared" si="25"/>
        <v>0.71471096258602707</v>
      </c>
      <c r="AF97" s="12">
        <f t="shared" si="26"/>
        <v>0.16008</v>
      </c>
      <c r="AG97" s="12">
        <f t="shared" si="27"/>
        <v>0.10224</v>
      </c>
      <c r="AH97" s="10">
        <f t="shared" si="28"/>
        <v>0.95676318043104602</v>
      </c>
      <c r="AI97" s="10">
        <f t="shared" si="29"/>
        <v>1.13230504740899</v>
      </c>
      <c r="AJ97" s="13">
        <f t="shared" si="30"/>
        <v>0.95676318043104602</v>
      </c>
      <c r="AK97" s="13">
        <f t="shared" si="31"/>
        <v>1.13230504740899</v>
      </c>
    </row>
    <row r="98" spans="1:37">
      <c r="A98" s="8">
        <f>鋼床鈑!A98</f>
        <v>96</v>
      </c>
      <c r="B98" s="47" t="s">
        <v>41</v>
      </c>
      <c r="C98" s="47" t="s">
        <v>42</v>
      </c>
      <c r="D98" s="47" t="s">
        <v>196</v>
      </c>
      <c r="E98" s="48">
        <v>418480</v>
      </c>
      <c r="F98" s="49">
        <v>121646.23020000001</v>
      </c>
      <c r="G98" s="49">
        <v>136394.22010000001</v>
      </c>
      <c r="H98" s="49">
        <v>729215379955.453</v>
      </c>
      <c r="I98" s="49">
        <v>1135482348272.01</v>
      </c>
      <c r="J98" s="49">
        <v>957161314592.51404</v>
      </c>
      <c r="K98" s="49">
        <v>3249.6387</v>
      </c>
      <c r="L98" s="49">
        <v>3200.3613</v>
      </c>
      <c r="M98" s="49">
        <v>1599.6804</v>
      </c>
      <c r="N98" s="49">
        <v>2443.3195999999998</v>
      </c>
      <c r="O98" s="48">
        <v>0</v>
      </c>
      <c r="P98" s="48">
        <v>0</v>
      </c>
      <c r="Q98" s="48">
        <v>26972</v>
      </c>
      <c r="R98" s="48">
        <v>20848</v>
      </c>
      <c r="S98" s="11">
        <f>(鋼床鈑!F98+鋼床鈑!N98+鋼床鈑!O98)*鋼床鈑!L98+(鋼床鈑!I98+鋼床鈑!N98+鋼床鈑!O98)*鋼床鈑!M98</f>
        <v>102240</v>
      </c>
      <c r="T98" s="11">
        <f>(鋼床鈑!K98)*鋼床鈑!N98+(鋼床鈑!K98)*鋼床鈑!O98</f>
        <v>160280</v>
      </c>
      <c r="U98" s="11">
        <f>4*((鋼床鈑!I98+鋼床鈑!N98/2+鋼床鈑!O98/2)*(鋼床鈑!K98+鋼床鈑!L98/2+鋼床鈑!M98/2))^2/((鋼床鈑!F98+鋼床鈑!N98/2+鋼床鈑!O98/2)/鋼床鈑!L98+(鋼床鈑!I98+鋼床鈑!N98/2+鋼床鈑!O98/2)/鋼床鈑!M98+(鋼床鈑!K98+鋼床鈑!L98/2+鋼床鈑!M98/2)/鋼床鈑!N98+(鋼床鈑!K98+鋼床鈑!L98/2+鋼床鈑!M98/2)/鋼床鈑!O98)</f>
        <v>715992220910.03821</v>
      </c>
      <c r="V98" s="12">
        <f t="shared" si="18"/>
        <v>0.29907914290568194</v>
      </c>
      <c r="W98" s="12">
        <f t="shared" si="19"/>
        <v>0.29454391794155887</v>
      </c>
      <c r="X98" s="12">
        <f t="shared" si="20"/>
        <v>0.709818253866216</v>
      </c>
      <c r="Y98" s="12">
        <f t="shared" si="21"/>
        <v>0.46472935766242374</v>
      </c>
      <c r="Z98" s="12">
        <f t="shared" si="16"/>
        <v>1.5123601146879766</v>
      </c>
      <c r="AA98" s="12">
        <f t="shared" si="17"/>
        <v>1.6472246781765474</v>
      </c>
      <c r="AB98" s="10">
        <f t="shared" si="22"/>
        <v>4.0430000000000001</v>
      </c>
      <c r="AC98" s="10">
        <f t="shared" si="23"/>
        <v>6.45</v>
      </c>
      <c r="AD98" s="10">
        <f t="shared" si="24"/>
        <v>0.41848000000000002</v>
      </c>
      <c r="AE98" s="12">
        <f t="shared" si="25"/>
        <v>0.71599222091003822</v>
      </c>
      <c r="AF98" s="12">
        <f t="shared" si="26"/>
        <v>0.16028000000000001</v>
      </c>
      <c r="AG98" s="12">
        <f t="shared" si="27"/>
        <v>0.10224</v>
      </c>
      <c r="AH98" s="10">
        <f t="shared" si="28"/>
        <v>0.95716131459251408</v>
      </c>
      <c r="AI98" s="10">
        <f t="shared" si="29"/>
        <v>1.13548234827201</v>
      </c>
      <c r="AJ98" s="13">
        <f t="shared" si="30"/>
        <v>0.95716131459251408</v>
      </c>
      <c r="AK98" s="13">
        <f t="shared" si="31"/>
        <v>1.13548234827201</v>
      </c>
    </row>
    <row r="99" spans="1:37">
      <c r="A99" s="8">
        <f>鋼床鈑!A99</f>
        <v>97</v>
      </c>
      <c r="B99" s="47" t="s">
        <v>41</v>
      </c>
      <c r="C99" s="47" t="s">
        <v>42</v>
      </c>
      <c r="D99" s="47" t="s">
        <v>197</v>
      </c>
      <c r="E99" s="48">
        <v>418840</v>
      </c>
      <c r="F99" s="49">
        <v>121601.2522</v>
      </c>
      <c r="G99" s="49">
        <v>136753.8535</v>
      </c>
      <c r="H99" s="49">
        <v>731551312482.86096</v>
      </c>
      <c r="I99" s="49">
        <v>1141214429034.9099</v>
      </c>
      <c r="J99" s="49">
        <v>957877954861.797</v>
      </c>
      <c r="K99" s="49">
        <v>3249.6819999999998</v>
      </c>
      <c r="L99" s="49">
        <v>3200.3180000000002</v>
      </c>
      <c r="M99" s="49">
        <v>1603.5679</v>
      </c>
      <c r="N99" s="49">
        <v>2448.4321</v>
      </c>
      <c r="O99" s="48">
        <v>0</v>
      </c>
      <c r="P99" s="48">
        <v>0</v>
      </c>
      <c r="Q99" s="48">
        <v>26990</v>
      </c>
      <c r="R99" s="48">
        <v>20866</v>
      </c>
      <c r="S99" s="11">
        <f>(鋼床鈑!F99+鋼床鈑!N99+鋼床鈑!O99)*鋼床鈑!L99+(鋼床鈑!I99+鋼床鈑!N99+鋼床鈑!O99)*鋼床鈑!M99</f>
        <v>102240</v>
      </c>
      <c r="T99" s="11">
        <f>(鋼床鈑!K99)*鋼床鈑!N99+(鋼床鈑!K99)*鋼床鈑!O99</f>
        <v>160640</v>
      </c>
      <c r="U99" s="11">
        <f>4*((鋼床鈑!I99+鋼床鈑!N99/2+鋼床鈑!O99/2)*(鋼床鈑!K99+鋼床鈑!L99/2+鋼床鈑!M99/2))^2/((鋼床鈑!F99+鋼床鈑!N99/2+鋼床鈑!O99/2)/鋼床鈑!L99+(鋼床鈑!I99+鋼床鈑!N99/2+鋼床鈑!O99/2)/鋼床鈑!M99+(鋼床鈑!K99+鋼床鈑!L99/2+鋼床鈑!M99/2)/鋼床鈑!N99+(鋼床鈑!K99+鋼床鈑!L99/2+鋼床鈑!M99/2)/鋼床鈑!O99)</f>
        <v>718299567192.95068</v>
      </c>
      <c r="V99" s="12">
        <f t="shared" si="18"/>
        <v>0.29930711724953485</v>
      </c>
      <c r="W99" s="12">
        <f t="shared" si="19"/>
        <v>0.29476051960216321</v>
      </c>
      <c r="X99" s="12">
        <f t="shared" si="20"/>
        <v>0.71167203399052203</v>
      </c>
      <c r="Y99" s="12">
        <f t="shared" si="21"/>
        <v>0.46610009280425219</v>
      </c>
      <c r="Z99" s="12">
        <f t="shared" si="16"/>
        <v>1.5122758390279532</v>
      </c>
      <c r="AA99" s="12">
        <f t="shared" si="17"/>
        <v>1.6506673138525454</v>
      </c>
      <c r="AB99" s="10">
        <f t="shared" si="22"/>
        <v>4.0519999999999996</v>
      </c>
      <c r="AC99" s="10">
        <f t="shared" si="23"/>
        <v>6.45</v>
      </c>
      <c r="AD99" s="10">
        <f t="shared" si="24"/>
        <v>0.41883999999999999</v>
      </c>
      <c r="AE99" s="12">
        <f t="shared" si="25"/>
        <v>0.71829956719295074</v>
      </c>
      <c r="AF99" s="12">
        <f t="shared" si="26"/>
        <v>0.16064000000000001</v>
      </c>
      <c r="AG99" s="12">
        <f t="shared" si="27"/>
        <v>0.10224</v>
      </c>
      <c r="AH99" s="10">
        <f t="shared" si="28"/>
        <v>0.95787795486179694</v>
      </c>
      <c r="AI99" s="10">
        <f t="shared" si="29"/>
        <v>1.14121442903491</v>
      </c>
      <c r="AJ99" s="13">
        <f t="shared" si="30"/>
        <v>0.95787795486179694</v>
      </c>
      <c r="AK99" s="13">
        <f t="shared" si="31"/>
        <v>1.14121442903491</v>
      </c>
    </row>
    <row r="100" spans="1:37">
      <c r="A100" s="8">
        <f>鋼床鈑!A100</f>
        <v>98</v>
      </c>
      <c r="B100" s="47" t="s">
        <v>41</v>
      </c>
      <c r="C100" s="47" t="s">
        <v>42</v>
      </c>
      <c r="D100" s="47" t="s">
        <v>198</v>
      </c>
      <c r="E100" s="48">
        <v>419360</v>
      </c>
      <c r="F100" s="49">
        <v>121537.3821</v>
      </c>
      <c r="G100" s="49">
        <v>137272.83559999999</v>
      </c>
      <c r="H100" s="49">
        <v>734927297506.32397</v>
      </c>
      <c r="I100" s="49">
        <v>1149523498369.46</v>
      </c>
      <c r="J100" s="49">
        <v>958913099152.27405</v>
      </c>
      <c r="K100" s="49">
        <v>3249.7444</v>
      </c>
      <c r="L100" s="49">
        <v>3200.2556</v>
      </c>
      <c r="M100" s="49">
        <v>1609.1849</v>
      </c>
      <c r="N100" s="49">
        <v>2455.8150999999998</v>
      </c>
      <c r="O100" s="48">
        <v>0</v>
      </c>
      <c r="P100" s="48">
        <v>0</v>
      </c>
      <c r="Q100" s="48">
        <v>27016</v>
      </c>
      <c r="R100" s="48">
        <v>20892</v>
      </c>
      <c r="S100" s="11">
        <f>(鋼床鈑!F100+鋼床鈑!N100+鋼床鈑!O100)*鋼床鈑!L100+(鋼床鈑!I100+鋼床鈑!N100+鋼床鈑!O100)*鋼床鈑!M100</f>
        <v>102240</v>
      </c>
      <c r="T100" s="11">
        <f>(鋼床鈑!K100)*鋼床鈑!N100+(鋼床鈑!K100)*鋼床鈑!O100</f>
        <v>161160</v>
      </c>
      <c r="U100" s="11">
        <f>4*((鋼床鈑!I100+鋼床鈑!N100/2+鋼床鈑!O100/2)*(鋼床鈑!K100+鋼床鈑!L100/2+鋼床鈑!M100/2))^2/((鋼床鈑!F100+鋼床鈑!N100/2+鋼床鈑!O100/2)/鋼床鈑!L100+(鋼床鈑!I100+鋼床鈑!N100/2+鋼床鈑!O100/2)/鋼床鈑!M100+(鋼床鈑!K100+鋼床鈑!L100/2+鋼床鈑!M100/2)/鋼床鈑!N100+(鋼床鈑!K100+鋼床鈑!L100/2+鋼床鈑!M100/2)/鋼床鈑!O100)</f>
        <v>721634845912.3208</v>
      </c>
      <c r="V100" s="12">
        <f t="shared" si="18"/>
        <v>0.29963641002683478</v>
      </c>
      <c r="W100" s="12">
        <f t="shared" si="19"/>
        <v>0.29507339074183003</v>
      </c>
      <c r="X100" s="12">
        <f t="shared" si="20"/>
        <v>0.71435140757874371</v>
      </c>
      <c r="Y100" s="12">
        <f t="shared" si="21"/>
        <v>0.46808226660446062</v>
      </c>
      <c r="Z100" s="12">
        <f t="shared" si="16"/>
        <v>1.5121543525201886</v>
      </c>
      <c r="AA100" s="12">
        <f t="shared" si="17"/>
        <v>1.6556381495089885</v>
      </c>
      <c r="AB100" s="10">
        <f t="shared" si="22"/>
        <v>4.0650000000000004</v>
      </c>
      <c r="AC100" s="10">
        <f t="shared" si="23"/>
        <v>6.45</v>
      </c>
      <c r="AD100" s="10">
        <f t="shared" si="24"/>
        <v>0.41936000000000001</v>
      </c>
      <c r="AE100" s="12">
        <f t="shared" si="25"/>
        <v>0.72163484591232085</v>
      </c>
      <c r="AF100" s="12">
        <f t="shared" si="26"/>
        <v>0.16116</v>
      </c>
      <c r="AG100" s="12">
        <f t="shared" si="27"/>
        <v>0.10224</v>
      </c>
      <c r="AH100" s="10">
        <f t="shared" si="28"/>
        <v>0.95891309915227407</v>
      </c>
      <c r="AI100" s="10">
        <f t="shared" si="29"/>
        <v>1.14952349836946</v>
      </c>
      <c r="AJ100" s="13">
        <f t="shared" si="30"/>
        <v>0.95891309915227407</v>
      </c>
      <c r="AK100" s="13">
        <f t="shared" si="31"/>
        <v>1.14952349836946</v>
      </c>
    </row>
    <row r="101" spans="1:37">
      <c r="A101" s="8">
        <f>鋼床鈑!A101</f>
        <v>99</v>
      </c>
      <c r="B101" s="47" t="s">
        <v>41</v>
      </c>
      <c r="C101" s="47" t="s">
        <v>42</v>
      </c>
      <c r="D101" s="47" t="s">
        <v>199</v>
      </c>
      <c r="E101" s="48">
        <v>420040</v>
      </c>
      <c r="F101" s="49">
        <v>121452.56819999999</v>
      </c>
      <c r="G101" s="49">
        <v>137951.10449999999</v>
      </c>
      <c r="H101" s="49">
        <v>739342045362.58606</v>
      </c>
      <c r="I101" s="49">
        <v>1160441695830.02</v>
      </c>
      <c r="J101" s="49">
        <v>960266744465.72205</v>
      </c>
      <c r="K101" s="49">
        <v>3249.8256999999999</v>
      </c>
      <c r="L101" s="49">
        <v>3200.1743000000001</v>
      </c>
      <c r="M101" s="49">
        <v>1616.5336</v>
      </c>
      <c r="N101" s="49">
        <v>2465.4663999999998</v>
      </c>
      <c r="O101" s="48">
        <v>0</v>
      </c>
      <c r="P101" s="48">
        <v>0</v>
      </c>
      <c r="Q101" s="48">
        <v>27050</v>
      </c>
      <c r="R101" s="48">
        <v>20926</v>
      </c>
      <c r="S101" s="11">
        <f>(鋼床鈑!F101+鋼床鈑!N101+鋼床鈑!O101)*鋼床鈑!L101+(鋼床鈑!I101+鋼床鈑!N101+鋼床鈑!O101)*鋼床鈑!M101</f>
        <v>102240</v>
      </c>
      <c r="T101" s="11">
        <f>(鋼床鈑!K101)*鋼床鈑!N101+(鋼床鈑!K101)*鋼床鈑!O101</f>
        <v>161840</v>
      </c>
      <c r="U101" s="11">
        <f>4*((鋼床鈑!I101+鋼床鈑!N101/2+鋼床鈑!O101/2)*(鋼床鈑!K101+鋼床鈑!L101/2+鋼床鈑!M101/2))^2/((鋼床鈑!F101+鋼床鈑!N101/2+鋼床鈑!O101/2)/鋼床鈑!L101+(鋼床鈑!I101+鋼床鈑!N101/2+鋼床鈑!O101/2)/鋼床鈑!M101+(鋼床鈑!K101+鋼床鈑!L101/2+鋼床鈑!M101/2)/鋼床鈑!N101+(鋼床鈑!K101+鋼床鈑!L101/2+鋼床鈑!M101/2)/鋼床鈑!O101)</f>
        <v>726000701059.35181</v>
      </c>
      <c r="V101" s="12">
        <f t="shared" si="18"/>
        <v>0.30006701337040359</v>
      </c>
      <c r="W101" s="12">
        <f t="shared" si="19"/>
        <v>0.29548253756062121</v>
      </c>
      <c r="X101" s="12">
        <f t="shared" si="20"/>
        <v>0.7178580734913399</v>
      </c>
      <c r="Y101" s="12">
        <f t="shared" si="21"/>
        <v>0.47067836569584565</v>
      </c>
      <c r="Z101" s="12">
        <f t="shared" si="16"/>
        <v>1.5119959208806872</v>
      </c>
      <c r="AA101" s="12">
        <f t="shared" si="17"/>
        <v>1.662135164478151</v>
      </c>
      <c r="AB101" s="10">
        <f t="shared" si="22"/>
        <v>4.0819999999999999</v>
      </c>
      <c r="AC101" s="10">
        <f t="shared" si="23"/>
        <v>6.45</v>
      </c>
      <c r="AD101" s="10">
        <f t="shared" si="24"/>
        <v>0.42004000000000002</v>
      </c>
      <c r="AE101" s="12">
        <f t="shared" si="25"/>
        <v>0.72600070105935177</v>
      </c>
      <c r="AF101" s="12">
        <f t="shared" si="26"/>
        <v>0.16184000000000001</v>
      </c>
      <c r="AG101" s="12">
        <f t="shared" si="27"/>
        <v>0.10224</v>
      </c>
      <c r="AH101" s="10">
        <f t="shared" si="28"/>
        <v>0.96026674446572202</v>
      </c>
      <c r="AI101" s="10">
        <f t="shared" si="29"/>
        <v>1.1604416958300201</v>
      </c>
      <c r="AJ101" s="13">
        <f t="shared" si="30"/>
        <v>0.96026674446572202</v>
      </c>
      <c r="AK101" s="13">
        <f t="shared" si="31"/>
        <v>1.1604416958300201</v>
      </c>
    </row>
    <row r="102" spans="1:37">
      <c r="A102" s="8">
        <f>鋼床鈑!A102</f>
        <v>100</v>
      </c>
      <c r="B102" s="47" t="s">
        <v>41</v>
      </c>
      <c r="C102" s="47" t="s">
        <v>42</v>
      </c>
      <c r="D102" s="47" t="s">
        <v>200</v>
      </c>
      <c r="E102" s="48">
        <v>420880</v>
      </c>
      <c r="F102" s="49">
        <v>121337.2001</v>
      </c>
      <c r="G102" s="49">
        <v>138788.35209999999</v>
      </c>
      <c r="H102" s="49">
        <v>744782060983.80298</v>
      </c>
      <c r="I102" s="49">
        <v>1174011157663.96</v>
      </c>
      <c r="J102" s="49">
        <v>961938886909.35303</v>
      </c>
      <c r="K102" s="49">
        <v>3249.9259000000002</v>
      </c>
      <c r="L102" s="49">
        <v>3200.0740999999998</v>
      </c>
      <c r="M102" s="49">
        <v>1625.6165000000001</v>
      </c>
      <c r="N102" s="49">
        <v>2477.3834999999999</v>
      </c>
      <c r="O102" s="48">
        <v>0</v>
      </c>
      <c r="P102" s="48">
        <v>0</v>
      </c>
      <c r="Q102" s="48">
        <v>27092</v>
      </c>
      <c r="R102" s="48">
        <v>20968</v>
      </c>
      <c r="S102" s="11">
        <f>(鋼床鈑!F102+鋼床鈑!N102+鋼床鈑!O102)*鋼床鈑!L102+(鋼床鈑!I102+鋼床鈑!N102+鋼床鈑!O102)*鋼床鈑!M102</f>
        <v>102240</v>
      </c>
      <c r="T102" s="11">
        <f>(鋼床鈑!K102)*鋼床鈑!N102+(鋼床鈑!K102)*鋼床鈑!O102</f>
        <v>162680</v>
      </c>
      <c r="U102" s="11">
        <f>4*((鋼床鈑!I102+鋼床鈑!N102/2+鋼床鈑!O102/2)*(鋼床鈑!K102+鋼床鈑!L102/2+鋼床鈑!M102/2))^2/((鋼床鈑!F102+鋼床鈑!N102/2+鋼床鈑!O102/2)/鋼床鈑!L102+(鋼床鈑!I102+鋼床鈑!N102/2+鋼床鈑!O102/2)/鋼床鈑!M102+(鋼床鈑!K102+鋼床鈑!L102/2+鋼床鈑!M102/2)/鋼床鈑!N102+(鋼床鈑!K102+鋼床鈑!L102/2+鋼床鈑!M102/2)/鋼床鈑!O102)</f>
        <v>731400554405.78711</v>
      </c>
      <c r="V102" s="12">
        <f t="shared" si="18"/>
        <v>0.30059894141493571</v>
      </c>
      <c r="W102" s="12">
        <f t="shared" si="19"/>
        <v>0.29598794449724314</v>
      </c>
      <c r="X102" s="12">
        <f t="shared" si="20"/>
        <v>0.72219441526581452</v>
      </c>
      <c r="Y102" s="12">
        <f t="shared" si="21"/>
        <v>0.47389157054770087</v>
      </c>
      <c r="Z102" s="12">
        <f t="shared" si="16"/>
        <v>1.5118008892048054</v>
      </c>
      <c r="AA102" s="12">
        <f t="shared" si="17"/>
        <v>1.6701557297803729</v>
      </c>
      <c r="AB102" s="10">
        <f t="shared" si="22"/>
        <v>4.1029999999999998</v>
      </c>
      <c r="AC102" s="10">
        <f t="shared" si="23"/>
        <v>6.45</v>
      </c>
      <c r="AD102" s="10">
        <f t="shared" si="24"/>
        <v>0.42087999999999998</v>
      </c>
      <c r="AE102" s="12">
        <f t="shared" si="25"/>
        <v>0.73140055440578711</v>
      </c>
      <c r="AF102" s="12">
        <f t="shared" si="26"/>
        <v>0.16267999999999999</v>
      </c>
      <c r="AG102" s="12">
        <f t="shared" si="27"/>
        <v>0.10224</v>
      </c>
      <c r="AH102" s="10">
        <f t="shared" si="28"/>
        <v>0.96193888690935303</v>
      </c>
      <c r="AI102" s="10">
        <f t="shared" si="29"/>
        <v>1.17401115766396</v>
      </c>
      <c r="AJ102" s="13">
        <f t="shared" si="30"/>
        <v>0.96193888690935303</v>
      </c>
      <c r="AK102" s="13">
        <f t="shared" si="31"/>
        <v>1.17401115766396</v>
      </c>
    </row>
    <row r="103" spans="1:37">
      <c r="A103" s="8">
        <f>鋼床鈑!A103</f>
        <v>101</v>
      </c>
      <c r="B103" s="47" t="s">
        <v>41</v>
      </c>
      <c r="C103" s="47" t="s">
        <v>42</v>
      </c>
      <c r="D103" s="47" t="s">
        <v>201</v>
      </c>
      <c r="E103" s="48">
        <v>421840</v>
      </c>
      <c r="F103" s="49">
        <v>121217.4097</v>
      </c>
      <c r="G103" s="49">
        <v>139747.0422</v>
      </c>
      <c r="H103" s="49">
        <v>751037681780.09204</v>
      </c>
      <c r="I103" s="49">
        <v>1189630701407.1101</v>
      </c>
      <c r="J103" s="49">
        <v>963849896553.15295</v>
      </c>
      <c r="K103" s="49">
        <v>3250.0398</v>
      </c>
      <c r="L103" s="49">
        <v>3199.9602</v>
      </c>
      <c r="M103" s="49">
        <v>1636.0038</v>
      </c>
      <c r="N103" s="49">
        <v>2490.9962</v>
      </c>
      <c r="O103" s="48">
        <v>0</v>
      </c>
      <c r="P103" s="48">
        <v>0</v>
      </c>
      <c r="Q103" s="48">
        <v>27140</v>
      </c>
      <c r="R103" s="48">
        <v>21016</v>
      </c>
      <c r="S103" s="11">
        <f>(鋼床鈑!F103+鋼床鈑!N103+鋼床鈑!O103)*鋼床鈑!L103+(鋼床鈑!I103+鋼床鈑!N103+鋼床鈑!O103)*鋼床鈑!M103</f>
        <v>102240</v>
      </c>
      <c r="T103" s="11">
        <f>(鋼床鈑!K103)*鋼床鈑!N103+(鋼床鈑!K103)*鋼床鈑!O103</f>
        <v>163640</v>
      </c>
      <c r="U103" s="11">
        <f>4*((鋼床鈑!I103+鋼床鈑!N103/2+鋼床鈑!O103/2)*(鋼床鈑!K103+鋼床鈑!L103/2+鋼床鈑!M103/2))^2/((鋼床鈑!F103+鋼床鈑!N103/2+鋼床鈑!O103/2)/鋼床鈑!L103+(鋼床鈑!I103+鋼床鈑!N103/2+鋼床鈑!O103/2)/鋼床鈑!M103+(鋼床鈑!K103+鋼床鈑!L103/2+鋼床鈑!M103/2)/鋼床鈑!N103+(鋼床鈑!K103+鋼床鈑!L103/2+鋼床鈑!M103/2)/鋼床鈑!O103)</f>
        <v>737580857045.38892</v>
      </c>
      <c r="V103" s="12">
        <f t="shared" si="18"/>
        <v>0.30120683893291955</v>
      </c>
      <c r="W103" s="12">
        <f t="shared" si="19"/>
        <v>0.29656556715187088</v>
      </c>
      <c r="X103" s="12">
        <f t="shared" si="20"/>
        <v>0.72715644145026448</v>
      </c>
      <c r="Y103" s="12">
        <f t="shared" si="21"/>
        <v>0.47757226663256658</v>
      </c>
      <c r="Z103" s="12">
        <f t="shared" si="16"/>
        <v>1.5115789082695477</v>
      </c>
      <c r="AA103" s="12">
        <f t="shared" si="17"/>
        <v>1.6793151372195183</v>
      </c>
      <c r="AB103" s="10">
        <f t="shared" si="22"/>
        <v>4.1269999999999998</v>
      </c>
      <c r="AC103" s="10">
        <f t="shared" si="23"/>
        <v>6.45</v>
      </c>
      <c r="AD103" s="10">
        <f t="shared" si="24"/>
        <v>0.42183999999999999</v>
      </c>
      <c r="AE103" s="12">
        <f t="shared" si="25"/>
        <v>0.73758085704538889</v>
      </c>
      <c r="AF103" s="12">
        <f t="shared" si="26"/>
        <v>0.16364000000000001</v>
      </c>
      <c r="AG103" s="12">
        <f t="shared" si="27"/>
        <v>0.10224</v>
      </c>
      <c r="AH103" s="10">
        <f t="shared" si="28"/>
        <v>0.96384989655315301</v>
      </c>
      <c r="AI103" s="10">
        <f t="shared" si="29"/>
        <v>1.1896307014071101</v>
      </c>
      <c r="AJ103" s="13">
        <f t="shared" si="30"/>
        <v>0.96384989655315301</v>
      </c>
      <c r="AK103" s="13">
        <f t="shared" si="31"/>
        <v>1.1896307014071101</v>
      </c>
    </row>
    <row r="104" spans="1:37">
      <c r="A104" s="8">
        <f>鋼床鈑!A104</f>
        <v>102</v>
      </c>
      <c r="B104" s="47" t="s">
        <v>41</v>
      </c>
      <c r="C104" s="47" t="s">
        <v>42</v>
      </c>
      <c r="D104" s="47" t="s">
        <v>202</v>
      </c>
      <c r="E104" s="48">
        <v>423000</v>
      </c>
      <c r="F104" s="49">
        <v>121071.6912</v>
      </c>
      <c r="G104" s="49">
        <v>140904.04240000001</v>
      </c>
      <c r="H104" s="49">
        <v>758599976520.44604</v>
      </c>
      <c r="I104" s="49">
        <v>1208663521762.1699</v>
      </c>
      <c r="J104" s="49">
        <v>966159018661.84497</v>
      </c>
      <c r="K104" s="49">
        <v>3250.1768000000002</v>
      </c>
      <c r="L104" s="49">
        <v>3199.8231999999998</v>
      </c>
      <c r="M104" s="49">
        <v>1648.5650000000001</v>
      </c>
      <c r="N104" s="49">
        <v>2507.4349999999999</v>
      </c>
      <c r="O104" s="48">
        <v>0</v>
      </c>
      <c r="P104" s="48">
        <v>0</v>
      </c>
      <c r="Q104" s="48">
        <v>27198</v>
      </c>
      <c r="R104" s="48">
        <v>21074</v>
      </c>
      <c r="S104" s="11">
        <f>(鋼床鈑!F104+鋼床鈑!N104+鋼床鈑!O104)*鋼床鈑!L104+(鋼床鈑!I104+鋼床鈑!N104+鋼床鈑!O104)*鋼床鈑!M104</f>
        <v>102240</v>
      </c>
      <c r="T104" s="11">
        <f>(鋼床鈑!K104)*鋼床鈑!N104+(鋼床鈑!K104)*鋼床鈑!O104</f>
        <v>164800</v>
      </c>
      <c r="U104" s="11">
        <f>4*((鋼床鈑!I104+鋼床鈑!N104/2+鋼床鈑!O104/2)*(鋼床鈑!K104+鋼床鈑!L104/2+鋼床鈑!M104/2))^2/((鋼床鈑!F104+鋼床鈑!N104/2+鋼床鈑!O104/2)/鋼床鈑!L104+(鋼床鈑!I104+鋼床鈑!N104/2+鋼床鈑!O104/2)/鋼床鈑!M104+(鋼床鈑!K104+鋼床鈑!L104/2+鋼床鈑!M104/2)/鋼床鈑!N104+(鋼床鈑!K104+鋼床鈑!L104/2+鋼床鈑!M104/2)/鋼床鈑!O104)</f>
        <v>745061460122.28992</v>
      </c>
      <c r="V104" s="12">
        <f t="shared" si="18"/>
        <v>0.30194137559282808</v>
      </c>
      <c r="W104" s="12">
        <f t="shared" si="19"/>
        <v>0.29726352691393432</v>
      </c>
      <c r="X104" s="12">
        <f t="shared" si="20"/>
        <v>0.73316097440026318</v>
      </c>
      <c r="Y104" s="12">
        <f t="shared" si="21"/>
        <v>0.48203184599487919</v>
      </c>
      <c r="Z104" s="12">
        <f t="shared" si="16"/>
        <v>1.5113119710718468</v>
      </c>
      <c r="AA104" s="12">
        <f t="shared" si="17"/>
        <v>1.69037290901794</v>
      </c>
      <c r="AB104" s="10">
        <f t="shared" si="22"/>
        <v>4.1559999999999997</v>
      </c>
      <c r="AC104" s="10">
        <f t="shared" si="23"/>
        <v>6.45</v>
      </c>
      <c r="AD104" s="10">
        <f t="shared" si="24"/>
        <v>0.42299999999999999</v>
      </c>
      <c r="AE104" s="12">
        <f t="shared" si="25"/>
        <v>0.74506146012228991</v>
      </c>
      <c r="AF104" s="12">
        <f t="shared" si="26"/>
        <v>0.1648</v>
      </c>
      <c r="AG104" s="12">
        <f t="shared" si="27"/>
        <v>0.10224</v>
      </c>
      <c r="AH104" s="10">
        <f t="shared" si="28"/>
        <v>0.96615901866184495</v>
      </c>
      <c r="AI104" s="10">
        <f t="shared" si="29"/>
        <v>1.20866352176217</v>
      </c>
      <c r="AJ104" s="13">
        <f t="shared" si="30"/>
        <v>0.96615901866184495</v>
      </c>
      <c r="AK104" s="13">
        <f t="shared" si="31"/>
        <v>1.20866352176217</v>
      </c>
    </row>
    <row r="105" spans="1:37">
      <c r="A105" s="8">
        <f>鋼床鈑!A105</f>
        <v>103</v>
      </c>
      <c r="B105" s="47" t="s">
        <v>41</v>
      </c>
      <c r="C105" s="47" t="s">
        <v>42</v>
      </c>
      <c r="D105" s="47" t="s">
        <v>203</v>
      </c>
      <c r="E105" s="48">
        <v>424280</v>
      </c>
      <c r="F105" s="49">
        <v>120911.5992</v>
      </c>
      <c r="G105" s="49">
        <v>142181.55119999999</v>
      </c>
      <c r="H105" s="49">
        <v>766966731345.10303</v>
      </c>
      <c r="I105" s="49">
        <v>1229868028661.4299</v>
      </c>
      <c r="J105" s="49">
        <v>968706997148.18396</v>
      </c>
      <c r="K105" s="49">
        <v>3250.3271</v>
      </c>
      <c r="L105" s="49">
        <v>3199.6729</v>
      </c>
      <c r="M105" s="49">
        <v>1662.4378999999999</v>
      </c>
      <c r="N105" s="49">
        <v>2525.5621000000001</v>
      </c>
      <c r="O105" s="48">
        <v>0</v>
      </c>
      <c r="P105" s="48">
        <v>0</v>
      </c>
      <c r="Q105" s="48">
        <v>27262</v>
      </c>
      <c r="R105" s="48">
        <v>21138</v>
      </c>
      <c r="S105" s="11">
        <f>(鋼床鈑!F105+鋼床鈑!N105+鋼床鈑!O105)*鋼床鈑!L105+(鋼床鈑!I105+鋼床鈑!N105+鋼床鈑!O105)*鋼床鈑!M105</f>
        <v>102240</v>
      </c>
      <c r="T105" s="11">
        <f>(鋼床鈑!K105)*鋼床鈑!N105+(鋼床鈑!K105)*鋼床鈑!O105</f>
        <v>166080</v>
      </c>
      <c r="U105" s="11">
        <f>4*((鋼床鈑!I105+鋼床鈑!N105/2+鋼床鈑!O105/2)*(鋼床鈑!K105+鋼床鈑!L105/2+鋼床鈑!M105/2))^2/((鋼床鈑!F105+鋼床鈑!N105/2+鋼床鈑!O105/2)/鋼床鈑!L105+(鋼床鈑!I105+鋼床鈑!N105/2+鋼床鈑!O105/2)/鋼床鈑!M105+(鋼床鈑!K105+鋼床鈑!L105/2+鋼床鈑!M105/2)/鋼床鈑!N105+(鋼床鈑!K105+鋼床鈑!L105/2+鋼床鈑!M105/2)/鋼床鈑!O105)</f>
        <v>753331907987.74255</v>
      </c>
      <c r="V105" s="12">
        <f t="shared" si="18"/>
        <v>0.30275188352790189</v>
      </c>
      <c r="W105" s="12">
        <f t="shared" si="19"/>
        <v>0.29803369548504333</v>
      </c>
      <c r="X105" s="12">
        <f t="shared" si="20"/>
        <v>0.73979787675764008</v>
      </c>
      <c r="Y105" s="12">
        <f t="shared" si="21"/>
        <v>0.4869680411586117</v>
      </c>
      <c r="Z105" s="12">
        <f t="shared" si="16"/>
        <v>1.5110190450837748</v>
      </c>
      <c r="AA105" s="12">
        <f t="shared" si="17"/>
        <v>1.7025621561055075</v>
      </c>
      <c r="AB105" s="10">
        <f t="shared" si="22"/>
        <v>4.1879999999999997</v>
      </c>
      <c r="AC105" s="10">
        <f t="shared" si="23"/>
        <v>6.45</v>
      </c>
      <c r="AD105" s="10">
        <f t="shared" si="24"/>
        <v>0.42427999999999999</v>
      </c>
      <c r="AE105" s="12">
        <f t="shared" si="25"/>
        <v>0.75333190798774252</v>
      </c>
      <c r="AF105" s="12">
        <f t="shared" si="26"/>
        <v>0.16608000000000001</v>
      </c>
      <c r="AG105" s="12">
        <f t="shared" si="27"/>
        <v>0.10224</v>
      </c>
      <c r="AH105" s="10">
        <f t="shared" si="28"/>
        <v>0.96870699714818398</v>
      </c>
      <c r="AI105" s="10">
        <f t="shared" si="29"/>
        <v>1.2298680286614299</v>
      </c>
      <c r="AJ105" s="13">
        <f t="shared" si="30"/>
        <v>0.96870699714818398</v>
      </c>
      <c r="AK105" s="13">
        <f t="shared" si="31"/>
        <v>1.2298680286614299</v>
      </c>
    </row>
    <row r="106" spans="1:37">
      <c r="A106" s="8">
        <f>鋼床鈑!A106</f>
        <v>104</v>
      </c>
      <c r="B106" s="47" t="s">
        <v>41</v>
      </c>
      <c r="C106" s="47" t="s">
        <v>42</v>
      </c>
      <c r="D106" s="47" t="s">
        <v>204</v>
      </c>
      <c r="E106" s="48">
        <v>425720</v>
      </c>
      <c r="F106" s="49">
        <v>120730.325</v>
      </c>
      <c r="G106" s="49">
        <v>143618.731</v>
      </c>
      <c r="H106" s="49">
        <v>776397566714.18799</v>
      </c>
      <c r="I106" s="49">
        <v>1253978231042.4299</v>
      </c>
      <c r="J106" s="49">
        <v>971573450175.58704</v>
      </c>
      <c r="K106" s="49">
        <v>3250.4951999999998</v>
      </c>
      <c r="L106" s="49">
        <v>3199.5048000000002</v>
      </c>
      <c r="M106" s="49">
        <v>1678.0601999999999</v>
      </c>
      <c r="N106" s="49">
        <v>2545.9398000000001</v>
      </c>
      <c r="O106" s="48">
        <v>0</v>
      </c>
      <c r="P106" s="48">
        <v>0</v>
      </c>
      <c r="Q106" s="48">
        <v>27334</v>
      </c>
      <c r="R106" s="48">
        <v>21210</v>
      </c>
      <c r="S106" s="11">
        <f>(鋼床鈑!F106+鋼床鈑!N106+鋼床鈑!O106)*鋼床鈑!L106+(鋼床鈑!I106+鋼床鈑!N106+鋼床鈑!O106)*鋼床鈑!M106</f>
        <v>102240</v>
      </c>
      <c r="T106" s="11">
        <f>(鋼床鈑!K106)*鋼床鈑!N106+(鋼床鈑!K106)*鋼床鈑!O106</f>
        <v>167520</v>
      </c>
      <c r="U106" s="11">
        <f>4*((鋼床鈑!I106+鋼床鈑!N106/2+鋼床鈑!O106/2)*(鋼床鈑!K106+鋼床鈑!L106/2+鋼床鈑!M106/2))^2/((鋼床鈑!F106+鋼床鈑!N106/2+鋼床鈑!O106/2)/鋼床鈑!L106+(鋼床鈑!I106+鋼床鈑!N106/2+鋼床鈑!O106/2)/鋼床鈑!M106+(鋼床鈑!K106+鋼床鈑!L106/2+鋼床鈑!M106/2)/鋼床鈑!N106+(鋼床鈑!K106+鋼床鈑!L106/2+鋼床鈑!M106/2)/鋼床鈑!O106)</f>
        <v>762655950376.90601</v>
      </c>
      <c r="V106" s="12">
        <f t="shared" si="18"/>
        <v>0.30366369513669333</v>
      </c>
      <c r="W106" s="12">
        <f t="shared" si="19"/>
        <v>0.29890013379364072</v>
      </c>
      <c r="X106" s="12">
        <f t="shared" si="20"/>
        <v>0.74727845344429833</v>
      </c>
      <c r="Y106" s="12">
        <f t="shared" si="21"/>
        <v>0.49254040925964937</v>
      </c>
      <c r="Z106" s="12">
        <f t="shared" si="16"/>
        <v>1.5106915239146212</v>
      </c>
      <c r="AA106" s="12">
        <f t="shared" si="17"/>
        <v>1.7162595698829923</v>
      </c>
      <c r="AB106" s="10">
        <f t="shared" si="22"/>
        <v>4.2240000000000002</v>
      </c>
      <c r="AC106" s="10">
        <f t="shared" si="23"/>
        <v>6.45</v>
      </c>
      <c r="AD106" s="10">
        <f t="shared" si="24"/>
        <v>0.42571999999999999</v>
      </c>
      <c r="AE106" s="12">
        <f t="shared" si="25"/>
        <v>0.76265595037690603</v>
      </c>
      <c r="AF106" s="12">
        <f t="shared" si="26"/>
        <v>0.16752</v>
      </c>
      <c r="AG106" s="12">
        <f t="shared" si="27"/>
        <v>0.10224</v>
      </c>
      <c r="AH106" s="10">
        <f t="shared" si="28"/>
        <v>0.97157345017558705</v>
      </c>
      <c r="AI106" s="10">
        <f t="shared" si="29"/>
        <v>1.2539782310424299</v>
      </c>
      <c r="AJ106" s="13">
        <f t="shared" si="30"/>
        <v>0.97157345017558705</v>
      </c>
      <c r="AK106" s="13">
        <f t="shared" si="31"/>
        <v>1.2539782310424299</v>
      </c>
    </row>
    <row r="107" spans="1:37">
      <c r="A107" s="8">
        <f>鋼床鈑!A107</f>
        <v>105</v>
      </c>
      <c r="B107" s="47" t="s">
        <v>41</v>
      </c>
      <c r="C107" s="47" t="s">
        <v>42</v>
      </c>
      <c r="D107" s="47" t="s">
        <v>205</v>
      </c>
      <c r="E107" s="48">
        <v>427320</v>
      </c>
      <c r="F107" s="49">
        <v>120528.1048</v>
      </c>
      <c r="G107" s="49">
        <v>145215.48980000001</v>
      </c>
      <c r="H107" s="49">
        <v>786899287402.29504</v>
      </c>
      <c r="I107" s="49">
        <v>1281085327181.6499</v>
      </c>
      <c r="J107" s="49">
        <v>974758369993.54102</v>
      </c>
      <c r="K107" s="49">
        <v>3250.6804999999999</v>
      </c>
      <c r="L107" s="49">
        <v>3199.3195000000001</v>
      </c>
      <c r="M107" s="49">
        <v>1695.4371000000001</v>
      </c>
      <c r="N107" s="49">
        <v>2568.5628999999999</v>
      </c>
      <c r="O107" s="48">
        <v>0</v>
      </c>
      <c r="P107" s="48">
        <v>0</v>
      </c>
      <c r="Q107" s="48">
        <v>27414</v>
      </c>
      <c r="R107" s="48">
        <v>21290</v>
      </c>
      <c r="S107" s="11">
        <f>(鋼床鈑!F107+鋼床鈑!N107+鋼床鈑!O107)*鋼床鈑!L107+(鋼床鈑!I107+鋼床鈑!N107+鋼床鈑!O107)*鋼床鈑!M107</f>
        <v>102240</v>
      </c>
      <c r="T107" s="11">
        <f>(鋼床鈑!K107)*鋼床鈑!N107+(鋼床鈑!K107)*鋼床鈑!O107</f>
        <v>169120</v>
      </c>
      <c r="U107" s="11">
        <f>4*((鋼床鈑!I107+鋼床鈑!N107/2+鋼床鈑!O107/2)*(鋼床鈑!K107+鋼床鈑!L107/2+鋼床鈑!M107/2))^2/((鋼床鈑!F107+鋼床鈑!N107/2+鋼床鈑!O107/2)/鋼床鈑!L107+(鋼床鈑!I107+鋼床鈑!N107/2+鋼床鈑!O107/2)/鋼床鈑!M107+(鋼床鈑!K107+鋼床鈑!L107/2+鋼床鈑!M107/2)/鋼床鈑!N107+(鋼床鈑!K107+鋼床鈑!L107/2+鋼床鈑!M107/2)/鋼床鈑!O107)</f>
        <v>773040213727.30347</v>
      </c>
      <c r="V107" s="12">
        <f t="shared" si="18"/>
        <v>0.30467678204491333</v>
      </c>
      <c r="W107" s="12">
        <f t="shared" si="19"/>
        <v>0.29986286563491582</v>
      </c>
      <c r="X107" s="12">
        <f t="shared" si="20"/>
        <v>0.75560769973810871</v>
      </c>
      <c r="Y107" s="12">
        <f t="shared" si="21"/>
        <v>0.49875567663990233</v>
      </c>
      <c r="Z107" s="12">
        <f t="shared" si="16"/>
        <v>1.5103300963336719</v>
      </c>
      <c r="AA107" s="12">
        <f t="shared" si="17"/>
        <v>1.7314598233476846</v>
      </c>
      <c r="AB107" s="10">
        <f t="shared" si="22"/>
        <v>4.2640000000000002</v>
      </c>
      <c r="AC107" s="10">
        <f t="shared" si="23"/>
        <v>6.45</v>
      </c>
      <c r="AD107" s="10">
        <f t="shared" si="24"/>
        <v>0.42731999999999998</v>
      </c>
      <c r="AE107" s="12">
        <f t="shared" si="25"/>
        <v>0.77304021372730347</v>
      </c>
      <c r="AF107" s="12">
        <f t="shared" si="26"/>
        <v>0.16911999999999999</v>
      </c>
      <c r="AG107" s="12">
        <f t="shared" si="27"/>
        <v>0.10224</v>
      </c>
      <c r="AH107" s="10">
        <f t="shared" si="28"/>
        <v>0.97475836999354104</v>
      </c>
      <c r="AI107" s="10">
        <f t="shared" si="29"/>
        <v>1.2810853271816498</v>
      </c>
      <c r="AJ107" s="13">
        <f t="shared" si="30"/>
        <v>0.97475836999354104</v>
      </c>
      <c r="AK107" s="13">
        <f t="shared" si="31"/>
        <v>1.2810853271816498</v>
      </c>
    </row>
    <row r="108" spans="1:37">
      <c r="A108" s="8">
        <f>鋼床鈑!A108</f>
        <v>106</v>
      </c>
      <c r="B108" s="47" t="s">
        <v>41</v>
      </c>
      <c r="C108" s="47" t="s">
        <v>42</v>
      </c>
      <c r="D108" s="47" t="s">
        <v>206</v>
      </c>
      <c r="E108" s="48">
        <v>429080</v>
      </c>
      <c r="F108" s="49">
        <v>120294.1122</v>
      </c>
      <c r="G108" s="49">
        <v>146970.14749999999</v>
      </c>
      <c r="H108" s="49">
        <v>798451127546.25806</v>
      </c>
      <c r="I108" s="49">
        <v>1311291287205.0601</v>
      </c>
      <c r="J108" s="49">
        <v>978261748143.69897</v>
      </c>
      <c r="K108" s="49">
        <v>3250.8827999999999</v>
      </c>
      <c r="L108" s="49">
        <v>3199.1172000000001</v>
      </c>
      <c r="M108" s="49">
        <v>1714.5743</v>
      </c>
      <c r="N108" s="49">
        <v>2593.4256999999998</v>
      </c>
      <c r="O108" s="48">
        <v>0</v>
      </c>
      <c r="P108" s="48">
        <v>0</v>
      </c>
      <c r="Q108" s="48">
        <v>27502</v>
      </c>
      <c r="R108" s="48">
        <v>21378</v>
      </c>
      <c r="S108" s="11">
        <f>(鋼床鈑!F108+鋼床鈑!N108+鋼床鈑!O108)*鋼床鈑!L108+(鋼床鈑!I108+鋼床鈑!N108+鋼床鈑!O108)*鋼床鈑!M108</f>
        <v>102240</v>
      </c>
      <c r="T108" s="11">
        <f>(鋼床鈑!K108)*鋼床鈑!N108+(鋼床鈑!K108)*鋼床鈑!O108</f>
        <v>170880</v>
      </c>
      <c r="U108" s="11">
        <f>4*((鋼床鈑!I108+鋼床鈑!N108/2+鋼床鈑!O108/2)*(鋼床鈑!K108+鋼床鈑!L108/2+鋼床鈑!M108/2))^2/((鋼床鈑!F108+鋼床鈑!N108/2+鋼床鈑!O108/2)/鋼床鈑!L108+(鋼床鈑!I108+鋼床鈑!N108/2+鋼床鈑!O108/2)/鋼床鈑!M108+(鋼床鈑!K108+鋼床鈑!L108/2+鋼床鈑!M108/2)/鋼床鈑!N108+(鋼床鈑!K108+鋼床鈑!L108/2+鋼床鈑!M108/2)/鋼床鈑!O108)</f>
        <v>784491871839.19592</v>
      </c>
      <c r="V108" s="12">
        <f t="shared" si="18"/>
        <v>0.30579115643018606</v>
      </c>
      <c r="W108" s="12">
        <f t="shared" si="19"/>
        <v>0.30092187517301422</v>
      </c>
      <c r="X108" s="12">
        <f t="shared" si="20"/>
        <v>0.76479117131585383</v>
      </c>
      <c r="Y108" s="12">
        <f t="shared" si="21"/>
        <v>0.50562130513515791</v>
      </c>
      <c r="Z108" s="12">
        <f t="shared" si="16"/>
        <v>1.5099355145487805</v>
      </c>
      <c r="AA108" s="12">
        <f t="shared" si="17"/>
        <v>1.7481570735308771</v>
      </c>
      <c r="AB108" s="10">
        <f t="shared" si="22"/>
        <v>4.3079999999999998</v>
      </c>
      <c r="AC108" s="10">
        <f t="shared" si="23"/>
        <v>6.45</v>
      </c>
      <c r="AD108" s="10">
        <f t="shared" si="24"/>
        <v>0.42908000000000002</v>
      </c>
      <c r="AE108" s="12">
        <f t="shared" si="25"/>
        <v>0.78449187183919589</v>
      </c>
      <c r="AF108" s="12">
        <f t="shared" si="26"/>
        <v>0.17088</v>
      </c>
      <c r="AG108" s="12">
        <f t="shared" si="27"/>
        <v>0.10224</v>
      </c>
      <c r="AH108" s="10">
        <f t="shared" si="28"/>
        <v>0.97826174814369893</v>
      </c>
      <c r="AI108" s="10">
        <f t="shared" si="29"/>
        <v>1.3112912872050602</v>
      </c>
      <c r="AJ108" s="13">
        <f t="shared" si="30"/>
        <v>0.97826174814369893</v>
      </c>
      <c r="AK108" s="13">
        <f t="shared" si="31"/>
        <v>1.3112912872050602</v>
      </c>
    </row>
    <row r="109" spans="1:37">
      <c r="A109" s="8">
        <f>鋼床鈑!A109</f>
        <v>107</v>
      </c>
      <c r="B109" s="47" t="s">
        <v>41</v>
      </c>
      <c r="C109" s="47" t="s">
        <v>42</v>
      </c>
      <c r="D109" s="47" t="s">
        <v>207</v>
      </c>
      <c r="E109" s="48">
        <v>431000</v>
      </c>
      <c r="F109" s="49">
        <v>120049.72779999999</v>
      </c>
      <c r="G109" s="49">
        <v>148885.82149999999</v>
      </c>
      <c r="H109" s="49">
        <v>811115579840.25903</v>
      </c>
      <c r="I109" s="49">
        <v>1344709054007.27</v>
      </c>
      <c r="J109" s="49">
        <v>982083575504.41797</v>
      </c>
      <c r="K109" s="49">
        <v>3251.1016</v>
      </c>
      <c r="L109" s="49">
        <v>3198.8984</v>
      </c>
      <c r="M109" s="49">
        <v>1735.4780000000001</v>
      </c>
      <c r="N109" s="49">
        <v>2620.5219999999999</v>
      </c>
      <c r="O109" s="48">
        <v>0</v>
      </c>
      <c r="P109" s="48">
        <v>0</v>
      </c>
      <c r="Q109" s="48">
        <v>27598</v>
      </c>
      <c r="R109" s="48">
        <v>21474</v>
      </c>
      <c r="S109" s="11">
        <f>(鋼床鈑!F109+鋼床鈑!N109+鋼床鈑!O109)*鋼床鈑!L109+(鋼床鈑!I109+鋼床鈑!N109+鋼床鈑!O109)*鋼床鈑!M109</f>
        <v>102240</v>
      </c>
      <c r="T109" s="11">
        <f>(鋼床鈑!K109)*鋼床鈑!N109+(鋼床鈑!K109)*鋼床鈑!O109</f>
        <v>172800</v>
      </c>
      <c r="U109" s="11">
        <f>4*((鋼床鈑!I109+鋼床鈑!N109/2+鋼床鈑!O109/2)*(鋼床鈑!K109+鋼床鈑!L109/2+鋼床鈑!M109/2))^2/((鋼床鈑!F109+鋼床鈑!N109/2+鋼床鈑!O109/2)/鋼床鈑!L109+(鋼床鈑!I109+鋼床鈑!N109/2+鋼床鈑!O109/2)/鋼床鈑!M109+(鋼床鈑!K109+鋼床鈑!L109/2+鋼床鈑!M109/2)/鋼床鈑!N109+(鋼床鈑!K109+鋼床鈑!L109/2+鋼床鈑!M109/2)/鋼床鈑!O109)</f>
        <v>797018593092.87</v>
      </c>
      <c r="V109" s="12">
        <f t="shared" si="18"/>
        <v>0.30700680443755823</v>
      </c>
      <c r="W109" s="12">
        <f t="shared" si="19"/>
        <v>0.30207717147456048</v>
      </c>
      <c r="X109" s="12">
        <f t="shared" si="20"/>
        <v>0.77483497572845628</v>
      </c>
      <c r="Y109" s="12">
        <f t="shared" si="21"/>
        <v>0.51314549315261238</v>
      </c>
      <c r="Z109" s="12">
        <f t="shared" si="16"/>
        <v>1.5095085903912593</v>
      </c>
      <c r="AA109" s="12">
        <f t="shared" si="17"/>
        <v>1.7663449842160301</v>
      </c>
      <c r="AB109" s="10">
        <f t="shared" si="22"/>
        <v>4.3559999999999999</v>
      </c>
      <c r="AC109" s="10">
        <f t="shared" si="23"/>
        <v>6.45</v>
      </c>
      <c r="AD109" s="10">
        <f t="shared" si="24"/>
        <v>0.43099999999999999</v>
      </c>
      <c r="AE109" s="12">
        <f t="shared" si="25"/>
        <v>0.79701859309287004</v>
      </c>
      <c r="AF109" s="12">
        <f t="shared" si="26"/>
        <v>0.17280000000000001</v>
      </c>
      <c r="AG109" s="12">
        <f t="shared" si="27"/>
        <v>0.10224</v>
      </c>
      <c r="AH109" s="10">
        <f t="shared" si="28"/>
        <v>0.98208357550441794</v>
      </c>
      <c r="AI109" s="10">
        <f t="shared" si="29"/>
        <v>1.3447090540072699</v>
      </c>
      <c r="AJ109" s="13">
        <f t="shared" si="30"/>
        <v>0.98208357550441794</v>
      </c>
      <c r="AK109" s="13">
        <f t="shared" si="31"/>
        <v>1.3447090540072699</v>
      </c>
    </row>
    <row r="110" spans="1:37">
      <c r="A110" s="8">
        <f>鋼床鈑!A110</f>
        <v>108</v>
      </c>
      <c r="B110" s="47" t="s">
        <v>41</v>
      </c>
      <c r="C110" s="47" t="s">
        <v>42</v>
      </c>
      <c r="D110" s="47" t="s">
        <v>208</v>
      </c>
      <c r="E110" s="48">
        <v>433080</v>
      </c>
      <c r="F110" s="49">
        <v>119783.4856</v>
      </c>
      <c r="G110" s="49">
        <v>150961.35800000001</v>
      </c>
      <c r="H110" s="49">
        <v>824874967824.78101</v>
      </c>
      <c r="I110" s="49">
        <v>1381462763899.45</v>
      </c>
      <c r="J110" s="49">
        <v>986223842337.95105</v>
      </c>
      <c r="K110" s="49">
        <v>3251.3364999999999</v>
      </c>
      <c r="L110" s="49">
        <v>3198.6635000000001</v>
      </c>
      <c r="M110" s="49">
        <v>1758.1545000000001</v>
      </c>
      <c r="N110" s="49">
        <v>2649.8454999999999</v>
      </c>
      <c r="O110" s="48">
        <v>0</v>
      </c>
      <c r="P110" s="48">
        <v>0</v>
      </c>
      <c r="Q110" s="48">
        <v>27702</v>
      </c>
      <c r="R110" s="48">
        <v>21578</v>
      </c>
      <c r="S110" s="11">
        <f>(鋼床鈑!F110+鋼床鈑!N110+鋼床鈑!O110)*鋼床鈑!L110+(鋼床鈑!I110+鋼床鈑!N110+鋼床鈑!O110)*鋼床鈑!M110</f>
        <v>102240</v>
      </c>
      <c r="T110" s="11">
        <f>(鋼床鈑!K110)*鋼床鈑!N110+(鋼床鈑!K110)*鋼床鈑!O110</f>
        <v>174880</v>
      </c>
      <c r="U110" s="11">
        <f>4*((鋼床鈑!I110+鋼床鈑!N110/2+鋼床鈑!O110/2)*(鋼床鈑!K110+鋼床鈑!L110/2+鋼床鈑!M110/2))^2/((鋼床鈑!F110+鋼床鈑!N110/2+鋼床鈑!O110/2)/鋼床鈑!L110+(鋼床鈑!I110+鋼床鈑!N110/2+鋼床鈑!O110/2)/鋼床鈑!M110+(鋼床鈑!K110+鋼床鈑!L110/2+鋼床鈑!M110/2)/鋼床鈑!N110+(鋼床鈑!K110+鋼床鈑!L110/2+鋼床鈑!M110/2)/鋼床鈑!O110)</f>
        <v>810628485500.82642</v>
      </c>
      <c r="V110" s="12">
        <f t="shared" si="18"/>
        <v>0.30832372406098701</v>
      </c>
      <c r="W110" s="12">
        <f t="shared" si="19"/>
        <v>0.30332875183419222</v>
      </c>
      <c r="X110" s="12">
        <f t="shared" si="20"/>
        <v>0.78574594206564319</v>
      </c>
      <c r="Y110" s="12">
        <f t="shared" si="21"/>
        <v>0.52133709829476849</v>
      </c>
      <c r="Z110" s="12">
        <f t="shared" si="16"/>
        <v>1.5090501912686862</v>
      </c>
      <c r="AA110" s="12">
        <f t="shared" si="17"/>
        <v>1.786016750315754</v>
      </c>
      <c r="AB110" s="10">
        <f t="shared" si="22"/>
        <v>4.4080000000000004</v>
      </c>
      <c r="AC110" s="10">
        <f t="shared" si="23"/>
        <v>6.45</v>
      </c>
      <c r="AD110" s="10">
        <f t="shared" si="24"/>
        <v>0.43308000000000002</v>
      </c>
      <c r="AE110" s="12">
        <f t="shared" si="25"/>
        <v>0.81062848550082645</v>
      </c>
      <c r="AF110" s="12">
        <f t="shared" si="26"/>
        <v>0.17488000000000001</v>
      </c>
      <c r="AG110" s="12">
        <f t="shared" si="27"/>
        <v>0.10224</v>
      </c>
      <c r="AH110" s="10">
        <f t="shared" si="28"/>
        <v>0.98622384233795102</v>
      </c>
      <c r="AI110" s="10">
        <f t="shared" si="29"/>
        <v>1.3814627638994499</v>
      </c>
      <c r="AJ110" s="13">
        <f t="shared" si="30"/>
        <v>0.98622384233795102</v>
      </c>
      <c r="AK110" s="13">
        <f t="shared" si="31"/>
        <v>1.3814627638994499</v>
      </c>
    </row>
    <row r="111" spans="1:37">
      <c r="A111" s="8">
        <f>鋼床鈑!A111</f>
        <v>109</v>
      </c>
      <c r="B111" s="47" t="s">
        <v>41</v>
      </c>
      <c r="C111" s="47" t="s">
        <v>42</v>
      </c>
      <c r="D111" s="47" t="s">
        <v>209</v>
      </c>
      <c r="E111" s="48">
        <v>435280</v>
      </c>
      <c r="F111" s="49">
        <v>119490.8959</v>
      </c>
      <c r="G111" s="49">
        <v>153155.10889999999</v>
      </c>
      <c r="H111" s="49">
        <v>839445584746.64197</v>
      </c>
      <c r="I111" s="49">
        <v>1420963799528.27</v>
      </c>
      <c r="J111" s="49">
        <v>990602919244.64502</v>
      </c>
      <c r="K111" s="49">
        <v>3251.5823999999998</v>
      </c>
      <c r="L111" s="49">
        <v>3198.4176000000002</v>
      </c>
      <c r="M111" s="49">
        <v>1782.1739</v>
      </c>
      <c r="N111" s="49">
        <v>2680.8261000000002</v>
      </c>
      <c r="O111" s="48">
        <v>0</v>
      </c>
      <c r="P111" s="48">
        <v>0</v>
      </c>
      <c r="Q111" s="48">
        <v>27812</v>
      </c>
      <c r="R111" s="48">
        <v>21688</v>
      </c>
      <c r="S111" s="11">
        <f>(鋼床鈑!F111+鋼床鈑!N111+鋼床鈑!O111)*鋼床鈑!L111+(鋼床鈑!I111+鋼床鈑!N111+鋼床鈑!O111)*鋼床鈑!M111</f>
        <v>102240</v>
      </c>
      <c r="T111" s="11">
        <f>(鋼床鈑!K111)*鋼床鈑!N111+(鋼床鈑!K111)*鋼床鈑!O111</f>
        <v>177080</v>
      </c>
      <c r="U111" s="11">
        <f>4*((鋼床鈑!I111+鋼床鈑!N111/2+鋼床鈑!O111/2)*(鋼床鈑!K111+鋼床鈑!L111/2+鋼床鈑!M111/2))^2/((鋼床鈑!F111+鋼床鈑!N111/2+鋼床鈑!O111/2)/鋼床鈑!L111+(鋼床鈑!I111+鋼床鈑!N111/2+鋼床鈑!O111/2)/鋼床鈑!M111+(鋼床鈑!K111+鋼床鈑!L111/2+鋼床鈑!M111/2)/鋼床鈑!N111+(鋼床鈑!K111+鋼床鈑!L111/2+鋼床鈑!M111/2)/鋼床鈑!O111)</f>
        <v>825067111309.48474</v>
      </c>
      <c r="V111" s="12">
        <f t="shared" si="18"/>
        <v>0.30971656710638562</v>
      </c>
      <c r="W111" s="12">
        <f t="shared" si="19"/>
        <v>0.30465256523858819</v>
      </c>
      <c r="X111" s="12">
        <f t="shared" si="20"/>
        <v>0.79732050813238253</v>
      </c>
      <c r="Y111" s="12">
        <f t="shared" si="21"/>
        <v>0.53004698795206062</v>
      </c>
      <c r="Z111" s="12">
        <f t="shared" si="16"/>
        <v>1.5085699248828319</v>
      </c>
      <c r="AA111" s="12">
        <f t="shared" si="17"/>
        <v>1.8067878047272294</v>
      </c>
      <c r="AB111" s="10">
        <f t="shared" si="22"/>
        <v>4.4630000000000001</v>
      </c>
      <c r="AC111" s="10">
        <f t="shared" si="23"/>
        <v>6.45</v>
      </c>
      <c r="AD111" s="10">
        <f t="shared" si="24"/>
        <v>0.43528</v>
      </c>
      <c r="AE111" s="12">
        <f t="shared" si="25"/>
        <v>0.82506711130948474</v>
      </c>
      <c r="AF111" s="12">
        <f t="shared" si="26"/>
        <v>0.17707999999999999</v>
      </c>
      <c r="AG111" s="12">
        <f t="shared" si="27"/>
        <v>0.10224</v>
      </c>
      <c r="AH111" s="10">
        <f t="shared" si="28"/>
        <v>0.99060291924464505</v>
      </c>
      <c r="AI111" s="10">
        <f t="shared" si="29"/>
        <v>1.42096379952827</v>
      </c>
      <c r="AJ111" s="13">
        <f t="shared" si="30"/>
        <v>0.99060291924464505</v>
      </c>
      <c r="AK111" s="13">
        <f t="shared" si="31"/>
        <v>1.42096379952827</v>
      </c>
    </row>
    <row r="112" spans="1:37">
      <c r="A112" s="8">
        <f>鋼床鈑!A112</f>
        <v>110</v>
      </c>
      <c r="B112" s="47" t="s">
        <v>41</v>
      </c>
      <c r="C112" s="47" t="s">
        <v>42</v>
      </c>
      <c r="D112" s="47" t="s">
        <v>210</v>
      </c>
      <c r="E112" s="48">
        <v>437640</v>
      </c>
      <c r="F112" s="49">
        <v>119186.11440000001</v>
      </c>
      <c r="G112" s="49">
        <v>155508.87669999999</v>
      </c>
      <c r="H112" s="49">
        <v>855145848599.00098</v>
      </c>
      <c r="I112" s="49">
        <v>1464058047968.28</v>
      </c>
      <c r="J112" s="49">
        <v>995300416533.43701</v>
      </c>
      <c r="K112" s="49">
        <v>3251.8434999999999</v>
      </c>
      <c r="L112" s="49">
        <v>3198.1565000000001</v>
      </c>
      <c r="M112" s="49">
        <v>1807.9791</v>
      </c>
      <c r="N112" s="49">
        <v>2714.0209</v>
      </c>
      <c r="O112" s="48">
        <v>0</v>
      </c>
      <c r="P112" s="48">
        <v>0</v>
      </c>
      <c r="Q112" s="48">
        <v>27930</v>
      </c>
      <c r="R112" s="48">
        <v>21806</v>
      </c>
      <c r="S112" s="11">
        <f>(鋼床鈑!F112+鋼床鈑!N112+鋼床鈑!O112)*鋼床鈑!L112+(鋼床鈑!I112+鋼床鈑!N112+鋼床鈑!O112)*鋼床鈑!M112</f>
        <v>102240</v>
      </c>
      <c r="T112" s="11">
        <f>(鋼床鈑!K112)*鋼床鈑!N112+(鋼床鈑!K112)*鋼床鈑!O112</f>
        <v>179440</v>
      </c>
      <c r="U112" s="11">
        <f>4*((鋼床鈑!I112+鋼床鈑!N112/2+鋼床鈑!O112/2)*(鋼床鈑!K112+鋼床鈑!L112/2+鋼床鈑!M112/2))^2/((鋼床鈑!F112+鋼床鈑!N112/2+鋼床鈑!O112/2)/鋼床鈑!L112+(鋼床鈑!I112+鋼床鈑!N112/2+鋼床鈑!O112/2)/鋼床鈑!M112+(鋼床鈑!K112+鋼床鈑!L112/2+鋼床鈑!M112/2)/鋼床鈑!N112+(鋼床鈑!K112+鋼床鈑!L112/2+鋼床鈑!M112/2)/鋼床鈑!O112)</f>
        <v>840604513194.29419</v>
      </c>
      <c r="V112" s="12">
        <f t="shared" si="18"/>
        <v>0.3112106666867106</v>
      </c>
      <c r="W112" s="12">
        <f t="shared" si="19"/>
        <v>0.30607266817527873</v>
      </c>
      <c r="X112" s="12">
        <f t="shared" si="20"/>
        <v>0.80977598024682917</v>
      </c>
      <c r="Y112" s="12">
        <f t="shared" si="21"/>
        <v>0.5394424368538504</v>
      </c>
      <c r="Z112" s="12">
        <f t="shared" si="16"/>
        <v>1.508059886864145</v>
      </c>
      <c r="AA112" s="12">
        <f t="shared" si="17"/>
        <v>1.8290292190211666</v>
      </c>
      <c r="AB112" s="10">
        <f t="shared" si="22"/>
        <v>4.5220000000000002</v>
      </c>
      <c r="AC112" s="10">
        <f t="shared" si="23"/>
        <v>6.45</v>
      </c>
      <c r="AD112" s="10">
        <f t="shared" si="24"/>
        <v>0.43763999999999997</v>
      </c>
      <c r="AE112" s="12">
        <f t="shared" si="25"/>
        <v>0.84060451319429419</v>
      </c>
      <c r="AF112" s="12">
        <f t="shared" si="26"/>
        <v>0.17943999999999999</v>
      </c>
      <c r="AG112" s="12">
        <f t="shared" si="27"/>
        <v>0.10224</v>
      </c>
      <c r="AH112" s="10">
        <f t="shared" si="28"/>
        <v>0.99530041653343704</v>
      </c>
      <c r="AI112" s="10">
        <f t="shared" si="29"/>
        <v>1.4640580479682801</v>
      </c>
      <c r="AJ112" s="13">
        <f t="shared" si="30"/>
        <v>0.99530041653343704</v>
      </c>
      <c r="AK112" s="13">
        <f t="shared" si="31"/>
        <v>1.4640580479682801</v>
      </c>
    </row>
    <row r="113" spans="1:37">
      <c r="A113" s="8">
        <f>鋼床鈑!A113</f>
        <v>111</v>
      </c>
      <c r="B113" s="47" t="s">
        <v>41</v>
      </c>
      <c r="C113" s="47" t="s">
        <v>42</v>
      </c>
      <c r="D113" s="47" t="s">
        <v>211</v>
      </c>
      <c r="E113" s="48">
        <v>440200</v>
      </c>
      <c r="F113" s="49">
        <v>118853.4262</v>
      </c>
      <c r="G113" s="49">
        <v>158063.15359999999</v>
      </c>
      <c r="H113" s="49">
        <v>872238703413.37</v>
      </c>
      <c r="I113" s="49">
        <v>1511652398022.02</v>
      </c>
      <c r="J113" s="49">
        <v>1000395940099.46</v>
      </c>
      <c r="K113" s="49">
        <v>3252.1235999999999</v>
      </c>
      <c r="L113" s="49">
        <v>3197.8764000000001</v>
      </c>
      <c r="M113" s="49">
        <v>1836.0159000000001</v>
      </c>
      <c r="N113" s="49">
        <v>2749.9841000000001</v>
      </c>
      <c r="O113" s="48">
        <v>0</v>
      </c>
      <c r="P113" s="48">
        <v>0</v>
      </c>
      <c r="Q113" s="48">
        <v>28058</v>
      </c>
      <c r="R113" s="48">
        <v>21934</v>
      </c>
      <c r="S113" s="11">
        <f>(鋼床鈑!F113+鋼床鈑!N113+鋼床鈑!O113)*鋼床鈑!L113+(鋼床鈑!I113+鋼床鈑!N113+鋼床鈑!O113)*鋼床鈑!M113</f>
        <v>102240</v>
      </c>
      <c r="T113" s="11">
        <f>(鋼床鈑!K113)*鋼床鈑!N113+(鋼床鈑!K113)*鋼床鈑!O113</f>
        <v>182000</v>
      </c>
      <c r="U113" s="11">
        <f>4*((鋼床鈑!I113+鋼床鈑!N113/2+鋼床鈑!O113/2)*(鋼床鈑!K113+鋼床鈑!L113/2+鋼床鈑!M113/2))^2/((鋼床鈑!F113+鋼床鈑!N113/2+鋼床鈑!O113/2)/鋼床鈑!L113+(鋼床鈑!I113+鋼床鈑!N113/2+鋼床鈑!O113/2)/鋼床鈑!M113+(鋼床鈑!K113+鋼床鈑!L113/2+鋼床鈑!M113/2)/鋼床鈑!N113+(鋼床鈑!K113+鋼床鈑!L113/2+鋼床鈑!M113/2)/鋼床鈑!O113)</f>
        <v>857514324385.24646</v>
      </c>
      <c r="V113" s="12">
        <f t="shared" si="18"/>
        <v>0.31283133397509044</v>
      </c>
      <c r="W113" s="12">
        <f t="shared" si="19"/>
        <v>0.30761313625947673</v>
      </c>
      <c r="X113" s="12">
        <f t="shared" si="20"/>
        <v>0.82333295589761502</v>
      </c>
      <c r="Y113" s="12">
        <f t="shared" si="21"/>
        <v>0.54969495933522661</v>
      </c>
      <c r="Z113" s="12">
        <f t="shared" si="16"/>
        <v>1.5075125668642557</v>
      </c>
      <c r="AA113" s="12">
        <f t="shared" si="17"/>
        <v>1.8531089328468699</v>
      </c>
      <c r="AB113" s="10">
        <f t="shared" si="22"/>
        <v>4.5860000000000003</v>
      </c>
      <c r="AC113" s="10">
        <f t="shared" si="23"/>
        <v>6.45</v>
      </c>
      <c r="AD113" s="10">
        <f t="shared" si="24"/>
        <v>0.44019999999999998</v>
      </c>
      <c r="AE113" s="12">
        <f t="shared" si="25"/>
        <v>0.85751432438524644</v>
      </c>
      <c r="AF113" s="12">
        <f t="shared" si="26"/>
        <v>0.182</v>
      </c>
      <c r="AG113" s="12">
        <f t="shared" si="27"/>
        <v>0.10224</v>
      </c>
      <c r="AH113" s="10">
        <f t="shared" si="28"/>
        <v>1.00039594009946</v>
      </c>
      <c r="AI113" s="10">
        <f t="shared" si="29"/>
        <v>1.51165239802202</v>
      </c>
      <c r="AJ113" s="13">
        <f t="shared" si="30"/>
        <v>1.00039594009946</v>
      </c>
      <c r="AK113" s="13">
        <f t="shared" si="31"/>
        <v>1.51165239802202</v>
      </c>
    </row>
    <row r="114" spans="1:37">
      <c r="A114" s="8">
        <f>鋼床鈑!A114</f>
        <v>112</v>
      </c>
      <c r="B114" s="47" t="s">
        <v>41</v>
      </c>
      <c r="C114" s="47" t="s">
        <v>42</v>
      </c>
      <c r="D114" s="47" t="s">
        <v>212</v>
      </c>
      <c r="E114" s="48">
        <v>442840</v>
      </c>
      <c r="F114" s="49">
        <v>118499.1859</v>
      </c>
      <c r="G114" s="49">
        <v>160694.514</v>
      </c>
      <c r="H114" s="49">
        <v>889891602692.92505</v>
      </c>
      <c r="I114" s="49">
        <v>1561664044656.55</v>
      </c>
      <c r="J114" s="49">
        <v>1005650627304.78</v>
      </c>
      <c r="K114" s="49">
        <v>3252.4090000000001</v>
      </c>
      <c r="L114" s="49">
        <v>3197.5909999999999</v>
      </c>
      <c r="M114" s="49">
        <v>1864.9768999999999</v>
      </c>
      <c r="N114" s="49">
        <v>2787.0230999999999</v>
      </c>
      <c r="O114" s="48">
        <v>0</v>
      </c>
      <c r="P114" s="48">
        <v>0</v>
      </c>
      <c r="Q114" s="48">
        <v>28190</v>
      </c>
      <c r="R114" s="48">
        <v>22066</v>
      </c>
      <c r="S114" s="11">
        <f>(鋼床鈑!F114+鋼床鈑!N114+鋼床鈑!O114)*鋼床鈑!L114+(鋼床鈑!I114+鋼床鈑!N114+鋼床鈑!O114)*鋼床鈑!M114</f>
        <v>102240</v>
      </c>
      <c r="T114" s="11">
        <f>(鋼床鈑!K114)*鋼床鈑!N114+(鋼床鈑!K114)*鋼床鈑!O114</f>
        <v>184640</v>
      </c>
      <c r="U114" s="11">
        <f>4*((鋼床鈑!I114+鋼床鈑!N114/2+鋼床鈑!O114/2)*(鋼床鈑!K114+鋼床鈑!L114/2+鋼床鈑!M114/2))^2/((鋼床鈑!F114+鋼床鈑!N114/2+鋼床鈑!O114/2)/鋼床鈑!L114+(鋼床鈑!I114+鋼床鈑!N114/2+鋼床鈑!O114/2)/鋼床鈑!M114+(鋼床鈑!K114+鋼床鈑!L114/2+鋼床鈑!M114/2)/鋼床鈑!N114+(鋼床鈑!K114+鋼床鈑!L114/2+鋼床鈑!M114/2)/鋼床鈑!O114)</f>
        <v>875011786047.01196</v>
      </c>
      <c r="V114" s="12">
        <f t="shared" si="18"/>
        <v>0.31450258250813817</v>
      </c>
      <c r="W114" s="12">
        <f t="shared" si="19"/>
        <v>0.30920177238003588</v>
      </c>
      <c r="X114" s="12">
        <f t="shared" si="20"/>
        <v>0.83736374678772163</v>
      </c>
      <c r="Y114" s="12">
        <f t="shared" si="21"/>
        <v>0.56033408716868904</v>
      </c>
      <c r="Z114" s="12">
        <f t="shared" si="16"/>
        <v>1.5069545127199608</v>
      </c>
      <c r="AA114" s="12">
        <f t="shared" si="17"/>
        <v>1.8778910176180512</v>
      </c>
      <c r="AB114" s="10">
        <f t="shared" si="22"/>
        <v>4.6520000000000001</v>
      </c>
      <c r="AC114" s="10">
        <f t="shared" si="23"/>
        <v>6.45</v>
      </c>
      <c r="AD114" s="10">
        <f t="shared" si="24"/>
        <v>0.44284000000000001</v>
      </c>
      <c r="AE114" s="12">
        <f t="shared" si="25"/>
        <v>0.87501178604701191</v>
      </c>
      <c r="AF114" s="12">
        <f t="shared" si="26"/>
        <v>0.18464</v>
      </c>
      <c r="AG114" s="12">
        <f t="shared" si="27"/>
        <v>0.10224</v>
      </c>
      <c r="AH114" s="10">
        <f t="shared" si="28"/>
        <v>1.0056506273047801</v>
      </c>
      <c r="AI114" s="10">
        <f t="shared" si="29"/>
        <v>1.56166404465655</v>
      </c>
      <c r="AJ114" s="13">
        <f t="shared" si="30"/>
        <v>1.0056506273047801</v>
      </c>
      <c r="AK114" s="13">
        <f t="shared" si="31"/>
        <v>1.56166404465655</v>
      </c>
    </row>
    <row r="115" spans="1:37">
      <c r="A115" s="8">
        <f>鋼床鈑!A115</f>
        <v>113</v>
      </c>
      <c r="B115" s="47" t="s">
        <v>41</v>
      </c>
      <c r="C115" s="47" t="s">
        <v>42</v>
      </c>
      <c r="D115" s="47" t="s">
        <v>213</v>
      </c>
      <c r="E115" s="48">
        <v>445680</v>
      </c>
      <c r="F115" s="49">
        <v>118126.1808</v>
      </c>
      <c r="G115" s="49">
        <v>163526.33059999999</v>
      </c>
      <c r="H115" s="49">
        <v>908974428909.33301</v>
      </c>
      <c r="I115" s="49">
        <v>1616525556938.76</v>
      </c>
      <c r="J115" s="49">
        <v>1011303317309.1</v>
      </c>
      <c r="K115" s="49">
        <v>3252.7123000000001</v>
      </c>
      <c r="L115" s="49">
        <v>3197.2876999999999</v>
      </c>
      <c r="M115" s="49">
        <v>1896.1853000000001</v>
      </c>
      <c r="N115" s="49">
        <v>2826.8146999999999</v>
      </c>
      <c r="O115" s="48">
        <v>0</v>
      </c>
      <c r="P115" s="48">
        <v>0</v>
      </c>
      <c r="Q115" s="48">
        <v>28332</v>
      </c>
      <c r="R115" s="48">
        <v>22208</v>
      </c>
      <c r="S115" s="11">
        <f>(鋼床鈑!F115+鋼床鈑!N115+鋼床鈑!O115)*鋼床鈑!L115+(鋼床鈑!I115+鋼床鈑!N115+鋼床鈑!O115)*鋼床鈑!M115</f>
        <v>102240</v>
      </c>
      <c r="T115" s="11">
        <f>(鋼床鈑!K115)*鋼床鈑!N115+(鋼床鈑!K115)*鋼床鈑!O115</f>
        <v>187480</v>
      </c>
      <c r="U115" s="11">
        <f>4*((鋼床鈑!I115+鋼床鈑!N115/2+鋼床鈑!O115/2)*(鋼床鈑!K115+鋼床鈑!L115/2+鋼床鈑!M115/2))^2/((鋼床鈑!F115+鋼床鈑!N115/2+鋼床鈑!O115/2)/鋼床鈑!L115+(鋼床鈑!I115+鋼床鈑!N115/2+鋼床鈑!O115/2)/鋼床鈑!M115+(鋼床鈑!K115+鋼床鈑!L115/2+鋼床鈑!M115/2)/鋼床鈑!N115+(鋼床鈑!K115+鋼床鈑!L115/2+鋼床鈑!M115/2)/鋼床鈑!O115)</f>
        <v>893900235404.63342</v>
      </c>
      <c r="V115" s="12">
        <f t="shared" si="18"/>
        <v>0.31630038088505452</v>
      </c>
      <c r="W115" s="12">
        <f t="shared" si="19"/>
        <v>0.3109107796927198</v>
      </c>
      <c r="X115" s="12">
        <f t="shared" si="20"/>
        <v>0.85251454957422135</v>
      </c>
      <c r="Y115" s="12">
        <f t="shared" si="21"/>
        <v>0.57185409320913749</v>
      </c>
      <c r="Z115" s="12">
        <f t="shared" si="16"/>
        <v>1.5063612775147712</v>
      </c>
      <c r="AA115" s="12">
        <f t="shared" si="17"/>
        <v>1.9044944650554287</v>
      </c>
      <c r="AB115" s="10">
        <f t="shared" si="22"/>
        <v>4.7229999999999999</v>
      </c>
      <c r="AC115" s="10">
        <f t="shared" si="23"/>
        <v>6.45</v>
      </c>
      <c r="AD115" s="10">
        <f t="shared" si="24"/>
        <v>0.44568000000000002</v>
      </c>
      <c r="AE115" s="12">
        <f t="shared" si="25"/>
        <v>0.89390023540463337</v>
      </c>
      <c r="AF115" s="12">
        <f t="shared" si="26"/>
        <v>0.18748000000000001</v>
      </c>
      <c r="AG115" s="12">
        <f t="shared" si="27"/>
        <v>0.10224</v>
      </c>
      <c r="AH115" s="10">
        <f t="shared" si="28"/>
        <v>1.0113033173090999</v>
      </c>
      <c r="AI115" s="10">
        <f t="shared" si="29"/>
        <v>1.61652555693876</v>
      </c>
      <c r="AJ115" s="13">
        <f t="shared" si="30"/>
        <v>1.0113033173090999</v>
      </c>
      <c r="AK115" s="13">
        <f t="shared" si="31"/>
        <v>1.61652555693876</v>
      </c>
    </row>
    <row r="116" spans="1:37">
      <c r="A116" s="8">
        <f>鋼床鈑!A116</f>
        <v>114</v>
      </c>
      <c r="B116" s="47" t="s">
        <v>41</v>
      </c>
      <c r="C116" s="47" t="s">
        <v>42</v>
      </c>
      <c r="D116" s="47" t="s">
        <v>214</v>
      </c>
      <c r="E116" s="48">
        <v>448680</v>
      </c>
      <c r="F116" s="49">
        <v>117721.04399999999</v>
      </c>
      <c r="G116" s="49">
        <v>166515.53</v>
      </c>
      <c r="H116" s="49">
        <v>929175241594.32898</v>
      </c>
      <c r="I116" s="49">
        <v>1675680455517.6001</v>
      </c>
      <c r="J116" s="49">
        <v>1017274380846.01</v>
      </c>
      <c r="K116" s="49">
        <v>3253.0284000000001</v>
      </c>
      <c r="L116" s="49">
        <v>3196.9715999999999</v>
      </c>
      <c r="M116" s="49">
        <v>1929.2109</v>
      </c>
      <c r="N116" s="49">
        <v>2868.7891</v>
      </c>
      <c r="O116" s="48">
        <v>0</v>
      </c>
      <c r="P116" s="48">
        <v>0</v>
      </c>
      <c r="Q116" s="48">
        <v>28482</v>
      </c>
      <c r="R116" s="48">
        <v>22358</v>
      </c>
      <c r="S116" s="11">
        <f>(鋼床鈑!F116+鋼床鈑!N116+鋼床鈑!O116)*鋼床鈑!L116+(鋼床鈑!I116+鋼床鈑!N116+鋼床鈑!O116)*鋼床鈑!M116</f>
        <v>102240</v>
      </c>
      <c r="T116" s="11">
        <f>(鋼床鈑!K116)*鋼床鈑!N116+(鋼床鈑!K116)*鋼床鈑!O116</f>
        <v>190480</v>
      </c>
      <c r="U116" s="11">
        <f>4*((鋼床鈑!I116+鋼床鈑!N116/2+鋼床鈑!O116/2)*(鋼床鈑!K116+鋼床鈑!L116/2+鋼床鈑!M116/2))^2/((鋼床鈑!F116+鋼床鈑!N116/2+鋼床鈑!O116/2)/鋼床鈑!L116+(鋼床鈑!I116+鋼床鈑!N116/2+鋼床鈑!O116/2)/鋼床鈑!M116+(鋼床鈑!K116+鋼床鈑!L116/2+鋼床鈑!M116/2)/鋼床鈑!N116+(鋼床鈑!K116+鋼床鈑!L116/2+鋼床鈑!M116/2)/鋼床鈑!O116)</f>
        <v>913924507563.65918</v>
      </c>
      <c r="V116" s="12">
        <f t="shared" si="18"/>
        <v>0.3181993799525808</v>
      </c>
      <c r="W116" s="12">
        <f t="shared" si="19"/>
        <v>0.31271610811821071</v>
      </c>
      <c r="X116" s="12">
        <f t="shared" si="20"/>
        <v>0.86858334437028129</v>
      </c>
      <c r="Y116" s="12">
        <f t="shared" si="21"/>
        <v>0.58410723030061718</v>
      </c>
      <c r="Z116" s="12">
        <f t="shared" si="16"/>
        <v>1.5057424632450171</v>
      </c>
      <c r="AA116" s="12">
        <f t="shared" si="17"/>
        <v>1.9325344588396955</v>
      </c>
      <c r="AB116" s="10">
        <f t="shared" si="22"/>
        <v>4.798</v>
      </c>
      <c r="AC116" s="10">
        <f t="shared" si="23"/>
        <v>6.45</v>
      </c>
      <c r="AD116" s="10">
        <f t="shared" si="24"/>
        <v>0.44868000000000002</v>
      </c>
      <c r="AE116" s="12">
        <f t="shared" si="25"/>
        <v>0.91392450756365917</v>
      </c>
      <c r="AF116" s="12">
        <f t="shared" si="26"/>
        <v>0.19048000000000001</v>
      </c>
      <c r="AG116" s="12">
        <f t="shared" si="27"/>
        <v>0.10224</v>
      </c>
      <c r="AH116" s="10">
        <f t="shared" si="28"/>
        <v>1.0172743808460101</v>
      </c>
      <c r="AI116" s="10">
        <f t="shared" si="29"/>
        <v>1.6756804555176001</v>
      </c>
      <c r="AJ116" s="13">
        <f t="shared" si="30"/>
        <v>1.0172743808460101</v>
      </c>
      <c r="AK116" s="13">
        <f t="shared" si="31"/>
        <v>1.6756804555176001</v>
      </c>
    </row>
    <row r="117" spans="1:37">
      <c r="A117" s="8">
        <f>鋼床鈑!A117</f>
        <v>115</v>
      </c>
      <c r="B117" s="47" t="s">
        <v>41</v>
      </c>
      <c r="C117" s="47" t="s">
        <v>42</v>
      </c>
      <c r="D117" s="47" t="s">
        <v>215</v>
      </c>
      <c r="E117" s="48">
        <v>451840</v>
      </c>
      <c r="F117" s="49">
        <v>117301.0618</v>
      </c>
      <c r="G117" s="49">
        <v>169664.72719999999</v>
      </c>
      <c r="H117" s="49">
        <v>950555198698.64197</v>
      </c>
      <c r="I117" s="49">
        <v>1739335941505.79</v>
      </c>
      <c r="J117" s="49">
        <v>1023563805414.86</v>
      </c>
      <c r="K117" s="49">
        <v>3253.3569000000002</v>
      </c>
      <c r="L117" s="49">
        <v>3196.6430999999998</v>
      </c>
      <c r="M117" s="49">
        <v>1964.0622000000001</v>
      </c>
      <c r="N117" s="49">
        <v>2912.9378000000002</v>
      </c>
      <c r="O117" s="48">
        <v>0</v>
      </c>
      <c r="P117" s="48">
        <v>0</v>
      </c>
      <c r="Q117" s="48">
        <v>28640</v>
      </c>
      <c r="R117" s="48">
        <v>22516</v>
      </c>
      <c r="S117" s="11">
        <f>(鋼床鈑!F117+鋼床鈑!N117+鋼床鈑!O117)*鋼床鈑!L117+(鋼床鈑!I117+鋼床鈑!N117+鋼床鈑!O117)*鋼床鈑!M117</f>
        <v>102240</v>
      </c>
      <c r="T117" s="11">
        <f>(鋼床鈑!K117)*鋼床鈑!N117+(鋼床鈑!K117)*鋼床鈑!O117</f>
        <v>193640</v>
      </c>
      <c r="U117" s="11">
        <f>4*((鋼床鈑!I117+鋼床鈑!N117/2+鋼床鈑!O117/2)*(鋼床鈑!K117+鋼床鈑!L117/2+鋼床鈑!M117/2))^2/((鋼床鈑!F117+鋼床鈑!N117/2+鋼床鈑!O117/2)/鋼床鈑!L117+(鋼床鈑!I117+鋼床鈑!N117/2+鋼床鈑!O117/2)/鋼床鈑!M117+(鋼床鈑!K117+鋼床鈑!L117/2+鋼床鈑!M117/2)/鋼床鈑!N117+(鋼床鈑!K117+鋼床鈑!L117/2+鋼床鈑!M117/2)/鋼床鈑!O117)</f>
        <v>935094155086.34741</v>
      </c>
      <c r="V117" s="12">
        <f t="shared" si="18"/>
        <v>0.32019958856678743</v>
      </c>
      <c r="W117" s="12">
        <f t="shared" si="19"/>
        <v>0.31461774311169483</v>
      </c>
      <c r="X117" s="12">
        <f t="shared" si="20"/>
        <v>0.88558088511951916</v>
      </c>
      <c r="Y117" s="12">
        <f t="shared" si="21"/>
        <v>0.59710713407810834</v>
      </c>
      <c r="Z117" s="12">
        <f t="shared" si="16"/>
        <v>1.5050991920295629</v>
      </c>
      <c r="AA117" s="12">
        <f t="shared" si="17"/>
        <v>1.9620017848326949</v>
      </c>
      <c r="AB117" s="10">
        <f t="shared" si="22"/>
        <v>4.8769999999999998</v>
      </c>
      <c r="AC117" s="10">
        <f t="shared" si="23"/>
        <v>6.45</v>
      </c>
      <c r="AD117" s="10">
        <f t="shared" si="24"/>
        <v>0.45184000000000002</v>
      </c>
      <c r="AE117" s="12">
        <f t="shared" si="25"/>
        <v>0.93509415508634741</v>
      </c>
      <c r="AF117" s="12">
        <f t="shared" si="26"/>
        <v>0.19364000000000001</v>
      </c>
      <c r="AG117" s="12">
        <f t="shared" si="27"/>
        <v>0.10224</v>
      </c>
      <c r="AH117" s="10">
        <f t="shared" si="28"/>
        <v>1.0235638054148599</v>
      </c>
      <c r="AI117" s="10">
        <f t="shared" si="29"/>
        <v>1.7393359415057901</v>
      </c>
      <c r="AJ117" s="13">
        <f t="shared" si="30"/>
        <v>1.0235638054148599</v>
      </c>
      <c r="AK117" s="13">
        <f t="shared" si="31"/>
        <v>1.7393359415057901</v>
      </c>
    </row>
    <row r="118" spans="1:37">
      <c r="A118" s="8">
        <f>鋼床鈑!A118</f>
        <v>116</v>
      </c>
      <c r="B118" s="47" t="s">
        <v>41</v>
      </c>
      <c r="C118" s="47" t="s">
        <v>42</v>
      </c>
      <c r="D118" s="47" t="s">
        <v>216</v>
      </c>
      <c r="E118" s="48">
        <v>455120</v>
      </c>
      <c r="F118" s="49">
        <v>116854.56819999999</v>
      </c>
      <c r="G118" s="49">
        <v>172930.7746</v>
      </c>
      <c r="H118" s="49">
        <v>972798803191.26099</v>
      </c>
      <c r="I118" s="49">
        <v>1806879790915.1799</v>
      </c>
      <c r="J118" s="49">
        <v>1030091967206.64</v>
      </c>
      <c r="K118" s="49">
        <v>3253.6931</v>
      </c>
      <c r="L118" s="49">
        <v>3196.3069</v>
      </c>
      <c r="M118" s="49">
        <v>2000.3052</v>
      </c>
      <c r="N118" s="49">
        <v>2958.6948000000002</v>
      </c>
      <c r="O118" s="48">
        <v>0</v>
      </c>
      <c r="P118" s="48">
        <v>0</v>
      </c>
      <c r="Q118" s="48">
        <v>28804</v>
      </c>
      <c r="R118" s="48">
        <v>22680</v>
      </c>
      <c r="S118" s="11">
        <f>(鋼床鈑!F118+鋼床鈑!N118+鋼床鈑!O118)*鋼床鈑!L118+(鋼床鈑!I118+鋼床鈑!N118+鋼床鈑!O118)*鋼床鈑!M118</f>
        <v>102240</v>
      </c>
      <c r="T118" s="11">
        <f>(鋼床鈑!K118)*鋼床鈑!N118+(鋼床鈑!K118)*鋼床鈑!O118</f>
        <v>196920</v>
      </c>
      <c r="U118" s="11">
        <f>4*((鋼床鈑!I118+鋼床鈑!N118/2+鋼床鈑!O118/2)*(鋼床鈑!K118+鋼床鈑!L118/2+鋼床鈑!M118/2))^2/((鋼床鈑!F118+鋼床鈑!N118/2+鋼床鈑!O118/2)/鋼床鈑!L118+(鋼床鈑!I118+鋼床鈑!N118/2+鋼床鈑!O118/2)/鋼床鈑!M118+(鋼床鈑!K118+鋼床鈑!L118/2+鋼床鈑!M118/2)/鋼床鈑!N118+(鋼床鈑!K118+鋼床鈑!L118/2+鋼床鈑!M118/2)/鋼床鈑!O118)</f>
        <v>957149276166.3894</v>
      </c>
      <c r="V118" s="12">
        <f t="shared" si="18"/>
        <v>0.32227567609563396</v>
      </c>
      <c r="W118" s="12">
        <f t="shared" si="19"/>
        <v>0.3165916192915183</v>
      </c>
      <c r="X118" s="12">
        <f t="shared" si="20"/>
        <v>0.90330205156452115</v>
      </c>
      <c r="Y118" s="12">
        <f t="shared" si="21"/>
        <v>0.6107016482116302</v>
      </c>
      <c r="Z118" s="12">
        <f t="shared" si="16"/>
        <v>1.5044405818256179</v>
      </c>
      <c r="AA118" s="12">
        <f t="shared" si="17"/>
        <v>1.9925153228347749</v>
      </c>
      <c r="AB118" s="10">
        <f t="shared" si="22"/>
        <v>4.9589999999999996</v>
      </c>
      <c r="AC118" s="10">
        <f t="shared" si="23"/>
        <v>6.45</v>
      </c>
      <c r="AD118" s="10">
        <f t="shared" si="24"/>
        <v>0.45512000000000002</v>
      </c>
      <c r="AE118" s="12">
        <f t="shared" si="25"/>
        <v>0.95714927616638945</v>
      </c>
      <c r="AF118" s="12">
        <f t="shared" si="26"/>
        <v>0.19692000000000001</v>
      </c>
      <c r="AG118" s="12">
        <f t="shared" si="27"/>
        <v>0.10224</v>
      </c>
      <c r="AH118" s="10">
        <f t="shared" si="28"/>
        <v>1.03009196720664</v>
      </c>
      <c r="AI118" s="10">
        <f t="shared" si="29"/>
        <v>1.8068797909151799</v>
      </c>
      <c r="AJ118" s="13">
        <f t="shared" si="30"/>
        <v>1.03009196720664</v>
      </c>
      <c r="AK118" s="13">
        <f t="shared" si="31"/>
        <v>1.8068797909151799</v>
      </c>
    </row>
    <row r="119" spans="1:37">
      <c r="A119" s="8">
        <f>鋼床鈑!A119</f>
        <v>117</v>
      </c>
      <c r="B119" s="47" t="s">
        <v>41</v>
      </c>
      <c r="C119" s="47" t="s">
        <v>42</v>
      </c>
      <c r="D119" s="47" t="s">
        <v>217</v>
      </c>
      <c r="E119" s="48">
        <v>458600</v>
      </c>
      <c r="F119" s="49">
        <v>116386.65730000001</v>
      </c>
      <c r="G119" s="49">
        <v>176396.57569999999</v>
      </c>
      <c r="H119" s="49">
        <v>996512441244.62903</v>
      </c>
      <c r="I119" s="49">
        <v>1880193132005.26</v>
      </c>
      <c r="J119" s="49">
        <v>1037018076848.1</v>
      </c>
      <c r="K119" s="49">
        <v>3254.0445</v>
      </c>
      <c r="L119" s="49">
        <v>3195.9555</v>
      </c>
      <c r="M119" s="49">
        <v>2038.8325</v>
      </c>
      <c r="N119" s="49">
        <v>3007.1675</v>
      </c>
      <c r="O119" s="48">
        <v>0</v>
      </c>
      <c r="P119" s="48">
        <v>0</v>
      </c>
      <c r="Q119" s="48">
        <v>28978</v>
      </c>
      <c r="R119" s="48">
        <v>22854</v>
      </c>
      <c r="S119" s="11">
        <f>(鋼床鈑!F119+鋼床鈑!N119+鋼床鈑!O119)*鋼床鈑!L119+(鋼床鈑!I119+鋼床鈑!N119+鋼床鈑!O119)*鋼床鈑!M119</f>
        <v>102240</v>
      </c>
      <c r="T119" s="11">
        <f>(鋼床鈑!K119)*鋼床鈑!N119+(鋼床鈑!K119)*鋼床鈑!O119</f>
        <v>200400</v>
      </c>
      <c r="U119" s="11">
        <f>4*((鋼床鈑!I119+鋼床鈑!N119/2+鋼床鈑!O119/2)*(鋼床鈑!K119+鋼床鈑!L119/2+鋼床鈑!M119/2))^2/((鋼床鈑!F119+鋼床鈑!N119/2+鋼床鈑!O119/2)/鋼床鈑!L119+(鋼床鈑!I119+鋼床鈑!N119/2+鋼床鈑!O119/2)/鋼床鈑!M119+(鋼床鈑!K119+鋼床鈑!L119/2+鋼床鈑!M119/2)/鋼床鈑!N119+(鋼床鈑!K119+鋼床鈑!L119/2+鋼床鈑!M119/2)/鋼床鈑!O119)</f>
        <v>980637310805.92651</v>
      </c>
      <c r="V119" s="12">
        <f t="shared" si="18"/>
        <v>0.32447825911471539</v>
      </c>
      <c r="W119" s="12">
        <f t="shared" si="19"/>
        <v>0.31868589284753168</v>
      </c>
      <c r="X119" s="12">
        <f t="shared" si="20"/>
        <v>0.92219107357041852</v>
      </c>
      <c r="Y119" s="12">
        <f t="shared" si="21"/>
        <v>0.62523724801004932</v>
      </c>
      <c r="Z119" s="12">
        <f t="shared" si="16"/>
        <v>1.5037517239821196</v>
      </c>
      <c r="AA119" s="12">
        <f t="shared" si="17"/>
        <v>2.0248096678521676</v>
      </c>
      <c r="AB119" s="10">
        <f t="shared" si="22"/>
        <v>5.0460000000000003</v>
      </c>
      <c r="AC119" s="10">
        <f t="shared" si="23"/>
        <v>6.45</v>
      </c>
      <c r="AD119" s="10">
        <f t="shared" si="24"/>
        <v>0.45860000000000001</v>
      </c>
      <c r="AE119" s="12">
        <f t="shared" si="25"/>
        <v>0.98063731080592653</v>
      </c>
      <c r="AF119" s="12">
        <f t="shared" si="26"/>
        <v>0.20039999999999999</v>
      </c>
      <c r="AG119" s="12">
        <f t="shared" si="27"/>
        <v>0.10224</v>
      </c>
      <c r="AH119" s="10">
        <f t="shared" si="28"/>
        <v>1.0370180768480999</v>
      </c>
      <c r="AI119" s="10">
        <f t="shared" si="29"/>
        <v>1.8801931320052601</v>
      </c>
      <c r="AJ119" s="13">
        <f t="shared" si="30"/>
        <v>1.0370180768480999</v>
      </c>
      <c r="AK119" s="13">
        <f t="shared" si="31"/>
        <v>1.8801931320052601</v>
      </c>
    </row>
    <row r="120" spans="1:37">
      <c r="A120" s="8">
        <f>鋼床鈑!A120</f>
        <v>118</v>
      </c>
      <c r="B120" s="47" t="s">
        <v>41</v>
      </c>
      <c r="C120" s="47" t="s">
        <v>42</v>
      </c>
      <c r="D120" s="47" t="s">
        <v>218</v>
      </c>
      <c r="E120" s="48">
        <v>462200</v>
      </c>
      <c r="F120" s="49">
        <v>115891.60550000001</v>
      </c>
      <c r="G120" s="49">
        <v>179979.50880000001</v>
      </c>
      <c r="H120" s="49">
        <v>1021109175319.21</v>
      </c>
      <c r="I120" s="49">
        <v>1957837552217.4099</v>
      </c>
      <c r="J120" s="49">
        <v>1044182900504.84</v>
      </c>
      <c r="K120" s="49">
        <v>3254.4023999999999</v>
      </c>
      <c r="L120" s="49">
        <v>3195.5976000000001</v>
      </c>
      <c r="M120" s="49">
        <v>2078.7671999999998</v>
      </c>
      <c r="N120" s="49">
        <v>3057.2328000000002</v>
      </c>
      <c r="O120" s="48">
        <v>0</v>
      </c>
      <c r="P120" s="48">
        <v>0</v>
      </c>
      <c r="Q120" s="48">
        <v>29158</v>
      </c>
      <c r="R120" s="48">
        <v>23034</v>
      </c>
      <c r="S120" s="11">
        <f>(鋼床鈑!F120+鋼床鈑!N120+鋼床鈑!O120)*鋼床鈑!L120+(鋼床鈑!I120+鋼床鈑!N120+鋼床鈑!O120)*鋼床鈑!M120</f>
        <v>102240</v>
      </c>
      <c r="T120" s="11">
        <f>(鋼床鈑!K120)*鋼床鈑!N120+(鋼床鈑!K120)*鋼床鈑!O120</f>
        <v>204000</v>
      </c>
      <c r="U120" s="11">
        <f>4*((鋼床鈑!I120+鋼床鈑!N120/2+鋼床鈑!O120/2)*(鋼床鈑!K120+鋼床鈑!L120/2+鋼床鈑!M120/2))^2/((鋼床鈑!F120+鋼床鈑!N120/2+鋼床鈑!O120/2)/鋼床鈑!L120+(鋼床鈑!I120+鋼床鈑!N120/2+鋼床鈑!O120/2)/鋼床鈑!M120+(鋼床鈑!K120+鋼床鈑!L120/2+鋼床鈑!M120/2)/鋼床鈑!N120+(鋼床鈑!K120+鋼床鈑!L120/2+鋼床鈑!M120/2)/鋼床鈑!O120)</f>
        <v>1005027736409.6255</v>
      </c>
      <c r="V120" s="12">
        <f t="shared" si="18"/>
        <v>0.32675669192668061</v>
      </c>
      <c r="W120" s="12">
        <f t="shared" si="19"/>
        <v>0.32085242455107577</v>
      </c>
      <c r="X120" s="12">
        <f t="shared" si="20"/>
        <v>0.9418262671343911</v>
      </c>
      <c r="Y120" s="12">
        <f t="shared" si="21"/>
        <v>0.64039531180530629</v>
      </c>
      <c r="Z120" s="12">
        <f t="shared" si="16"/>
        <v>1.5030496191857408</v>
      </c>
      <c r="AA120" s="12">
        <f t="shared" si="17"/>
        <v>2.0581326226198597</v>
      </c>
      <c r="AB120" s="10">
        <f t="shared" si="22"/>
        <v>5.1360000000000001</v>
      </c>
      <c r="AC120" s="10">
        <f t="shared" si="23"/>
        <v>6.45</v>
      </c>
      <c r="AD120" s="10">
        <f t="shared" si="24"/>
        <v>0.4622</v>
      </c>
      <c r="AE120" s="12">
        <f t="shared" si="25"/>
        <v>1.0050277364096254</v>
      </c>
      <c r="AF120" s="12">
        <f t="shared" si="26"/>
        <v>0.20399999999999999</v>
      </c>
      <c r="AG120" s="12">
        <f t="shared" si="27"/>
        <v>0.10224</v>
      </c>
      <c r="AH120" s="10">
        <f t="shared" si="28"/>
        <v>1.04418290050484</v>
      </c>
      <c r="AI120" s="10">
        <f t="shared" si="29"/>
        <v>1.9578375522174098</v>
      </c>
      <c r="AJ120" s="13">
        <f t="shared" si="30"/>
        <v>1.04418290050484</v>
      </c>
      <c r="AK120" s="13">
        <f t="shared" si="31"/>
        <v>1.9578375522174098</v>
      </c>
    </row>
    <row r="121" spans="1:37">
      <c r="A121" s="8">
        <f>鋼床鈑!A121</f>
        <v>119</v>
      </c>
      <c r="B121" s="47" t="s">
        <v>41</v>
      </c>
      <c r="C121" s="47" t="s">
        <v>42</v>
      </c>
      <c r="D121" s="47" t="s">
        <v>219</v>
      </c>
      <c r="E121" s="48">
        <v>465960</v>
      </c>
      <c r="F121" s="49">
        <v>115380.2065</v>
      </c>
      <c r="G121" s="49">
        <v>183720.98490000001</v>
      </c>
      <c r="H121" s="49">
        <v>1046917278557.66</v>
      </c>
      <c r="I121" s="49">
        <v>2040906696435.3999</v>
      </c>
      <c r="J121" s="49">
        <v>1051666036318.11</v>
      </c>
      <c r="K121" s="49">
        <v>3254.7703999999999</v>
      </c>
      <c r="L121" s="49">
        <v>3195.2296000000001</v>
      </c>
      <c r="M121" s="49">
        <v>2120.5603000000001</v>
      </c>
      <c r="N121" s="49">
        <v>3109.4396999999999</v>
      </c>
      <c r="O121" s="48">
        <v>0</v>
      </c>
      <c r="P121" s="48">
        <v>0</v>
      </c>
      <c r="Q121" s="48">
        <v>29346</v>
      </c>
      <c r="R121" s="48">
        <v>23222</v>
      </c>
      <c r="S121" s="11">
        <f>(鋼床鈑!F121+鋼床鈑!N121+鋼床鈑!O121)*鋼床鈑!L121+(鋼床鈑!I121+鋼床鈑!N121+鋼床鈑!O121)*鋼床鈑!M121</f>
        <v>102240</v>
      </c>
      <c r="T121" s="11">
        <f>(鋼床鈑!K121)*鋼床鈑!N121+(鋼床鈑!K121)*鋼床鈑!O121</f>
        <v>207760</v>
      </c>
      <c r="U121" s="11">
        <f>4*((鋼床鈑!I121+鋼床鈑!N121/2+鋼床鈑!O121/2)*(鋼床鈑!K121+鋼床鈑!L121/2+鋼床鈑!M121/2))^2/((鋼床鈑!F121+鋼床鈑!N121/2+鋼床鈑!O121/2)/鋼床鈑!L121+(鋼床鈑!I121+鋼床鈑!N121/2+鋼床鈑!O121/2)/鋼床鈑!M121+(鋼床鈑!K121+鋼床鈑!L121/2+鋼床鈑!M121/2)/鋼床鈑!N121+(鋼床鈑!K121+鋼床鈑!L121/2+鋼床鈑!M121/2)/鋼床鈑!O121)</f>
        <v>1030599323349.5139</v>
      </c>
      <c r="V121" s="12">
        <f t="shared" si="18"/>
        <v>0.32913629628309338</v>
      </c>
      <c r="W121" s="12">
        <f t="shared" si="19"/>
        <v>0.32311527606313184</v>
      </c>
      <c r="X121" s="12">
        <f t="shared" si="20"/>
        <v>0.9624374729807964</v>
      </c>
      <c r="Y121" s="12">
        <f t="shared" si="21"/>
        <v>0.65635834534286031</v>
      </c>
      <c r="Z121" s="12">
        <f t="shared" si="16"/>
        <v>1.5023274617109035</v>
      </c>
      <c r="AA121" s="12">
        <f t="shared" si="17"/>
        <v>2.0928459259948435</v>
      </c>
      <c r="AB121" s="10">
        <f t="shared" si="22"/>
        <v>5.23</v>
      </c>
      <c r="AC121" s="10">
        <f t="shared" si="23"/>
        <v>6.45</v>
      </c>
      <c r="AD121" s="10">
        <f t="shared" si="24"/>
        <v>0.46595999999999999</v>
      </c>
      <c r="AE121" s="12">
        <f t="shared" si="25"/>
        <v>1.0305993233495139</v>
      </c>
      <c r="AF121" s="12">
        <f t="shared" si="26"/>
        <v>0.20776</v>
      </c>
      <c r="AG121" s="12">
        <f t="shared" si="27"/>
        <v>0.10224</v>
      </c>
      <c r="AH121" s="10">
        <f t="shared" si="28"/>
        <v>1.0516660363181101</v>
      </c>
      <c r="AI121" s="10">
        <f t="shared" si="29"/>
        <v>2.0409066964353997</v>
      </c>
      <c r="AJ121" s="13">
        <f t="shared" si="30"/>
        <v>1.0516660363181101</v>
      </c>
      <c r="AK121" s="13">
        <f t="shared" si="31"/>
        <v>2.0409066964353997</v>
      </c>
    </row>
    <row r="122" spans="1:37">
      <c r="A122" s="8">
        <f>鋼床鈑!A122</f>
        <v>120</v>
      </c>
      <c r="B122" s="47" t="s">
        <v>41</v>
      </c>
      <c r="C122" s="47" t="s">
        <v>42</v>
      </c>
      <c r="D122" s="47" t="s">
        <v>220</v>
      </c>
      <c r="E122" s="48">
        <v>469880</v>
      </c>
      <c r="F122" s="49">
        <v>114836.63280000001</v>
      </c>
      <c r="G122" s="49">
        <v>187619.14449999999</v>
      </c>
      <c r="H122" s="49">
        <v>1073901373482.6801</v>
      </c>
      <c r="I122" s="49">
        <v>2129676362687.1101</v>
      </c>
      <c r="J122" s="49">
        <v>1059467471305.36</v>
      </c>
      <c r="K122" s="49">
        <v>3255.1477</v>
      </c>
      <c r="L122" s="49">
        <v>3194.8523</v>
      </c>
      <c r="M122" s="49">
        <v>2164.2206000000001</v>
      </c>
      <c r="N122" s="49">
        <v>3163.7793999999999</v>
      </c>
      <c r="O122" s="48">
        <v>0</v>
      </c>
      <c r="P122" s="48">
        <v>0</v>
      </c>
      <c r="Q122" s="48">
        <v>29542</v>
      </c>
      <c r="R122" s="48">
        <v>23418</v>
      </c>
      <c r="S122" s="11">
        <f>(鋼床鈑!F122+鋼床鈑!N122+鋼床鈑!O122)*鋼床鈑!L122+(鋼床鈑!I122+鋼床鈑!N122+鋼床鈑!O122)*鋼床鈑!M122</f>
        <v>102240</v>
      </c>
      <c r="T122" s="11">
        <f>(鋼床鈑!K122)*鋼床鈑!N122+(鋼床鈑!K122)*鋼床鈑!O122</f>
        <v>211680</v>
      </c>
      <c r="U122" s="11">
        <f>4*((鋼床鈑!I122+鋼床鈑!N122/2+鋼床鈑!O122/2)*(鋼床鈑!K122+鋼床鈑!L122/2+鋼床鈑!M122/2))^2/((鋼床鈑!F122+鋼床鈑!N122/2+鋼床鈑!O122/2)/鋼床鈑!L122+(鋼床鈑!I122+鋼床鈑!N122/2+鋼床鈑!O122/2)/鋼床鈑!M122+(鋼床鈑!K122+鋼床鈑!L122/2+鋼床鈑!M122/2)/鋼床鈑!N122+(鋼床鈑!K122+鋼床鈑!L122/2+鋼床鈑!M122/2)/鋼床鈑!O122)</f>
        <v>1057361229071.618</v>
      </c>
      <c r="V122" s="12">
        <f t="shared" si="18"/>
        <v>0.3316170426111279</v>
      </c>
      <c r="W122" s="12">
        <f t="shared" si="19"/>
        <v>0.32547446965474408</v>
      </c>
      <c r="X122" s="12">
        <f t="shared" si="20"/>
        <v>0.98403848604301702</v>
      </c>
      <c r="Y122" s="12">
        <f t="shared" si="21"/>
        <v>0.67314312833793355</v>
      </c>
      <c r="Z122" s="12">
        <f t="shared" si="16"/>
        <v>1.5015864254255857</v>
      </c>
      <c r="AA122" s="12">
        <f t="shared" si="17"/>
        <v>2.1289395265928719</v>
      </c>
      <c r="AB122" s="10">
        <f t="shared" si="22"/>
        <v>5.3280000000000003</v>
      </c>
      <c r="AC122" s="10">
        <f t="shared" si="23"/>
        <v>6.45</v>
      </c>
      <c r="AD122" s="10">
        <f t="shared" si="24"/>
        <v>0.46988000000000002</v>
      </c>
      <c r="AE122" s="12">
        <f t="shared" si="25"/>
        <v>1.0573612290716181</v>
      </c>
      <c r="AF122" s="12">
        <f t="shared" si="26"/>
        <v>0.21168000000000001</v>
      </c>
      <c r="AG122" s="12">
        <f t="shared" si="27"/>
        <v>0.10224</v>
      </c>
      <c r="AH122" s="10">
        <f t="shared" si="28"/>
        <v>1.05946747130536</v>
      </c>
      <c r="AI122" s="10">
        <f t="shared" si="29"/>
        <v>2.12967636268711</v>
      </c>
      <c r="AJ122" s="13">
        <f t="shared" si="30"/>
        <v>1.05946747130536</v>
      </c>
      <c r="AK122" s="13">
        <f t="shared" si="31"/>
        <v>2.12967636268711</v>
      </c>
    </row>
    <row r="123" spans="1:37">
      <c r="A123" s="8">
        <f>鋼床鈑!A123</f>
        <v>121</v>
      </c>
      <c r="B123" s="47" t="s">
        <v>41</v>
      </c>
      <c r="C123" s="47" t="s">
        <v>42</v>
      </c>
      <c r="D123" s="47" t="s">
        <v>221</v>
      </c>
      <c r="E123" s="48">
        <v>473920</v>
      </c>
      <c r="F123" s="49">
        <v>114281.32369999999</v>
      </c>
      <c r="G123" s="49">
        <v>191634.2647</v>
      </c>
      <c r="H123" s="49">
        <v>1101828805723.6399</v>
      </c>
      <c r="I123" s="49">
        <v>2223497131008.6201</v>
      </c>
      <c r="J123" s="49">
        <v>1067507588074.35</v>
      </c>
      <c r="K123" s="49">
        <v>3255.53</v>
      </c>
      <c r="L123" s="49">
        <v>3194.47</v>
      </c>
      <c r="M123" s="49">
        <v>2209.3098</v>
      </c>
      <c r="N123" s="49">
        <v>3219.6902</v>
      </c>
      <c r="O123" s="48">
        <v>0</v>
      </c>
      <c r="P123" s="48">
        <v>0</v>
      </c>
      <c r="Q123" s="48">
        <v>29744</v>
      </c>
      <c r="R123" s="48">
        <v>23620</v>
      </c>
      <c r="S123" s="11">
        <f>(鋼床鈑!F123+鋼床鈑!N123+鋼床鈑!O123)*鋼床鈑!L123+(鋼床鈑!I123+鋼床鈑!N123+鋼床鈑!O123)*鋼床鈑!M123</f>
        <v>102240</v>
      </c>
      <c r="T123" s="11">
        <f>(鋼床鈑!K123)*鋼床鈑!N123+(鋼床鈑!K123)*鋼床鈑!O123</f>
        <v>215720</v>
      </c>
      <c r="U123" s="11">
        <f>4*((鋼床鈑!I123+鋼床鈑!N123/2+鋼床鈑!O123/2)*(鋼床鈑!K123+鋼床鈑!L123/2+鋼床鈑!M123/2))^2/((鋼床鈑!F123+鋼床鈑!N123/2+鋼床鈑!O123/2)/鋼床鈑!L123+(鋼床鈑!I123+鋼床鈑!N123/2+鋼床鈑!O123/2)/鋼床鈑!M123+(鋼床鈑!K123+鋼床鈑!L123/2+鋼床鈑!M123/2)/鋼床鈑!N123+(鋼床鈑!K123+鋼床鈑!L123/2+鋼床鈑!M123/2)/鋼床鈑!O123)</f>
        <v>1085047784052.6593</v>
      </c>
      <c r="V123" s="12">
        <f t="shared" si="18"/>
        <v>0.33417361505174564</v>
      </c>
      <c r="W123" s="12">
        <f t="shared" si="19"/>
        <v>0.32790592870418944</v>
      </c>
      <c r="X123" s="12">
        <f t="shared" si="20"/>
        <v>1.0064216123101521</v>
      </c>
      <c r="Y123" s="12">
        <f t="shared" si="21"/>
        <v>0.69059350213527371</v>
      </c>
      <c r="Z123" s="12">
        <f t="shared" si="16"/>
        <v>1.500835061892648</v>
      </c>
      <c r="AA123" s="12">
        <f t="shared" si="17"/>
        <v>2.1660364881029452</v>
      </c>
      <c r="AB123" s="10">
        <f t="shared" si="22"/>
        <v>5.4290000000000003</v>
      </c>
      <c r="AC123" s="10">
        <f t="shared" si="23"/>
        <v>6.45</v>
      </c>
      <c r="AD123" s="10">
        <f t="shared" si="24"/>
        <v>0.47392000000000001</v>
      </c>
      <c r="AE123" s="12">
        <f t="shared" si="25"/>
        <v>1.0850477840526593</v>
      </c>
      <c r="AF123" s="12">
        <f t="shared" si="26"/>
        <v>0.21572</v>
      </c>
      <c r="AG123" s="12">
        <f t="shared" si="27"/>
        <v>0.10224</v>
      </c>
      <c r="AH123" s="10">
        <f t="shared" si="28"/>
        <v>1.0675075880743499</v>
      </c>
      <c r="AI123" s="10">
        <f t="shared" si="29"/>
        <v>2.22349713100862</v>
      </c>
      <c r="AJ123" s="13">
        <f t="shared" si="30"/>
        <v>1.0675075880743499</v>
      </c>
      <c r="AK123" s="13">
        <f t="shared" si="31"/>
        <v>2.22349713100862</v>
      </c>
    </row>
    <row r="124" spans="1:37">
      <c r="A124" s="8">
        <f>鋼床鈑!A124</f>
        <v>122</v>
      </c>
      <c r="B124" s="47" t="s">
        <v>41</v>
      </c>
      <c r="C124" s="47" t="s">
        <v>42</v>
      </c>
      <c r="D124" s="47" t="s">
        <v>222</v>
      </c>
      <c r="E124" s="48">
        <v>478160</v>
      </c>
      <c r="F124" s="49">
        <v>113687.8437</v>
      </c>
      <c r="G124" s="49">
        <v>195845.8077</v>
      </c>
      <c r="H124" s="49">
        <v>1131227829640.54</v>
      </c>
      <c r="I124" s="49">
        <v>2324533218520.8101</v>
      </c>
      <c r="J124" s="49">
        <v>1075945583981.02</v>
      </c>
      <c r="K124" s="49">
        <v>3255.9243999999999</v>
      </c>
      <c r="L124" s="49">
        <v>3194.0756000000001</v>
      </c>
      <c r="M124" s="49">
        <v>2256.7294999999999</v>
      </c>
      <c r="N124" s="49">
        <v>3278.2705000000001</v>
      </c>
      <c r="O124" s="48">
        <v>0</v>
      </c>
      <c r="P124" s="48">
        <v>0</v>
      </c>
      <c r="Q124" s="48">
        <v>29956</v>
      </c>
      <c r="R124" s="48">
        <v>23832</v>
      </c>
      <c r="S124" s="11">
        <f>(鋼床鈑!F124+鋼床鈑!N124+鋼床鈑!O124)*鋼床鈑!L124+(鋼床鈑!I124+鋼床鈑!N124+鋼床鈑!O124)*鋼床鈑!M124</f>
        <v>102240</v>
      </c>
      <c r="T124" s="11">
        <f>(鋼床鈑!K124)*鋼床鈑!N124+(鋼床鈑!K124)*鋼床鈑!O124</f>
        <v>219960</v>
      </c>
      <c r="U124" s="11">
        <f>4*((鋼床鈑!I124+鋼床鈑!N124/2+鋼床鈑!O124/2)*(鋼床鈑!K124+鋼床鈑!L124/2+鋼床鈑!M124/2))^2/((鋼床鈑!F124+鋼床鈑!N124/2+鋼床鈑!O124/2)/鋼床鈑!L124+(鋼床鈑!I124+鋼床鈑!N124/2+鋼床鈑!O124/2)/鋼床鈑!M124+(鋼床鈑!K124+鋼床鈑!L124/2+鋼床鈑!M124/2)/鋼床鈑!N124+(鋼床鈑!K124+鋼床鈑!L124/2+鋼床鈑!M124/2)/鋼床鈑!O124)</f>
        <v>1114215994216.468</v>
      </c>
      <c r="V124" s="12">
        <f t="shared" si="18"/>
        <v>0.33685664296143142</v>
      </c>
      <c r="W124" s="12">
        <f t="shared" si="19"/>
        <v>0.33045779072174403</v>
      </c>
      <c r="X124" s="12">
        <f t="shared" si="20"/>
        <v>1.0300451243805737</v>
      </c>
      <c r="Y124" s="12">
        <f t="shared" si="21"/>
        <v>0.70907303668834221</v>
      </c>
      <c r="Z124" s="12">
        <f t="shared" si="16"/>
        <v>1.5000596608381085</v>
      </c>
      <c r="AA124" s="12">
        <f t="shared" si="17"/>
        <v>2.2048612098978442</v>
      </c>
      <c r="AB124" s="10">
        <f t="shared" si="22"/>
        <v>5.5350000000000001</v>
      </c>
      <c r="AC124" s="10">
        <f t="shared" si="23"/>
        <v>6.45</v>
      </c>
      <c r="AD124" s="10">
        <f t="shared" si="24"/>
        <v>0.47815999999999997</v>
      </c>
      <c r="AE124" s="12">
        <f t="shared" si="25"/>
        <v>1.114215994216468</v>
      </c>
      <c r="AF124" s="12">
        <f t="shared" si="26"/>
        <v>0.21995999999999999</v>
      </c>
      <c r="AG124" s="12">
        <f t="shared" si="27"/>
        <v>0.10224</v>
      </c>
      <c r="AH124" s="10">
        <f t="shared" si="28"/>
        <v>1.0759455839810199</v>
      </c>
      <c r="AI124" s="10">
        <f t="shared" si="29"/>
        <v>2.3245332185208101</v>
      </c>
      <c r="AJ124" s="13">
        <f t="shared" si="30"/>
        <v>1.0759455839810199</v>
      </c>
      <c r="AK124" s="13">
        <f t="shared" si="31"/>
        <v>2.3245332185208101</v>
      </c>
    </row>
    <row r="125" spans="1:37">
      <c r="A125" s="8">
        <f>鋼床鈑!A125</f>
        <v>123</v>
      </c>
      <c r="B125" s="47" t="s">
        <v>41</v>
      </c>
      <c r="C125" s="47" t="s">
        <v>42</v>
      </c>
      <c r="D125" s="47" t="s">
        <v>223</v>
      </c>
      <c r="E125" s="48">
        <v>482520</v>
      </c>
      <c r="F125" s="49">
        <v>113075.18459999999</v>
      </c>
      <c r="G125" s="49">
        <v>200173.65470000001</v>
      </c>
      <c r="H125" s="49">
        <v>1161568128293.02</v>
      </c>
      <c r="I125" s="49">
        <v>2431199970047.1201</v>
      </c>
      <c r="J125" s="49">
        <v>1084622238780.38</v>
      </c>
      <c r="K125" s="49">
        <v>3256.3226</v>
      </c>
      <c r="L125" s="49">
        <v>3193.6774</v>
      </c>
      <c r="M125" s="49">
        <v>2305.5936000000002</v>
      </c>
      <c r="N125" s="49">
        <v>3338.4063999999998</v>
      </c>
      <c r="O125" s="48">
        <v>0</v>
      </c>
      <c r="P125" s="48">
        <v>0</v>
      </c>
      <c r="Q125" s="48">
        <v>30174</v>
      </c>
      <c r="R125" s="48">
        <v>24050</v>
      </c>
      <c r="S125" s="11">
        <f>(鋼床鈑!F125+鋼床鈑!N125+鋼床鈑!O125)*鋼床鈑!L125+(鋼床鈑!I125+鋼床鈑!N125+鋼床鈑!O125)*鋼床鈑!M125</f>
        <v>102240</v>
      </c>
      <c r="T125" s="11">
        <f>(鋼床鈑!K125)*鋼床鈑!N125+(鋼床鈑!K125)*鋼床鈑!O125</f>
        <v>224320</v>
      </c>
      <c r="U125" s="11">
        <f>4*((鋼床鈑!I125+鋼床鈑!N125/2+鋼床鈑!O125/2)*(鋼床鈑!K125+鋼床鈑!L125/2+鋼床鈑!M125/2))^2/((鋼床鈑!F125+鋼床鈑!N125/2+鋼床鈑!O125/2)/鋼床鈑!L125+(鋼床鈑!I125+鋼床鈑!N125/2+鋼床鈑!O125/2)/鋼床鈑!M125+(鋼床鈑!K125+鋼床鈑!L125/2+鋼床鈑!M125/2)/鋼床鈑!N125+(鋼床鈑!K125+鋼床鈑!L125/2+鋼床鈑!M125/2)/鋼床鈑!O125)</f>
        <v>1144324049337.5007</v>
      </c>
      <c r="V125" s="12">
        <f t="shared" si="18"/>
        <v>0.33961546610198645</v>
      </c>
      <c r="W125" s="12">
        <f t="shared" si="19"/>
        <v>0.33308193690034893</v>
      </c>
      <c r="X125" s="12">
        <f t="shared" si="20"/>
        <v>1.0544789723770571</v>
      </c>
      <c r="Y125" s="12">
        <f t="shared" si="21"/>
        <v>0.72825165026256855</v>
      </c>
      <c r="Z125" s="12">
        <f t="shared" si="16"/>
        <v>1.499276013335747</v>
      </c>
      <c r="AA125" s="12">
        <f t="shared" si="17"/>
        <v>2.2446709253012966</v>
      </c>
      <c r="AB125" s="10">
        <f t="shared" si="22"/>
        <v>5.6440000000000001</v>
      </c>
      <c r="AC125" s="10">
        <f t="shared" si="23"/>
        <v>6.45</v>
      </c>
      <c r="AD125" s="10">
        <f t="shared" si="24"/>
        <v>0.48252</v>
      </c>
      <c r="AE125" s="12">
        <f t="shared" si="25"/>
        <v>1.1443240493375006</v>
      </c>
      <c r="AF125" s="12">
        <f t="shared" si="26"/>
        <v>0.22431999999999999</v>
      </c>
      <c r="AG125" s="12">
        <f t="shared" si="27"/>
        <v>0.10224</v>
      </c>
      <c r="AH125" s="10">
        <f t="shared" si="28"/>
        <v>1.0846222387803801</v>
      </c>
      <c r="AI125" s="10">
        <f t="shared" si="29"/>
        <v>2.4311999700471203</v>
      </c>
      <c r="AJ125" s="13">
        <f t="shared" si="30"/>
        <v>1.0846222387803801</v>
      </c>
      <c r="AK125" s="13">
        <f t="shared" si="31"/>
        <v>2.4311999700471203</v>
      </c>
    </row>
    <row r="126" spans="1:37">
      <c r="A126" s="8">
        <f>鋼床鈑!A126</f>
        <v>124</v>
      </c>
      <c r="B126" s="47" t="s">
        <v>41</v>
      </c>
      <c r="C126" s="47" t="s">
        <v>42</v>
      </c>
      <c r="D126" s="47" t="s">
        <v>224</v>
      </c>
      <c r="E126" s="48">
        <v>487080</v>
      </c>
      <c r="F126" s="49">
        <v>112439.3735</v>
      </c>
      <c r="G126" s="49">
        <v>204697.84789999999</v>
      </c>
      <c r="H126" s="49">
        <v>1193439928259.3899</v>
      </c>
      <c r="I126" s="49">
        <v>2545794577019.2402</v>
      </c>
      <c r="J126" s="49">
        <v>1093696744505.46</v>
      </c>
      <c r="K126" s="49">
        <v>3256.7314999999999</v>
      </c>
      <c r="L126" s="49">
        <v>3193.2685000000001</v>
      </c>
      <c r="M126" s="49">
        <v>2356.8069999999998</v>
      </c>
      <c r="N126" s="49">
        <v>3401.1930000000002</v>
      </c>
      <c r="O126" s="48">
        <v>0</v>
      </c>
      <c r="P126" s="48">
        <v>0</v>
      </c>
      <c r="Q126" s="48">
        <v>30402</v>
      </c>
      <c r="R126" s="48">
        <v>24278</v>
      </c>
      <c r="S126" s="11">
        <f>(鋼床鈑!F126+鋼床鈑!N126+鋼床鈑!O126)*鋼床鈑!L126+(鋼床鈑!I126+鋼床鈑!N126+鋼床鈑!O126)*鋼床鈑!M126</f>
        <v>102240</v>
      </c>
      <c r="T126" s="11">
        <f>(鋼床鈑!K126)*鋼床鈑!N126+(鋼床鈑!K126)*鋼床鈑!O126</f>
        <v>228880</v>
      </c>
      <c r="U126" s="11">
        <f>4*((鋼床鈑!I126+鋼床鈑!N126/2+鋼床鈑!O126/2)*(鋼床鈑!K126+鋼床鈑!L126/2+鋼床鈑!M126/2))^2/((鋼床鈑!F126+鋼床鈑!N126/2+鋼床鈑!O126/2)/鋼床鈑!L126+(鋼床鈑!I126+鋼床鈑!N126/2+鋼床鈑!O126/2)/鋼床鈑!M126+(鋼床鈑!K126+鋼床鈑!L126/2+鋼床鈑!M126/2)/鋼床鈑!N126+(鋼床鈑!K126+鋼床鈑!L126/2+鋼床鈑!M126/2)/鋼床鈑!O126)</f>
        <v>1175932652970.5469</v>
      </c>
      <c r="V126" s="12">
        <f t="shared" si="18"/>
        <v>0.34250071502144586</v>
      </c>
      <c r="W126" s="12">
        <f t="shared" si="19"/>
        <v>0.33582650105035061</v>
      </c>
      <c r="X126" s="12">
        <f t="shared" si="20"/>
        <v>1.0801879733975843</v>
      </c>
      <c r="Y126" s="12">
        <f t="shared" si="21"/>
        <v>0.74850047528006791</v>
      </c>
      <c r="Z126" s="12">
        <f t="shared" si="16"/>
        <v>1.4984708915909677</v>
      </c>
      <c r="AA126" s="12">
        <f t="shared" si="17"/>
        <v>2.2861858363587806</v>
      </c>
      <c r="AB126" s="10">
        <f t="shared" si="22"/>
        <v>5.758</v>
      </c>
      <c r="AC126" s="10">
        <f t="shared" si="23"/>
        <v>6.45</v>
      </c>
      <c r="AD126" s="10">
        <f t="shared" si="24"/>
        <v>0.48708000000000001</v>
      </c>
      <c r="AE126" s="12">
        <f t="shared" si="25"/>
        <v>1.1759326529705469</v>
      </c>
      <c r="AF126" s="12">
        <f t="shared" si="26"/>
        <v>0.22888</v>
      </c>
      <c r="AG126" s="12">
        <f t="shared" si="27"/>
        <v>0.10224</v>
      </c>
      <c r="AH126" s="10">
        <f t="shared" si="28"/>
        <v>1.09369674450546</v>
      </c>
      <c r="AI126" s="10">
        <f t="shared" si="29"/>
        <v>2.5457945770192403</v>
      </c>
      <c r="AJ126" s="13">
        <f t="shared" si="30"/>
        <v>1.09369674450546</v>
      </c>
      <c r="AK126" s="13">
        <f t="shared" si="31"/>
        <v>2.5457945770192403</v>
      </c>
    </row>
    <row r="127" spans="1:37">
      <c r="A127" s="8">
        <f>鋼床鈑!A127</f>
        <v>125</v>
      </c>
      <c r="B127" s="47" t="s">
        <v>41</v>
      </c>
      <c r="C127" s="47" t="s">
        <v>42</v>
      </c>
      <c r="D127" s="47" t="s">
        <v>225</v>
      </c>
      <c r="E127" s="48">
        <v>491760</v>
      </c>
      <c r="F127" s="49">
        <v>111776.8349</v>
      </c>
      <c r="G127" s="49">
        <v>209337.95050000001</v>
      </c>
      <c r="H127" s="49">
        <v>1226250571400.8601</v>
      </c>
      <c r="I127" s="49">
        <v>2666662899239.0801</v>
      </c>
      <c r="J127" s="49">
        <v>1103009886827.5601</v>
      </c>
      <c r="K127" s="49">
        <v>3257.1433000000002</v>
      </c>
      <c r="L127" s="49">
        <v>3192.8566999999998</v>
      </c>
      <c r="M127" s="49">
        <v>2409.4798000000001</v>
      </c>
      <c r="N127" s="49">
        <v>3465.5201999999999</v>
      </c>
      <c r="O127" s="48">
        <v>0</v>
      </c>
      <c r="P127" s="48">
        <v>0</v>
      </c>
      <c r="Q127" s="48">
        <v>30636</v>
      </c>
      <c r="R127" s="48">
        <v>24512</v>
      </c>
      <c r="S127" s="11">
        <f>(鋼床鈑!F127+鋼床鈑!N127+鋼床鈑!O127)*鋼床鈑!L127+(鋼床鈑!I127+鋼床鈑!N127+鋼床鈑!O127)*鋼床鈑!M127</f>
        <v>102240</v>
      </c>
      <c r="T127" s="11">
        <f>(鋼床鈑!K127)*鋼床鈑!N127+(鋼床鈑!K127)*鋼床鈑!O127</f>
        <v>233560</v>
      </c>
      <c r="U127" s="11">
        <f>4*((鋼床鈑!I127+鋼床鈑!N127/2+鋼床鈑!O127/2)*(鋼床鈑!K127+鋼床鈑!L127/2+鋼床鈑!M127/2))^2/((鋼床鈑!F127+鋼床鈑!N127/2+鋼床鈑!O127/2)/鋼床鈑!L127+(鋼床鈑!I127+鋼床鈑!N127/2+鋼床鈑!O127/2)/鋼床鈑!M127+(鋼床鈑!K127+鋼床鈑!L127/2+鋼床鈑!M127/2)/鋼床鈑!N127+(鋼床鈑!K127+鋼床鈑!L127/2+鋼床鈑!M127/2)/鋼床鈑!O127)</f>
        <v>1208495266526.8286</v>
      </c>
      <c r="V127" s="12">
        <f t="shared" si="18"/>
        <v>0.34546175743733193</v>
      </c>
      <c r="W127" s="12">
        <f t="shared" si="19"/>
        <v>0.33864334026309495</v>
      </c>
      <c r="X127" s="12">
        <f t="shared" si="20"/>
        <v>1.1067380184050848</v>
      </c>
      <c r="Y127" s="12">
        <f t="shared" si="21"/>
        <v>0.76948415976310869</v>
      </c>
      <c r="Z127" s="12">
        <f t="shared" si="16"/>
        <v>1.4976595582735497</v>
      </c>
      <c r="AA127" s="12">
        <f t="shared" si="17"/>
        <v>2.3286673782790217</v>
      </c>
      <c r="AB127" s="10">
        <f t="shared" si="22"/>
        <v>5.875</v>
      </c>
      <c r="AC127" s="10">
        <f t="shared" si="23"/>
        <v>6.45</v>
      </c>
      <c r="AD127" s="10">
        <f t="shared" si="24"/>
        <v>0.49175999999999997</v>
      </c>
      <c r="AE127" s="12">
        <f t="shared" si="25"/>
        <v>1.2084952665268287</v>
      </c>
      <c r="AF127" s="12">
        <f t="shared" si="26"/>
        <v>0.23355999999999999</v>
      </c>
      <c r="AG127" s="12">
        <f t="shared" si="27"/>
        <v>0.10224</v>
      </c>
      <c r="AH127" s="10">
        <f t="shared" si="28"/>
        <v>1.10300988682756</v>
      </c>
      <c r="AI127" s="10">
        <f t="shared" si="29"/>
        <v>2.6666628992390802</v>
      </c>
      <c r="AJ127" s="13">
        <f t="shared" si="30"/>
        <v>1.10300988682756</v>
      </c>
      <c r="AK127" s="13">
        <f t="shared" si="31"/>
        <v>2.6666628992390802</v>
      </c>
    </row>
    <row r="128" spans="1:37">
      <c r="A128" s="8">
        <f>鋼床鈑!A128</f>
        <v>126</v>
      </c>
      <c r="B128" s="47" t="s">
        <v>41</v>
      </c>
      <c r="C128" s="47" t="s">
        <v>42</v>
      </c>
      <c r="D128" s="47" t="s">
        <v>226</v>
      </c>
      <c r="E128" s="48">
        <v>496600</v>
      </c>
      <c r="F128" s="49">
        <v>111089.32249999999</v>
      </c>
      <c r="G128" s="49">
        <v>214131.56940000001</v>
      </c>
      <c r="H128" s="49">
        <v>1260292149269.3201</v>
      </c>
      <c r="I128" s="49">
        <v>2795169826178.04</v>
      </c>
      <c r="J128" s="49">
        <v>1112641255123.47</v>
      </c>
      <c r="K128" s="49">
        <v>3257.5610000000001</v>
      </c>
      <c r="L128" s="49">
        <v>3192.4389999999999</v>
      </c>
      <c r="M128" s="49">
        <v>2464.0689000000002</v>
      </c>
      <c r="N128" s="49">
        <v>3531.9310999999998</v>
      </c>
      <c r="O128" s="48">
        <v>0</v>
      </c>
      <c r="P128" s="48">
        <v>0</v>
      </c>
      <c r="Q128" s="48">
        <v>30878</v>
      </c>
      <c r="R128" s="48">
        <v>24754</v>
      </c>
      <c r="S128" s="11">
        <f>(鋼床鈑!F128+鋼床鈑!N128+鋼床鈑!O128)*鋼床鈑!L128+(鋼床鈑!I128+鋼床鈑!N128+鋼床鈑!O128)*鋼床鈑!M128</f>
        <v>102240</v>
      </c>
      <c r="T128" s="11">
        <f>(鋼床鈑!K128)*鋼床鈑!N128+(鋼床鈑!K128)*鋼床鈑!O128</f>
        <v>238400</v>
      </c>
      <c r="U128" s="11">
        <f>4*((鋼床鈑!I128+鋼床鈑!N128/2+鋼床鈑!O128/2)*(鋼床鈑!K128+鋼床鈑!L128/2+鋼床鈑!M128/2))^2/((鋼床鈑!F128+鋼床鈑!N128/2+鋼床鈑!O128/2)/鋼床鈑!L128+(鋼床鈑!I128+鋼床鈑!N128/2+鋼床鈑!O128/2)/鋼床鈑!M128+(鋼床鈑!K128+鋼床鈑!L128/2+鋼床鈑!M128/2)/鋼床鈑!N128+(鋼床鈑!K128+鋼床鈑!L128/2+鋼床鈑!M128/2)/鋼床鈑!O128)</f>
        <v>1242296335114.3655</v>
      </c>
      <c r="V128" s="12">
        <f t="shared" si="18"/>
        <v>0.34852388882715379</v>
      </c>
      <c r="W128" s="12">
        <f t="shared" si="19"/>
        <v>0.34155653727542473</v>
      </c>
      <c r="X128" s="12">
        <f t="shared" si="20"/>
        <v>1.1343716184957491</v>
      </c>
      <c r="Y128" s="12">
        <f t="shared" si="21"/>
        <v>0.79139987362098885</v>
      </c>
      <c r="Z128" s="12">
        <f t="shared" si="16"/>
        <v>1.4968360073403029</v>
      </c>
      <c r="AA128" s="12">
        <f t="shared" si="17"/>
        <v>2.3724700691713809</v>
      </c>
      <c r="AB128" s="10">
        <f t="shared" si="22"/>
        <v>5.9960000000000004</v>
      </c>
      <c r="AC128" s="10">
        <f t="shared" si="23"/>
        <v>6.45</v>
      </c>
      <c r="AD128" s="10">
        <f t="shared" si="24"/>
        <v>0.49659999999999999</v>
      </c>
      <c r="AE128" s="12">
        <f t="shared" si="25"/>
        <v>1.2422963351143654</v>
      </c>
      <c r="AF128" s="12">
        <f t="shared" si="26"/>
        <v>0.2384</v>
      </c>
      <c r="AG128" s="12">
        <f t="shared" si="27"/>
        <v>0.10224</v>
      </c>
      <c r="AH128" s="10">
        <f t="shared" si="28"/>
        <v>1.1126412551234699</v>
      </c>
      <c r="AI128" s="10">
        <f t="shared" si="29"/>
        <v>2.7951698261780402</v>
      </c>
      <c r="AJ128" s="13">
        <f t="shared" si="30"/>
        <v>1.1126412551234699</v>
      </c>
      <c r="AK128" s="13">
        <f t="shared" si="31"/>
        <v>2.7951698261780402</v>
      </c>
    </row>
    <row r="129" spans="1:37">
      <c r="A129" s="8">
        <f>鋼床鈑!A129</f>
        <v>127</v>
      </c>
      <c r="B129" s="47" t="s">
        <v>41</v>
      </c>
      <c r="C129" s="47" t="s">
        <v>42</v>
      </c>
      <c r="D129" s="47" t="s">
        <v>227</v>
      </c>
      <c r="E129" s="48">
        <v>501600</v>
      </c>
      <c r="F129" s="49">
        <v>110383.7295</v>
      </c>
      <c r="G129" s="49">
        <v>219081.52059999999</v>
      </c>
      <c r="H129" s="49">
        <v>1295614471427.8301</v>
      </c>
      <c r="I129" s="49">
        <v>2931707212299.5</v>
      </c>
      <c r="J129" s="49">
        <v>1122590837361.3</v>
      </c>
      <c r="K129" s="49">
        <v>3257.9841000000001</v>
      </c>
      <c r="L129" s="49">
        <v>3192.0158999999999</v>
      </c>
      <c r="M129" s="49">
        <v>2520.5823</v>
      </c>
      <c r="N129" s="49">
        <v>3600.4177</v>
      </c>
      <c r="O129" s="48">
        <v>0</v>
      </c>
      <c r="P129" s="48">
        <v>0</v>
      </c>
      <c r="Q129" s="48">
        <v>31128</v>
      </c>
      <c r="R129" s="48">
        <v>25004</v>
      </c>
      <c r="S129" s="11">
        <f>(鋼床鈑!F129+鋼床鈑!N129+鋼床鈑!O129)*鋼床鈑!L129+(鋼床鈑!I129+鋼床鈑!N129+鋼床鈑!O129)*鋼床鈑!M129</f>
        <v>102240</v>
      </c>
      <c r="T129" s="11">
        <f>(鋼床鈑!K129)*鋼床鈑!N129+(鋼床鈑!K129)*鋼床鈑!O129</f>
        <v>243400</v>
      </c>
      <c r="U129" s="11">
        <f>4*((鋼床鈑!I129+鋼床鈑!N129/2+鋼床鈑!O129/2)*(鋼床鈑!K129+鋼床鈑!L129/2+鋼床鈑!M129/2))^2/((鋼床鈑!F129+鋼床鈑!N129/2+鋼床鈑!O129/2)/鋼床鈑!L129+(鋼床鈑!I129+鋼床鈑!N129/2+鋼床鈑!O129/2)/鋼床鈑!M129+(鋼床鈑!K129+鋼床鈑!L129/2+鋼床鈑!M129/2)/鋼床鈑!N129+(鋼床鈑!K129+鋼床鈑!L129/2+鋼床鈑!M129/2)/鋼床鈑!O129)</f>
        <v>1277343252273.624</v>
      </c>
      <c r="V129" s="12">
        <f t="shared" si="18"/>
        <v>0.35168710699758737</v>
      </c>
      <c r="W129" s="12">
        <f t="shared" si="19"/>
        <v>0.34456608838615876</v>
      </c>
      <c r="X129" s="12">
        <f t="shared" si="20"/>
        <v>1.1631071170735032</v>
      </c>
      <c r="Y129" s="12">
        <f t="shared" si="21"/>
        <v>0.81426863674720296</v>
      </c>
      <c r="Z129" s="12">
        <f t="shared" si="16"/>
        <v>1.4960013404701205</v>
      </c>
      <c r="AA129" s="12">
        <f t="shared" si="17"/>
        <v>2.4175837830951155</v>
      </c>
      <c r="AB129" s="10">
        <f t="shared" si="22"/>
        <v>6.1210000000000004</v>
      </c>
      <c r="AC129" s="10">
        <f t="shared" si="23"/>
        <v>6.45</v>
      </c>
      <c r="AD129" s="10">
        <f t="shared" si="24"/>
        <v>0.50160000000000005</v>
      </c>
      <c r="AE129" s="12">
        <f t="shared" si="25"/>
        <v>1.2773432522736241</v>
      </c>
      <c r="AF129" s="12">
        <f t="shared" si="26"/>
        <v>0.24340000000000001</v>
      </c>
      <c r="AG129" s="12">
        <f t="shared" si="27"/>
        <v>0.10224</v>
      </c>
      <c r="AH129" s="10">
        <f t="shared" si="28"/>
        <v>1.1225908373613001</v>
      </c>
      <c r="AI129" s="10">
        <f t="shared" si="29"/>
        <v>2.9317072122995</v>
      </c>
      <c r="AJ129" s="13">
        <f t="shared" si="30"/>
        <v>1.1225908373613001</v>
      </c>
      <c r="AK129" s="13">
        <f t="shared" si="31"/>
        <v>2.9317072122995</v>
      </c>
    </row>
    <row r="130" spans="1:37">
      <c r="A130" s="8">
        <f>鋼床鈑!A130</f>
        <v>128</v>
      </c>
      <c r="B130" s="47" t="s">
        <v>41</v>
      </c>
      <c r="C130" s="47" t="s">
        <v>42</v>
      </c>
      <c r="D130" s="47" t="s">
        <v>228</v>
      </c>
      <c r="E130" s="48">
        <v>506760</v>
      </c>
      <c r="F130" s="49">
        <v>109646.79029999999</v>
      </c>
      <c r="G130" s="49">
        <v>224184.1594</v>
      </c>
      <c r="H130" s="49">
        <v>1332163957227.52</v>
      </c>
      <c r="I130" s="49">
        <v>3076686146439.8501</v>
      </c>
      <c r="J130" s="49">
        <v>1132858621763.0701</v>
      </c>
      <c r="K130" s="49">
        <v>3258.4119000000001</v>
      </c>
      <c r="L130" s="49">
        <v>3191.5880999999999</v>
      </c>
      <c r="M130" s="49">
        <v>2579.0281</v>
      </c>
      <c r="N130" s="49">
        <v>3670.9719</v>
      </c>
      <c r="O130" s="48">
        <v>0</v>
      </c>
      <c r="P130" s="48">
        <v>0</v>
      </c>
      <c r="Q130" s="48">
        <v>31386</v>
      </c>
      <c r="R130" s="48">
        <v>25262</v>
      </c>
      <c r="S130" s="11">
        <f>(鋼床鈑!F130+鋼床鈑!N130+鋼床鈑!O130)*鋼床鈑!L130+(鋼床鈑!I130+鋼床鈑!N130+鋼床鈑!O130)*鋼床鈑!M130</f>
        <v>102240</v>
      </c>
      <c r="T130" s="11">
        <f>(鋼床鈑!K130)*鋼床鈑!N130+(鋼床鈑!K130)*鋼床鈑!O130</f>
        <v>248560</v>
      </c>
      <c r="U130" s="11">
        <f>4*((鋼床鈑!I130+鋼床鈑!N130/2+鋼床鈑!O130/2)*(鋼床鈑!K130+鋼床鈑!L130/2+鋼床鈑!M130/2))^2/((鋼床鈑!F130+鋼床鈑!N130/2+鋼床鈑!O130/2)/鋼床鈑!L130+(鋼床鈑!I130+鋼床鈑!N130/2+鋼床鈑!O130/2)/鋼床鈑!M130+(鋼床鈑!K130+鋼床鈑!L130/2+鋼床鈑!M130/2)/鋼床鈑!N130+(鋼床鈑!K130+鋼床鈑!L130/2+鋼床鈑!M130/2)/鋼床鈑!O130)</f>
        <v>1313643092466.7979</v>
      </c>
      <c r="V130" s="12">
        <f t="shared" si="18"/>
        <v>0.35495138666642789</v>
      </c>
      <c r="W130" s="12">
        <f t="shared" si="19"/>
        <v>0.3476720121734978</v>
      </c>
      <c r="X130" s="12">
        <f t="shared" si="20"/>
        <v>1.1929634060365026</v>
      </c>
      <c r="Y130" s="12">
        <f t="shared" si="21"/>
        <v>0.83811214856748151</v>
      </c>
      <c r="Z130" s="12">
        <f t="shared" si="16"/>
        <v>1.4951566383230679</v>
      </c>
      <c r="AA130" s="12">
        <f t="shared" si="17"/>
        <v>2.4639984725499349</v>
      </c>
      <c r="AB130" s="10">
        <f t="shared" si="22"/>
        <v>6.25</v>
      </c>
      <c r="AC130" s="10">
        <f t="shared" si="23"/>
        <v>6.45</v>
      </c>
      <c r="AD130" s="10">
        <f t="shared" si="24"/>
        <v>0.50675999999999999</v>
      </c>
      <c r="AE130" s="12">
        <f t="shared" si="25"/>
        <v>1.3136430924667979</v>
      </c>
      <c r="AF130" s="12">
        <f t="shared" si="26"/>
        <v>0.24856</v>
      </c>
      <c r="AG130" s="12">
        <f t="shared" si="27"/>
        <v>0.10224</v>
      </c>
      <c r="AH130" s="10">
        <f t="shared" si="28"/>
        <v>1.1328586217630701</v>
      </c>
      <c r="AI130" s="10">
        <f t="shared" si="29"/>
        <v>3.0766861464398501</v>
      </c>
      <c r="AJ130" s="13">
        <f t="shared" si="30"/>
        <v>1.1328586217630701</v>
      </c>
      <c r="AK130" s="13">
        <f t="shared" si="31"/>
        <v>3.0766861464398501</v>
      </c>
    </row>
    <row r="131" spans="1:37">
      <c r="A131" s="8">
        <f>鋼床鈑!A131</f>
        <v>129</v>
      </c>
      <c r="B131" s="47" t="s">
        <v>41</v>
      </c>
      <c r="C131" s="47" t="s">
        <v>42</v>
      </c>
      <c r="D131" s="47" t="s">
        <v>229</v>
      </c>
      <c r="E131" s="48">
        <v>512520</v>
      </c>
      <c r="F131" s="49">
        <v>108823.49430000001</v>
      </c>
      <c r="G131" s="49">
        <v>229875.04120000001</v>
      </c>
      <c r="H131" s="49">
        <v>1373113299617.95</v>
      </c>
      <c r="I131" s="49">
        <v>3243462553968.5</v>
      </c>
      <c r="J131" s="49">
        <v>1144320120137.7</v>
      </c>
      <c r="K131" s="49">
        <v>3258.8793000000001</v>
      </c>
      <c r="L131" s="49">
        <v>3191.1206999999999</v>
      </c>
      <c r="M131" s="49">
        <v>2644.4139</v>
      </c>
      <c r="N131" s="49">
        <v>3749.5861</v>
      </c>
      <c r="O131" s="48">
        <v>0</v>
      </c>
      <c r="P131" s="48">
        <v>0</v>
      </c>
      <c r="Q131" s="48">
        <v>31674</v>
      </c>
      <c r="R131" s="48">
        <v>25550</v>
      </c>
      <c r="S131" s="11">
        <f>(鋼床鈑!F131+鋼床鈑!N131+鋼床鈑!O131)*鋼床鈑!L131+(鋼床鈑!I131+鋼床鈑!N131+鋼床鈑!O131)*鋼床鈑!M131</f>
        <v>102240</v>
      </c>
      <c r="T131" s="11">
        <f>(鋼床鈑!K131)*鋼床鈑!N131+(鋼床鈑!K131)*鋼床鈑!O131</f>
        <v>254320</v>
      </c>
      <c r="U131" s="11">
        <f>4*((鋼床鈑!I131+鋼床鈑!N131/2+鋼床鈑!O131/2)*(鋼床鈑!K131+鋼床鈑!L131/2+鋼床鈑!M131/2))^2/((鋼床鈑!F131+鋼床鈑!N131/2+鋼床鈑!O131/2)/鋼床鈑!L131+(鋼床鈑!I131+鋼床鈑!N131/2+鋼床鈑!O131/2)/鋼床鈑!M131+(鋼床鈑!K131+鋼床鈑!L131/2+鋼床鈑!M131/2)/鋼床鈑!N131+(鋼床鈑!K131+鋼床鈑!L131/2+鋼床鈑!M131/2)/鋼床鈑!O131)</f>
        <v>1354314949164.3716</v>
      </c>
      <c r="V131" s="12">
        <f t="shared" si="18"/>
        <v>0.35859506039295225</v>
      </c>
      <c r="W131" s="12">
        <f t="shared" si="19"/>
        <v>0.3511391539225463</v>
      </c>
      <c r="X131" s="12">
        <f t="shared" si="20"/>
        <v>1.2265336201600288</v>
      </c>
      <c r="Y131" s="12">
        <f t="shared" si="21"/>
        <v>0.86501882273579478</v>
      </c>
      <c r="Z131" s="12">
        <f t="shared" si="16"/>
        <v>1.4942331195570677</v>
      </c>
      <c r="AA131" s="12">
        <f t="shared" si="17"/>
        <v>2.5156431499851091</v>
      </c>
      <c r="AB131" s="10">
        <f t="shared" si="22"/>
        <v>6.3940000000000001</v>
      </c>
      <c r="AC131" s="10">
        <f t="shared" si="23"/>
        <v>6.45</v>
      </c>
      <c r="AD131" s="10">
        <f t="shared" si="24"/>
        <v>0.51251999999999998</v>
      </c>
      <c r="AE131" s="12">
        <f t="shared" si="25"/>
        <v>1.3543149491643716</v>
      </c>
      <c r="AF131" s="12">
        <f t="shared" si="26"/>
        <v>0.25431999999999999</v>
      </c>
      <c r="AG131" s="12">
        <f t="shared" si="27"/>
        <v>0.10224</v>
      </c>
      <c r="AH131" s="10">
        <f t="shared" si="28"/>
        <v>1.1443201201377</v>
      </c>
      <c r="AI131" s="10">
        <f t="shared" si="29"/>
        <v>3.2434625539685</v>
      </c>
      <c r="AJ131" s="13">
        <f t="shared" si="30"/>
        <v>1.1443201201377</v>
      </c>
      <c r="AK131" s="13">
        <f t="shared" si="31"/>
        <v>3.2434625539685</v>
      </c>
    </row>
    <row r="132" spans="1:37">
      <c r="A132" s="8">
        <f>鋼床鈑!A132</f>
        <v>130</v>
      </c>
      <c r="B132" s="47" t="s">
        <v>41</v>
      </c>
      <c r="C132" s="47" t="s">
        <v>42</v>
      </c>
      <c r="D132" s="47" t="s">
        <v>230</v>
      </c>
      <c r="E132" s="48">
        <v>518200</v>
      </c>
      <c r="F132" s="49">
        <v>107886.01880000001</v>
      </c>
      <c r="G132" s="49">
        <v>235311.23920000001</v>
      </c>
      <c r="H132" s="49">
        <v>1411847607546.3701</v>
      </c>
      <c r="I132" s="49">
        <v>3413083023280</v>
      </c>
      <c r="J132" s="49">
        <v>1155622216594.2</v>
      </c>
      <c r="K132" s="49">
        <v>3259.33</v>
      </c>
      <c r="L132" s="49">
        <v>3190.67</v>
      </c>
      <c r="M132" s="49">
        <v>2709.0355</v>
      </c>
      <c r="N132" s="49">
        <v>3826.9645</v>
      </c>
      <c r="O132" s="48">
        <v>0</v>
      </c>
      <c r="P132" s="48">
        <v>0</v>
      </c>
      <c r="Q132" s="48">
        <v>31958</v>
      </c>
      <c r="R132" s="48">
        <v>25834</v>
      </c>
      <c r="S132" s="11">
        <f>(鋼床鈑!F132+鋼床鈑!N132+鋼床鈑!O132)*鋼床鈑!L132+(鋼床鈑!I132+鋼床鈑!N132+鋼床鈑!O132)*鋼床鈑!M132</f>
        <v>102240</v>
      </c>
      <c r="T132" s="11">
        <f>(鋼床鈑!K132)*鋼床鈑!N132+(鋼床鈑!K132)*鋼床鈑!O132</f>
        <v>260000</v>
      </c>
      <c r="U132" s="11">
        <f>4*((鋼床鈑!I132+鋼床鈑!N132/2+鋼床鈑!O132/2)*(鋼床鈑!K132+鋼床鈑!L132/2+鋼床鈑!M132/2))^2/((鋼床鈑!F132+鋼床鈑!N132/2+鋼床鈑!O132/2)/鋼床鈑!L132+(鋼床鈑!I132+鋼床鈑!N132/2+鋼床鈑!O132/2)/鋼床鈑!M132+(鋼床鈑!K132+鋼床鈑!L132/2+鋼床鈑!M132/2)/鋼床鈑!N132+(鋼床鈑!K132+鋼床鈑!L132/2+鋼床鈑!M132/2)/鋼床鈑!O132)</f>
        <v>1394571335545.5344</v>
      </c>
      <c r="V132" s="12">
        <f t="shared" si="18"/>
        <v>0.36218794691842154</v>
      </c>
      <c r="W132" s="12">
        <f t="shared" si="19"/>
        <v>0.35455821183930442</v>
      </c>
      <c r="X132" s="12">
        <f t="shared" si="20"/>
        <v>1.2598886294697873</v>
      </c>
      <c r="Y132" s="12">
        <f t="shared" si="21"/>
        <v>0.89185123699997748</v>
      </c>
      <c r="Z132" s="12">
        <f t="shared" ref="Z132:Z195" si="32">SQRT(AH132/AD132)</f>
        <v>1.493341852765389</v>
      </c>
      <c r="AA132" s="12">
        <f t="shared" ref="AA132:AA195" si="33">SQRT(AI132/AD132)</f>
        <v>2.5664022182749937</v>
      </c>
      <c r="AB132" s="10">
        <f t="shared" si="22"/>
        <v>6.5359999999999996</v>
      </c>
      <c r="AC132" s="10">
        <f t="shared" si="23"/>
        <v>6.45</v>
      </c>
      <c r="AD132" s="10">
        <f t="shared" si="24"/>
        <v>0.51819999999999999</v>
      </c>
      <c r="AE132" s="12">
        <f t="shared" si="25"/>
        <v>1.3945713355455345</v>
      </c>
      <c r="AF132" s="12">
        <f t="shared" si="26"/>
        <v>0.26</v>
      </c>
      <c r="AG132" s="12">
        <f t="shared" si="27"/>
        <v>0.10224</v>
      </c>
      <c r="AH132" s="10">
        <f t="shared" si="28"/>
        <v>1.1556222165942001</v>
      </c>
      <c r="AI132" s="10">
        <f t="shared" si="29"/>
        <v>3.41308302328</v>
      </c>
      <c r="AJ132" s="13">
        <f t="shared" si="30"/>
        <v>1.1556222165942001</v>
      </c>
      <c r="AK132" s="13">
        <f t="shared" si="31"/>
        <v>3.41308302328</v>
      </c>
    </row>
    <row r="133" spans="1:37">
      <c r="A133" s="8">
        <f>鋼床鈑!A133</f>
        <v>131</v>
      </c>
      <c r="B133" s="47" t="s">
        <v>41</v>
      </c>
      <c r="C133" s="47" t="s">
        <v>42</v>
      </c>
      <c r="D133" s="47" t="s">
        <v>231</v>
      </c>
      <c r="E133" s="48">
        <v>518200</v>
      </c>
      <c r="F133" s="49">
        <v>107886.01880000001</v>
      </c>
      <c r="G133" s="49">
        <v>235311.23920000001</v>
      </c>
      <c r="H133" s="49">
        <v>1411847607546.3701</v>
      </c>
      <c r="I133" s="49">
        <v>3413083023280</v>
      </c>
      <c r="J133" s="49">
        <v>1155622216594.2</v>
      </c>
      <c r="K133" s="49">
        <v>3259.33</v>
      </c>
      <c r="L133" s="49">
        <v>3190.67</v>
      </c>
      <c r="M133" s="49">
        <v>2709.0355</v>
      </c>
      <c r="N133" s="49">
        <v>3826.9645</v>
      </c>
      <c r="O133" s="48">
        <v>0</v>
      </c>
      <c r="P133" s="48">
        <v>0</v>
      </c>
      <c r="Q133" s="48">
        <v>31958</v>
      </c>
      <c r="R133" s="48">
        <v>25834</v>
      </c>
      <c r="S133" s="11">
        <f>(鋼床鈑!F133+鋼床鈑!N133+鋼床鈑!O133)*鋼床鈑!L133+(鋼床鈑!I133+鋼床鈑!N133+鋼床鈑!O133)*鋼床鈑!M133</f>
        <v>102240</v>
      </c>
      <c r="T133" s="11">
        <f>(鋼床鈑!K133)*鋼床鈑!N133+(鋼床鈑!K133)*鋼床鈑!O133</f>
        <v>260000</v>
      </c>
      <c r="U133" s="11">
        <f>4*((鋼床鈑!I133+鋼床鈑!N133/2+鋼床鈑!O133/2)*(鋼床鈑!K133+鋼床鈑!L133/2+鋼床鈑!M133/2))^2/((鋼床鈑!F133+鋼床鈑!N133/2+鋼床鈑!O133/2)/鋼床鈑!L133+(鋼床鈑!I133+鋼床鈑!N133/2+鋼床鈑!O133/2)/鋼床鈑!M133+(鋼床鈑!K133+鋼床鈑!L133/2+鋼床鈑!M133/2)/鋼床鈑!N133+(鋼床鈑!K133+鋼床鈑!L133/2+鋼床鈑!M133/2)/鋼床鈑!O133)</f>
        <v>1394571335545.5344</v>
      </c>
      <c r="V133" s="12">
        <f t="shared" ref="V133:V196" si="34">AH133/(L133/1000)</f>
        <v>0.36218794691842154</v>
      </c>
      <c r="W133" s="12">
        <f t="shared" ref="W133:W196" si="35">AH133/(K133/1000)</f>
        <v>0.35455821183930442</v>
      </c>
      <c r="X133" s="12">
        <f t="shared" ref="X133:X196" si="36">AI133/(M133/1000)</f>
        <v>1.2598886294697873</v>
      </c>
      <c r="Y133" s="12">
        <f t="shared" ref="Y133:Y196" si="37">AI133/(N133/1000)</f>
        <v>0.89185123699997748</v>
      </c>
      <c r="Z133" s="12">
        <f t="shared" si="32"/>
        <v>1.493341852765389</v>
      </c>
      <c r="AA133" s="12">
        <f t="shared" si="33"/>
        <v>2.5664022182749937</v>
      </c>
      <c r="AB133" s="10">
        <f t="shared" ref="AB133:AB196" si="38">(M133+N133)/1000</f>
        <v>6.5359999999999996</v>
      </c>
      <c r="AC133" s="10">
        <f t="shared" ref="AC133:AC196" si="39">(K133+L133)/1000</f>
        <v>6.45</v>
      </c>
      <c r="AD133" s="10">
        <f t="shared" ref="AD133:AD196" si="40">E133/1000^2</f>
        <v>0.51819999999999999</v>
      </c>
      <c r="AE133" s="12">
        <f t="shared" ref="AE133:AE196" si="41">U133/(1000^4)</f>
        <v>1.3945713355455345</v>
      </c>
      <c r="AF133" s="12">
        <f t="shared" ref="AF133:AF196" si="42">T133/1000^2</f>
        <v>0.26</v>
      </c>
      <c r="AG133" s="12">
        <f t="shared" ref="AG133:AG196" si="43">S133/1000^2</f>
        <v>0.10224</v>
      </c>
      <c r="AH133" s="10">
        <f t="shared" ref="AH133:AH196" si="44">J133/(1000^4)</f>
        <v>1.1556222165942001</v>
      </c>
      <c r="AI133" s="10">
        <f t="shared" ref="AI133:AI196" si="45">I133/(1000^4)</f>
        <v>3.41308302328</v>
      </c>
      <c r="AJ133" s="13">
        <f t="shared" ref="AJ133:AJ196" si="46">AH133</f>
        <v>1.1556222165942001</v>
      </c>
      <c r="AK133" s="13">
        <f t="shared" ref="AK133:AK196" si="47">AI133</f>
        <v>3.41308302328</v>
      </c>
    </row>
    <row r="134" spans="1:37">
      <c r="A134" s="8">
        <f>鋼床鈑!A134</f>
        <v>132</v>
      </c>
      <c r="B134" s="47" t="s">
        <v>41</v>
      </c>
      <c r="C134" s="47" t="s">
        <v>42</v>
      </c>
      <c r="D134" s="47" t="s">
        <v>232</v>
      </c>
      <c r="E134" s="48">
        <v>518200</v>
      </c>
      <c r="F134" s="49">
        <v>107886.01880000001</v>
      </c>
      <c r="G134" s="49">
        <v>235311.23920000001</v>
      </c>
      <c r="H134" s="49">
        <v>1411847607546.3701</v>
      </c>
      <c r="I134" s="49">
        <v>3413083023280</v>
      </c>
      <c r="J134" s="49">
        <v>1155622216594.2</v>
      </c>
      <c r="K134" s="49">
        <v>3259.33</v>
      </c>
      <c r="L134" s="49">
        <v>3190.67</v>
      </c>
      <c r="M134" s="49">
        <v>2709.0355</v>
      </c>
      <c r="N134" s="49">
        <v>3826.9645</v>
      </c>
      <c r="O134" s="48">
        <v>0</v>
      </c>
      <c r="P134" s="48">
        <v>0</v>
      </c>
      <c r="Q134" s="48">
        <v>31958</v>
      </c>
      <c r="R134" s="48">
        <v>25834</v>
      </c>
      <c r="S134" s="11">
        <f>(鋼床鈑!F134+鋼床鈑!N134+鋼床鈑!O134)*鋼床鈑!L134+(鋼床鈑!I134+鋼床鈑!N134+鋼床鈑!O134)*鋼床鈑!M134</f>
        <v>102240</v>
      </c>
      <c r="T134" s="11">
        <f>(鋼床鈑!K134)*鋼床鈑!N134+(鋼床鈑!K134)*鋼床鈑!O134</f>
        <v>260000</v>
      </c>
      <c r="U134" s="11">
        <f>4*((鋼床鈑!I134+鋼床鈑!N134/2+鋼床鈑!O134/2)*(鋼床鈑!K134+鋼床鈑!L134/2+鋼床鈑!M134/2))^2/((鋼床鈑!F134+鋼床鈑!N134/2+鋼床鈑!O134/2)/鋼床鈑!L134+(鋼床鈑!I134+鋼床鈑!N134/2+鋼床鈑!O134/2)/鋼床鈑!M134+(鋼床鈑!K134+鋼床鈑!L134/2+鋼床鈑!M134/2)/鋼床鈑!N134+(鋼床鈑!K134+鋼床鈑!L134/2+鋼床鈑!M134/2)/鋼床鈑!O134)</f>
        <v>1394571335545.5344</v>
      </c>
      <c r="V134" s="12">
        <f t="shared" si="34"/>
        <v>0.36218794691842154</v>
      </c>
      <c r="W134" s="12">
        <f t="shared" si="35"/>
        <v>0.35455821183930442</v>
      </c>
      <c r="X134" s="12">
        <f t="shared" si="36"/>
        <v>1.2598886294697873</v>
      </c>
      <c r="Y134" s="12">
        <f t="shared" si="37"/>
        <v>0.89185123699997748</v>
      </c>
      <c r="Z134" s="12">
        <f t="shared" si="32"/>
        <v>1.493341852765389</v>
      </c>
      <c r="AA134" s="12">
        <f t="shared" si="33"/>
        <v>2.5664022182749937</v>
      </c>
      <c r="AB134" s="10">
        <f t="shared" si="38"/>
        <v>6.5359999999999996</v>
      </c>
      <c r="AC134" s="10">
        <f t="shared" si="39"/>
        <v>6.45</v>
      </c>
      <c r="AD134" s="10">
        <f t="shared" si="40"/>
        <v>0.51819999999999999</v>
      </c>
      <c r="AE134" s="12">
        <f t="shared" si="41"/>
        <v>1.3945713355455345</v>
      </c>
      <c r="AF134" s="12">
        <f t="shared" si="42"/>
        <v>0.26</v>
      </c>
      <c r="AG134" s="12">
        <f t="shared" si="43"/>
        <v>0.10224</v>
      </c>
      <c r="AH134" s="10">
        <f t="shared" si="44"/>
        <v>1.1556222165942001</v>
      </c>
      <c r="AI134" s="10">
        <f t="shared" si="45"/>
        <v>3.41308302328</v>
      </c>
      <c r="AJ134" s="13">
        <f t="shared" si="46"/>
        <v>1.1556222165942001</v>
      </c>
      <c r="AK134" s="13">
        <f t="shared" si="47"/>
        <v>3.41308302328</v>
      </c>
    </row>
    <row r="135" spans="1:37">
      <c r="A135" s="8">
        <f>鋼床鈑!A135</f>
        <v>133</v>
      </c>
      <c r="B135" s="47" t="s">
        <v>41</v>
      </c>
      <c r="C135" s="47" t="s">
        <v>42</v>
      </c>
      <c r="D135" s="47" t="s">
        <v>233</v>
      </c>
      <c r="E135" s="48">
        <v>512520</v>
      </c>
      <c r="F135" s="49">
        <v>108823.49430000001</v>
      </c>
      <c r="G135" s="49">
        <v>229875.04120000001</v>
      </c>
      <c r="H135" s="49">
        <v>1373113299617.95</v>
      </c>
      <c r="I135" s="49">
        <v>3243462553968.5</v>
      </c>
      <c r="J135" s="49">
        <v>1144320120137.7</v>
      </c>
      <c r="K135" s="49">
        <v>3258.8793000000001</v>
      </c>
      <c r="L135" s="49">
        <v>3191.1206999999999</v>
      </c>
      <c r="M135" s="49">
        <v>2644.4139</v>
      </c>
      <c r="N135" s="49">
        <v>3749.5861</v>
      </c>
      <c r="O135" s="48">
        <v>0</v>
      </c>
      <c r="P135" s="48">
        <v>0</v>
      </c>
      <c r="Q135" s="48">
        <v>31674</v>
      </c>
      <c r="R135" s="48">
        <v>25550</v>
      </c>
      <c r="S135" s="11">
        <f>(鋼床鈑!F135+鋼床鈑!N135+鋼床鈑!O135)*鋼床鈑!L135+(鋼床鈑!I135+鋼床鈑!N135+鋼床鈑!O135)*鋼床鈑!M135</f>
        <v>102240</v>
      </c>
      <c r="T135" s="11">
        <f>(鋼床鈑!K135)*鋼床鈑!N135+(鋼床鈑!K135)*鋼床鈑!O135</f>
        <v>254320</v>
      </c>
      <c r="U135" s="11">
        <f>4*((鋼床鈑!I135+鋼床鈑!N135/2+鋼床鈑!O135/2)*(鋼床鈑!K135+鋼床鈑!L135/2+鋼床鈑!M135/2))^2/((鋼床鈑!F135+鋼床鈑!N135/2+鋼床鈑!O135/2)/鋼床鈑!L135+(鋼床鈑!I135+鋼床鈑!N135/2+鋼床鈑!O135/2)/鋼床鈑!M135+(鋼床鈑!K135+鋼床鈑!L135/2+鋼床鈑!M135/2)/鋼床鈑!N135+(鋼床鈑!K135+鋼床鈑!L135/2+鋼床鈑!M135/2)/鋼床鈑!O135)</f>
        <v>1354314949164.3716</v>
      </c>
      <c r="V135" s="12">
        <f t="shared" si="34"/>
        <v>0.35859506039295225</v>
      </c>
      <c r="W135" s="12">
        <f t="shared" si="35"/>
        <v>0.3511391539225463</v>
      </c>
      <c r="X135" s="12">
        <f t="shared" si="36"/>
        <v>1.2265336201600288</v>
      </c>
      <c r="Y135" s="12">
        <f t="shared" si="37"/>
        <v>0.86501882273579478</v>
      </c>
      <c r="Z135" s="12">
        <f t="shared" si="32"/>
        <v>1.4942331195570677</v>
      </c>
      <c r="AA135" s="12">
        <f t="shared" si="33"/>
        <v>2.5156431499851091</v>
      </c>
      <c r="AB135" s="10">
        <f t="shared" si="38"/>
        <v>6.3940000000000001</v>
      </c>
      <c r="AC135" s="10">
        <f t="shared" si="39"/>
        <v>6.45</v>
      </c>
      <c r="AD135" s="10">
        <f t="shared" si="40"/>
        <v>0.51251999999999998</v>
      </c>
      <c r="AE135" s="12">
        <f t="shared" si="41"/>
        <v>1.3543149491643716</v>
      </c>
      <c r="AF135" s="12">
        <f t="shared" si="42"/>
        <v>0.25431999999999999</v>
      </c>
      <c r="AG135" s="12">
        <f t="shared" si="43"/>
        <v>0.10224</v>
      </c>
      <c r="AH135" s="10">
        <f t="shared" si="44"/>
        <v>1.1443201201377</v>
      </c>
      <c r="AI135" s="10">
        <f t="shared" si="45"/>
        <v>3.2434625539685</v>
      </c>
      <c r="AJ135" s="13">
        <f t="shared" si="46"/>
        <v>1.1443201201377</v>
      </c>
      <c r="AK135" s="13">
        <f t="shared" si="47"/>
        <v>3.2434625539685</v>
      </c>
    </row>
    <row r="136" spans="1:37">
      <c r="A136" s="8">
        <f>鋼床鈑!A136</f>
        <v>134</v>
      </c>
      <c r="B136" s="47" t="s">
        <v>41</v>
      </c>
      <c r="C136" s="47" t="s">
        <v>42</v>
      </c>
      <c r="D136" s="47" t="s">
        <v>234</v>
      </c>
      <c r="E136" s="48">
        <v>506760</v>
      </c>
      <c r="F136" s="49">
        <v>109646.79029999999</v>
      </c>
      <c r="G136" s="49">
        <v>224184.1594</v>
      </c>
      <c r="H136" s="49">
        <v>1332163957227.52</v>
      </c>
      <c r="I136" s="49">
        <v>3076686146439.8501</v>
      </c>
      <c r="J136" s="49">
        <v>1132858621763.0701</v>
      </c>
      <c r="K136" s="49">
        <v>3258.4119000000001</v>
      </c>
      <c r="L136" s="49">
        <v>3191.5880999999999</v>
      </c>
      <c r="M136" s="49">
        <v>2579.0281</v>
      </c>
      <c r="N136" s="49">
        <v>3670.9719</v>
      </c>
      <c r="O136" s="48">
        <v>0</v>
      </c>
      <c r="P136" s="48">
        <v>0</v>
      </c>
      <c r="Q136" s="48">
        <v>31386</v>
      </c>
      <c r="R136" s="48">
        <v>25262</v>
      </c>
      <c r="S136" s="11">
        <f>(鋼床鈑!F136+鋼床鈑!N136+鋼床鈑!O136)*鋼床鈑!L136+(鋼床鈑!I136+鋼床鈑!N136+鋼床鈑!O136)*鋼床鈑!M136</f>
        <v>102240</v>
      </c>
      <c r="T136" s="11">
        <f>(鋼床鈑!K136)*鋼床鈑!N136+(鋼床鈑!K136)*鋼床鈑!O136</f>
        <v>248560</v>
      </c>
      <c r="U136" s="11">
        <f>4*((鋼床鈑!I136+鋼床鈑!N136/2+鋼床鈑!O136/2)*(鋼床鈑!K136+鋼床鈑!L136/2+鋼床鈑!M136/2))^2/((鋼床鈑!F136+鋼床鈑!N136/2+鋼床鈑!O136/2)/鋼床鈑!L136+(鋼床鈑!I136+鋼床鈑!N136/2+鋼床鈑!O136/2)/鋼床鈑!M136+(鋼床鈑!K136+鋼床鈑!L136/2+鋼床鈑!M136/2)/鋼床鈑!N136+(鋼床鈑!K136+鋼床鈑!L136/2+鋼床鈑!M136/2)/鋼床鈑!O136)</f>
        <v>1313643092466.7979</v>
      </c>
      <c r="V136" s="12">
        <f t="shared" si="34"/>
        <v>0.35495138666642789</v>
      </c>
      <c r="W136" s="12">
        <f t="shared" si="35"/>
        <v>0.3476720121734978</v>
      </c>
      <c r="X136" s="12">
        <f t="shared" si="36"/>
        <v>1.1929634060365026</v>
      </c>
      <c r="Y136" s="12">
        <f t="shared" si="37"/>
        <v>0.83811214856748151</v>
      </c>
      <c r="Z136" s="12">
        <f t="shared" si="32"/>
        <v>1.4951566383230679</v>
      </c>
      <c r="AA136" s="12">
        <f t="shared" si="33"/>
        <v>2.4639984725499349</v>
      </c>
      <c r="AB136" s="10">
        <f t="shared" si="38"/>
        <v>6.25</v>
      </c>
      <c r="AC136" s="10">
        <f t="shared" si="39"/>
        <v>6.45</v>
      </c>
      <c r="AD136" s="10">
        <f t="shared" si="40"/>
        <v>0.50675999999999999</v>
      </c>
      <c r="AE136" s="12">
        <f t="shared" si="41"/>
        <v>1.3136430924667979</v>
      </c>
      <c r="AF136" s="12">
        <f t="shared" si="42"/>
        <v>0.24856</v>
      </c>
      <c r="AG136" s="12">
        <f t="shared" si="43"/>
        <v>0.10224</v>
      </c>
      <c r="AH136" s="10">
        <f t="shared" si="44"/>
        <v>1.1328586217630701</v>
      </c>
      <c r="AI136" s="10">
        <f t="shared" si="45"/>
        <v>3.0766861464398501</v>
      </c>
      <c r="AJ136" s="13">
        <f t="shared" si="46"/>
        <v>1.1328586217630701</v>
      </c>
      <c r="AK136" s="13">
        <f t="shared" si="47"/>
        <v>3.0766861464398501</v>
      </c>
    </row>
    <row r="137" spans="1:37">
      <c r="A137" s="8">
        <f>鋼床鈑!A137</f>
        <v>135</v>
      </c>
      <c r="B137" s="47" t="s">
        <v>41</v>
      </c>
      <c r="C137" s="47" t="s">
        <v>42</v>
      </c>
      <c r="D137" s="47" t="s">
        <v>235</v>
      </c>
      <c r="E137" s="48">
        <v>501600</v>
      </c>
      <c r="F137" s="49">
        <v>110383.7295</v>
      </c>
      <c r="G137" s="49">
        <v>219081.52059999999</v>
      </c>
      <c r="H137" s="49">
        <v>1295614471427.8301</v>
      </c>
      <c r="I137" s="49">
        <v>2931707212299.5</v>
      </c>
      <c r="J137" s="49">
        <v>1122590837361.3</v>
      </c>
      <c r="K137" s="49">
        <v>3257.9841000000001</v>
      </c>
      <c r="L137" s="49">
        <v>3192.0158999999999</v>
      </c>
      <c r="M137" s="49">
        <v>2520.5823</v>
      </c>
      <c r="N137" s="49">
        <v>3600.4177</v>
      </c>
      <c r="O137" s="48">
        <v>0</v>
      </c>
      <c r="P137" s="48">
        <v>0</v>
      </c>
      <c r="Q137" s="48">
        <v>31128</v>
      </c>
      <c r="R137" s="48">
        <v>25004</v>
      </c>
      <c r="S137" s="11">
        <f>(鋼床鈑!F137+鋼床鈑!N137+鋼床鈑!O137)*鋼床鈑!L137+(鋼床鈑!I137+鋼床鈑!N137+鋼床鈑!O137)*鋼床鈑!M137</f>
        <v>102240</v>
      </c>
      <c r="T137" s="11">
        <f>(鋼床鈑!K137)*鋼床鈑!N137+(鋼床鈑!K137)*鋼床鈑!O137</f>
        <v>243400</v>
      </c>
      <c r="U137" s="11">
        <f>4*((鋼床鈑!I137+鋼床鈑!N137/2+鋼床鈑!O137/2)*(鋼床鈑!K137+鋼床鈑!L137/2+鋼床鈑!M137/2))^2/((鋼床鈑!F137+鋼床鈑!N137/2+鋼床鈑!O137/2)/鋼床鈑!L137+(鋼床鈑!I137+鋼床鈑!N137/2+鋼床鈑!O137/2)/鋼床鈑!M137+(鋼床鈑!K137+鋼床鈑!L137/2+鋼床鈑!M137/2)/鋼床鈑!N137+(鋼床鈑!K137+鋼床鈑!L137/2+鋼床鈑!M137/2)/鋼床鈑!O137)</f>
        <v>1277343252273.624</v>
      </c>
      <c r="V137" s="12">
        <f t="shared" si="34"/>
        <v>0.35168710699758737</v>
      </c>
      <c r="W137" s="12">
        <f t="shared" si="35"/>
        <v>0.34456608838615876</v>
      </c>
      <c r="X137" s="12">
        <f t="shared" si="36"/>
        <v>1.1631071170735032</v>
      </c>
      <c r="Y137" s="12">
        <f t="shared" si="37"/>
        <v>0.81426863674720296</v>
      </c>
      <c r="Z137" s="12">
        <f t="shared" si="32"/>
        <v>1.4960013404701205</v>
      </c>
      <c r="AA137" s="12">
        <f t="shared" si="33"/>
        <v>2.4175837830951155</v>
      </c>
      <c r="AB137" s="10">
        <f t="shared" si="38"/>
        <v>6.1210000000000004</v>
      </c>
      <c r="AC137" s="10">
        <f t="shared" si="39"/>
        <v>6.45</v>
      </c>
      <c r="AD137" s="10">
        <f t="shared" si="40"/>
        <v>0.50160000000000005</v>
      </c>
      <c r="AE137" s="12">
        <f t="shared" si="41"/>
        <v>1.2773432522736241</v>
      </c>
      <c r="AF137" s="12">
        <f t="shared" si="42"/>
        <v>0.24340000000000001</v>
      </c>
      <c r="AG137" s="12">
        <f t="shared" si="43"/>
        <v>0.10224</v>
      </c>
      <c r="AH137" s="10">
        <f t="shared" si="44"/>
        <v>1.1225908373613001</v>
      </c>
      <c r="AI137" s="10">
        <f t="shared" si="45"/>
        <v>2.9317072122995</v>
      </c>
      <c r="AJ137" s="13">
        <f t="shared" si="46"/>
        <v>1.1225908373613001</v>
      </c>
      <c r="AK137" s="13">
        <f t="shared" si="47"/>
        <v>2.9317072122995</v>
      </c>
    </row>
    <row r="138" spans="1:37">
      <c r="A138" s="8">
        <f>鋼床鈑!A138</f>
        <v>136</v>
      </c>
      <c r="B138" s="47" t="s">
        <v>41</v>
      </c>
      <c r="C138" s="47" t="s">
        <v>42</v>
      </c>
      <c r="D138" s="47" t="s">
        <v>236</v>
      </c>
      <c r="E138" s="48">
        <v>496600</v>
      </c>
      <c r="F138" s="49">
        <v>111089.32249999999</v>
      </c>
      <c r="G138" s="49">
        <v>214131.56940000001</v>
      </c>
      <c r="H138" s="49">
        <v>1260292149269.3201</v>
      </c>
      <c r="I138" s="49">
        <v>2795169826178.04</v>
      </c>
      <c r="J138" s="49">
        <v>1112641255123.47</v>
      </c>
      <c r="K138" s="49">
        <v>3257.5610000000001</v>
      </c>
      <c r="L138" s="49">
        <v>3192.4389999999999</v>
      </c>
      <c r="M138" s="49">
        <v>2464.0689000000002</v>
      </c>
      <c r="N138" s="49">
        <v>3531.9310999999998</v>
      </c>
      <c r="O138" s="48">
        <v>0</v>
      </c>
      <c r="P138" s="48">
        <v>0</v>
      </c>
      <c r="Q138" s="48">
        <v>30878</v>
      </c>
      <c r="R138" s="48">
        <v>24754</v>
      </c>
      <c r="S138" s="11">
        <f>(鋼床鈑!F138+鋼床鈑!N138+鋼床鈑!O138)*鋼床鈑!L138+(鋼床鈑!I138+鋼床鈑!N138+鋼床鈑!O138)*鋼床鈑!M138</f>
        <v>102240</v>
      </c>
      <c r="T138" s="11">
        <f>(鋼床鈑!K138)*鋼床鈑!N138+(鋼床鈑!K138)*鋼床鈑!O138</f>
        <v>238400</v>
      </c>
      <c r="U138" s="11">
        <f>4*((鋼床鈑!I138+鋼床鈑!N138/2+鋼床鈑!O138/2)*(鋼床鈑!K138+鋼床鈑!L138/2+鋼床鈑!M138/2))^2/((鋼床鈑!F138+鋼床鈑!N138/2+鋼床鈑!O138/2)/鋼床鈑!L138+(鋼床鈑!I138+鋼床鈑!N138/2+鋼床鈑!O138/2)/鋼床鈑!M138+(鋼床鈑!K138+鋼床鈑!L138/2+鋼床鈑!M138/2)/鋼床鈑!N138+(鋼床鈑!K138+鋼床鈑!L138/2+鋼床鈑!M138/2)/鋼床鈑!O138)</f>
        <v>1242296335114.3655</v>
      </c>
      <c r="V138" s="12">
        <f t="shared" si="34"/>
        <v>0.34852388882715379</v>
      </c>
      <c r="W138" s="12">
        <f t="shared" si="35"/>
        <v>0.34155653727542473</v>
      </c>
      <c r="X138" s="12">
        <f t="shared" si="36"/>
        <v>1.1343716184957491</v>
      </c>
      <c r="Y138" s="12">
        <f t="shared" si="37"/>
        <v>0.79139987362098885</v>
      </c>
      <c r="Z138" s="12">
        <f t="shared" si="32"/>
        <v>1.4968360073403029</v>
      </c>
      <c r="AA138" s="12">
        <f t="shared" si="33"/>
        <v>2.3724700691713809</v>
      </c>
      <c r="AB138" s="10">
        <f t="shared" si="38"/>
        <v>5.9960000000000004</v>
      </c>
      <c r="AC138" s="10">
        <f t="shared" si="39"/>
        <v>6.45</v>
      </c>
      <c r="AD138" s="10">
        <f t="shared" si="40"/>
        <v>0.49659999999999999</v>
      </c>
      <c r="AE138" s="12">
        <f t="shared" si="41"/>
        <v>1.2422963351143654</v>
      </c>
      <c r="AF138" s="12">
        <f t="shared" si="42"/>
        <v>0.2384</v>
      </c>
      <c r="AG138" s="12">
        <f t="shared" si="43"/>
        <v>0.10224</v>
      </c>
      <c r="AH138" s="10">
        <f t="shared" si="44"/>
        <v>1.1126412551234699</v>
      </c>
      <c r="AI138" s="10">
        <f t="shared" si="45"/>
        <v>2.7951698261780402</v>
      </c>
      <c r="AJ138" s="13">
        <f t="shared" si="46"/>
        <v>1.1126412551234699</v>
      </c>
      <c r="AK138" s="13">
        <f t="shared" si="47"/>
        <v>2.7951698261780402</v>
      </c>
    </row>
    <row r="139" spans="1:37">
      <c r="A139" s="8">
        <f>鋼床鈑!A139</f>
        <v>137</v>
      </c>
      <c r="B139" s="47" t="s">
        <v>41</v>
      </c>
      <c r="C139" s="47" t="s">
        <v>42</v>
      </c>
      <c r="D139" s="47" t="s">
        <v>237</v>
      </c>
      <c r="E139" s="48">
        <v>491760</v>
      </c>
      <c r="F139" s="49">
        <v>111776.8349</v>
      </c>
      <c r="G139" s="49">
        <v>209337.95050000001</v>
      </c>
      <c r="H139" s="49">
        <v>1226250571400.8601</v>
      </c>
      <c r="I139" s="49">
        <v>2666662899239.0801</v>
      </c>
      <c r="J139" s="49">
        <v>1103009886827.5601</v>
      </c>
      <c r="K139" s="49">
        <v>3257.1433000000002</v>
      </c>
      <c r="L139" s="49">
        <v>3192.8566999999998</v>
      </c>
      <c r="M139" s="49">
        <v>2409.4798000000001</v>
      </c>
      <c r="N139" s="49">
        <v>3465.5201999999999</v>
      </c>
      <c r="O139" s="48">
        <v>0</v>
      </c>
      <c r="P139" s="48">
        <v>0</v>
      </c>
      <c r="Q139" s="48">
        <v>30636</v>
      </c>
      <c r="R139" s="48">
        <v>24512</v>
      </c>
      <c r="S139" s="11">
        <f>(鋼床鈑!F139+鋼床鈑!N139+鋼床鈑!O139)*鋼床鈑!L139+(鋼床鈑!I139+鋼床鈑!N139+鋼床鈑!O139)*鋼床鈑!M139</f>
        <v>102240</v>
      </c>
      <c r="T139" s="11">
        <f>(鋼床鈑!K139)*鋼床鈑!N139+(鋼床鈑!K139)*鋼床鈑!O139</f>
        <v>233560</v>
      </c>
      <c r="U139" s="11">
        <f>4*((鋼床鈑!I139+鋼床鈑!N139/2+鋼床鈑!O139/2)*(鋼床鈑!K139+鋼床鈑!L139/2+鋼床鈑!M139/2))^2/((鋼床鈑!F139+鋼床鈑!N139/2+鋼床鈑!O139/2)/鋼床鈑!L139+(鋼床鈑!I139+鋼床鈑!N139/2+鋼床鈑!O139/2)/鋼床鈑!M139+(鋼床鈑!K139+鋼床鈑!L139/2+鋼床鈑!M139/2)/鋼床鈑!N139+(鋼床鈑!K139+鋼床鈑!L139/2+鋼床鈑!M139/2)/鋼床鈑!O139)</f>
        <v>1208495266526.8286</v>
      </c>
      <c r="V139" s="12">
        <f t="shared" si="34"/>
        <v>0.34546175743733193</v>
      </c>
      <c r="W139" s="12">
        <f t="shared" si="35"/>
        <v>0.33864334026309495</v>
      </c>
      <c r="X139" s="12">
        <f t="shared" si="36"/>
        <v>1.1067380184050848</v>
      </c>
      <c r="Y139" s="12">
        <f t="shared" si="37"/>
        <v>0.76948415976310869</v>
      </c>
      <c r="Z139" s="12">
        <f t="shared" si="32"/>
        <v>1.4976595582735497</v>
      </c>
      <c r="AA139" s="12">
        <f t="shared" si="33"/>
        <v>2.3286673782790217</v>
      </c>
      <c r="AB139" s="10">
        <f t="shared" si="38"/>
        <v>5.875</v>
      </c>
      <c r="AC139" s="10">
        <f t="shared" si="39"/>
        <v>6.45</v>
      </c>
      <c r="AD139" s="10">
        <f t="shared" si="40"/>
        <v>0.49175999999999997</v>
      </c>
      <c r="AE139" s="12">
        <f t="shared" si="41"/>
        <v>1.2084952665268287</v>
      </c>
      <c r="AF139" s="12">
        <f t="shared" si="42"/>
        <v>0.23355999999999999</v>
      </c>
      <c r="AG139" s="12">
        <f t="shared" si="43"/>
        <v>0.10224</v>
      </c>
      <c r="AH139" s="10">
        <f t="shared" si="44"/>
        <v>1.10300988682756</v>
      </c>
      <c r="AI139" s="10">
        <f t="shared" si="45"/>
        <v>2.6666628992390802</v>
      </c>
      <c r="AJ139" s="13">
        <f t="shared" si="46"/>
        <v>1.10300988682756</v>
      </c>
      <c r="AK139" s="13">
        <f t="shared" si="47"/>
        <v>2.6666628992390802</v>
      </c>
    </row>
    <row r="140" spans="1:37">
      <c r="A140" s="8">
        <f>鋼床鈑!A140</f>
        <v>138</v>
      </c>
      <c r="B140" s="47" t="s">
        <v>41</v>
      </c>
      <c r="C140" s="47" t="s">
        <v>42</v>
      </c>
      <c r="D140" s="47" t="s">
        <v>238</v>
      </c>
      <c r="E140" s="48">
        <v>487080</v>
      </c>
      <c r="F140" s="49">
        <v>112439.3735</v>
      </c>
      <c r="G140" s="49">
        <v>204697.84789999999</v>
      </c>
      <c r="H140" s="49">
        <v>1193439928259.3899</v>
      </c>
      <c r="I140" s="49">
        <v>2545794577019.2402</v>
      </c>
      <c r="J140" s="49">
        <v>1093696744505.46</v>
      </c>
      <c r="K140" s="49">
        <v>3256.7314999999999</v>
      </c>
      <c r="L140" s="49">
        <v>3193.2685000000001</v>
      </c>
      <c r="M140" s="49">
        <v>2356.8069999999998</v>
      </c>
      <c r="N140" s="49">
        <v>3401.1930000000002</v>
      </c>
      <c r="O140" s="48">
        <v>0</v>
      </c>
      <c r="P140" s="48">
        <v>0</v>
      </c>
      <c r="Q140" s="48">
        <v>30402</v>
      </c>
      <c r="R140" s="48">
        <v>24278</v>
      </c>
      <c r="S140" s="11">
        <f>(鋼床鈑!F140+鋼床鈑!N140+鋼床鈑!O140)*鋼床鈑!L140+(鋼床鈑!I140+鋼床鈑!N140+鋼床鈑!O140)*鋼床鈑!M140</f>
        <v>102240</v>
      </c>
      <c r="T140" s="11">
        <f>(鋼床鈑!K140)*鋼床鈑!N140+(鋼床鈑!K140)*鋼床鈑!O140</f>
        <v>228880</v>
      </c>
      <c r="U140" s="11">
        <f>4*((鋼床鈑!I140+鋼床鈑!N140/2+鋼床鈑!O140/2)*(鋼床鈑!K140+鋼床鈑!L140/2+鋼床鈑!M140/2))^2/((鋼床鈑!F140+鋼床鈑!N140/2+鋼床鈑!O140/2)/鋼床鈑!L140+(鋼床鈑!I140+鋼床鈑!N140/2+鋼床鈑!O140/2)/鋼床鈑!M140+(鋼床鈑!K140+鋼床鈑!L140/2+鋼床鈑!M140/2)/鋼床鈑!N140+(鋼床鈑!K140+鋼床鈑!L140/2+鋼床鈑!M140/2)/鋼床鈑!O140)</f>
        <v>1175932652970.5469</v>
      </c>
      <c r="V140" s="12">
        <f t="shared" si="34"/>
        <v>0.34250071502144586</v>
      </c>
      <c r="W140" s="12">
        <f t="shared" si="35"/>
        <v>0.33582650105035061</v>
      </c>
      <c r="X140" s="12">
        <f t="shared" si="36"/>
        <v>1.0801879733975843</v>
      </c>
      <c r="Y140" s="12">
        <f t="shared" si="37"/>
        <v>0.74850047528006791</v>
      </c>
      <c r="Z140" s="12">
        <f t="shared" si="32"/>
        <v>1.4984708915909677</v>
      </c>
      <c r="AA140" s="12">
        <f t="shared" si="33"/>
        <v>2.2861858363587806</v>
      </c>
      <c r="AB140" s="10">
        <f t="shared" si="38"/>
        <v>5.758</v>
      </c>
      <c r="AC140" s="10">
        <f t="shared" si="39"/>
        <v>6.45</v>
      </c>
      <c r="AD140" s="10">
        <f t="shared" si="40"/>
        <v>0.48708000000000001</v>
      </c>
      <c r="AE140" s="12">
        <f t="shared" si="41"/>
        <v>1.1759326529705469</v>
      </c>
      <c r="AF140" s="12">
        <f t="shared" si="42"/>
        <v>0.22888</v>
      </c>
      <c r="AG140" s="12">
        <f t="shared" si="43"/>
        <v>0.10224</v>
      </c>
      <c r="AH140" s="10">
        <f t="shared" si="44"/>
        <v>1.09369674450546</v>
      </c>
      <c r="AI140" s="10">
        <f t="shared" si="45"/>
        <v>2.5457945770192403</v>
      </c>
      <c r="AJ140" s="13">
        <f t="shared" si="46"/>
        <v>1.09369674450546</v>
      </c>
      <c r="AK140" s="13">
        <f t="shared" si="47"/>
        <v>2.5457945770192403</v>
      </c>
    </row>
    <row r="141" spans="1:37">
      <c r="A141" s="8">
        <f>鋼床鈑!A141</f>
        <v>139</v>
      </c>
      <c r="B141" s="47" t="s">
        <v>41</v>
      </c>
      <c r="C141" s="47" t="s">
        <v>42</v>
      </c>
      <c r="D141" s="47" t="s">
        <v>239</v>
      </c>
      <c r="E141" s="48">
        <v>482520</v>
      </c>
      <c r="F141" s="49">
        <v>113075.18459999999</v>
      </c>
      <c r="G141" s="49">
        <v>200173.65470000001</v>
      </c>
      <c r="H141" s="49">
        <v>1161568128293.02</v>
      </c>
      <c r="I141" s="49">
        <v>2431199970047.1201</v>
      </c>
      <c r="J141" s="49">
        <v>1084622238780.38</v>
      </c>
      <c r="K141" s="49">
        <v>3256.3226</v>
      </c>
      <c r="L141" s="49">
        <v>3193.6774</v>
      </c>
      <c r="M141" s="49">
        <v>2305.5936000000002</v>
      </c>
      <c r="N141" s="49">
        <v>3338.4063999999998</v>
      </c>
      <c r="O141" s="48">
        <v>0</v>
      </c>
      <c r="P141" s="48">
        <v>0</v>
      </c>
      <c r="Q141" s="48">
        <v>30174</v>
      </c>
      <c r="R141" s="48">
        <v>24050</v>
      </c>
      <c r="S141" s="11">
        <f>(鋼床鈑!F141+鋼床鈑!N141+鋼床鈑!O141)*鋼床鈑!L141+(鋼床鈑!I141+鋼床鈑!N141+鋼床鈑!O141)*鋼床鈑!M141</f>
        <v>102240</v>
      </c>
      <c r="T141" s="11">
        <f>(鋼床鈑!K141)*鋼床鈑!N141+(鋼床鈑!K141)*鋼床鈑!O141</f>
        <v>224320</v>
      </c>
      <c r="U141" s="11">
        <f>4*((鋼床鈑!I141+鋼床鈑!N141/2+鋼床鈑!O141/2)*(鋼床鈑!K141+鋼床鈑!L141/2+鋼床鈑!M141/2))^2/((鋼床鈑!F141+鋼床鈑!N141/2+鋼床鈑!O141/2)/鋼床鈑!L141+(鋼床鈑!I141+鋼床鈑!N141/2+鋼床鈑!O141/2)/鋼床鈑!M141+(鋼床鈑!K141+鋼床鈑!L141/2+鋼床鈑!M141/2)/鋼床鈑!N141+(鋼床鈑!K141+鋼床鈑!L141/2+鋼床鈑!M141/2)/鋼床鈑!O141)</f>
        <v>1144324049337.5007</v>
      </c>
      <c r="V141" s="12">
        <f t="shared" si="34"/>
        <v>0.33961546610198645</v>
      </c>
      <c r="W141" s="12">
        <f t="shared" si="35"/>
        <v>0.33308193690034893</v>
      </c>
      <c r="X141" s="12">
        <f t="shared" si="36"/>
        <v>1.0544789723770571</v>
      </c>
      <c r="Y141" s="12">
        <f t="shared" si="37"/>
        <v>0.72825165026256855</v>
      </c>
      <c r="Z141" s="12">
        <f t="shared" si="32"/>
        <v>1.499276013335747</v>
      </c>
      <c r="AA141" s="12">
        <f t="shared" si="33"/>
        <v>2.2446709253012966</v>
      </c>
      <c r="AB141" s="10">
        <f t="shared" si="38"/>
        <v>5.6440000000000001</v>
      </c>
      <c r="AC141" s="10">
        <f t="shared" si="39"/>
        <v>6.45</v>
      </c>
      <c r="AD141" s="10">
        <f t="shared" si="40"/>
        <v>0.48252</v>
      </c>
      <c r="AE141" s="12">
        <f t="shared" si="41"/>
        <v>1.1443240493375006</v>
      </c>
      <c r="AF141" s="12">
        <f t="shared" si="42"/>
        <v>0.22431999999999999</v>
      </c>
      <c r="AG141" s="12">
        <f t="shared" si="43"/>
        <v>0.10224</v>
      </c>
      <c r="AH141" s="10">
        <f t="shared" si="44"/>
        <v>1.0846222387803801</v>
      </c>
      <c r="AI141" s="10">
        <f t="shared" si="45"/>
        <v>2.4311999700471203</v>
      </c>
      <c r="AJ141" s="13">
        <f t="shared" si="46"/>
        <v>1.0846222387803801</v>
      </c>
      <c r="AK141" s="13">
        <f t="shared" si="47"/>
        <v>2.4311999700471203</v>
      </c>
    </row>
    <row r="142" spans="1:37">
      <c r="A142" s="8">
        <f>鋼床鈑!A142</f>
        <v>140</v>
      </c>
      <c r="B142" s="47" t="s">
        <v>41</v>
      </c>
      <c r="C142" s="47" t="s">
        <v>42</v>
      </c>
      <c r="D142" s="47" t="s">
        <v>240</v>
      </c>
      <c r="E142" s="48">
        <v>478160</v>
      </c>
      <c r="F142" s="49">
        <v>113687.8437</v>
      </c>
      <c r="G142" s="49">
        <v>195845.8077</v>
      </c>
      <c r="H142" s="49">
        <v>1131227829640.54</v>
      </c>
      <c r="I142" s="49">
        <v>2324533218520.8101</v>
      </c>
      <c r="J142" s="49">
        <v>1075945583981.02</v>
      </c>
      <c r="K142" s="49">
        <v>3255.9243999999999</v>
      </c>
      <c r="L142" s="49">
        <v>3194.0756000000001</v>
      </c>
      <c r="M142" s="49">
        <v>2256.7294999999999</v>
      </c>
      <c r="N142" s="49">
        <v>3278.2705000000001</v>
      </c>
      <c r="O142" s="48">
        <v>0</v>
      </c>
      <c r="P142" s="48">
        <v>0</v>
      </c>
      <c r="Q142" s="48">
        <v>29956</v>
      </c>
      <c r="R142" s="48">
        <v>23832</v>
      </c>
      <c r="S142" s="11">
        <f>(鋼床鈑!F142+鋼床鈑!N142+鋼床鈑!O142)*鋼床鈑!L142+(鋼床鈑!I142+鋼床鈑!N142+鋼床鈑!O142)*鋼床鈑!M142</f>
        <v>102240</v>
      </c>
      <c r="T142" s="11">
        <f>(鋼床鈑!K142)*鋼床鈑!N142+(鋼床鈑!K142)*鋼床鈑!O142</f>
        <v>219960</v>
      </c>
      <c r="U142" s="11">
        <f>4*((鋼床鈑!I142+鋼床鈑!N142/2+鋼床鈑!O142/2)*(鋼床鈑!K142+鋼床鈑!L142/2+鋼床鈑!M142/2))^2/((鋼床鈑!F142+鋼床鈑!N142/2+鋼床鈑!O142/2)/鋼床鈑!L142+(鋼床鈑!I142+鋼床鈑!N142/2+鋼床鈑!O142/2)/鋼床鈑!M142+(鋼床鈑!K142+鋼床鈑!L142/2+鋼床鈑!M142/2)/鋼床鈑!N142+(鋼床鈑!K142+鋼床鈑!L142/2+鋼床鈑!M142/2)/鋼床鈑!O142)</f>
        <v>1114215994216.468</v>
      </c>
      <c r="V142" s="12">
        <f t="shared" si="34"/>
        <v>0.33685664296143142</v>
      </c>
      <c r="W142" s="12">
        <f t="shared" si="35"/>
        <v>0.33045779072174403</v>
      </c>
      <c r="X142" s="12">
        <f t="shared" si="36"/>
        <v>1.0300451243805737</v>
      </c>
      <c r="Y142" s="12">
        <f t="shared" si="37"/>
        <v>0.70907303668834221</v>
      </c>
      <c r="Z142" s="12">
        <f t="shared" si="32"/>
        <v>1.5000596608381085</v>
      </c>
      <c r="AA142" s="12">
        <f t="shared" si="33"/>
        <v>2.2048612098978442</v>
      </c>
      <c r="AB142" s="10">
        <f t="shared" si="38"/>
        <v>5.5350000000000001</v>
      </c>
      <c r="AC142" s="10">
        <f t="shared" si="39"/>
        <v>6.45</v>
      </c>
      <c r="AD142" s="10">
        <f t="shared" si="40"/>
        <v>0.47815999999999997</v>
      </c>
      <c r="AE142" s="12">
        <f t="shared" si="41"/>
        <v>1.114215994216468</v>
      </c>
      <c r="AF142" s="12">
        <f t="shared" si="42"/>
        <v>0.21995999999999999</v>
      </c>
      <c r="AG142" s="12">
        <f t="shared" si="43"/>
        <v>0.10224</v>
      </c>
      <c r="AH142" s="10">
        <f t="shared" si="44"/>
        <v>1.0759455839810199</v>
      </c>
      <c r="AI142" s="10">
        <f t="shared" si="45"/>
        <v>2.3245332185208101</v>
      </c>
      <c r="AJ142" s="13">
        <f t="shared" si="46"/>
        <v>1.0759455839810199</v>
      </c>
      <c r="AK142" s="13">
        <f t="shared" si="47"/>
        <v>2.3245332185208101</v>
      </c>
    </row>
    <row r="143" spans="1:37">
      <c r="A143" s="8">
        <f>鋼床鈑!A143</f>
        <v>141</v>
      </c>
      <c r="B143" s="47" t="s">
        <v>41</v>
      </c>
      <c r="C143" s="47" t="s">
        <v>42</v>
      </c>
      <c r="D143" s="47" t="s">
        <v>241</v>
      </c>
      <c r="E143" s="48">
        <v>473920</v>
      </c>
      <c r="F143" s="49">
        <v>114281.32369999999</v>
      </c>
      <c r="G143" s="49">
        <v>191634.2647</v>
      </c>
      <c r="H143" s="49">
        <v>1101828805723.6399</v>
      </c>
      <c r="I143" s="49">
        <v>2223497131008.6201</v>
      </c>
      <c r="J143" s="49">
        <v>1067507588074.35</v>
      </c>
      <c r="K143" s="49">
        <v>3255.53</v>
      </c>
      <c r="L143" s="49">
        <v>3194.47</v>
      </c>
      <c r="M143" s="49">
        <v>2209.3098</v>
      </c>
      <c r="N143" s="49">
        <v>3219.6902</v>
      </c>
      <c r="O143" s="48">
        <v>0</v>
      </c>
      <c r="P143" s="48">
        <v>0</v>
      </c>
      <c r="Q143" s="48">
        <v>29744</v>
      </c>
      <c r="R143" s="48">
        <v>23620</v>
      </c>
      <c r="S143" s="11">
        <f>(鋼床鈑!F143+鋼床鈑!N143+鋼床鈑!O143)*鋼床鈑!L143+(鋼床鈑!I143+鋼床鈑!N143+鋼床鈑!O143)*鋼床鈑!M143</f>
        <v>102240</v>
      </c>
      <c r="T143" s="11">
        <f>(鋼床鈑!K143)*鋼床鈑!N143+(鋼床鈑!K143)*鋼床鈑!O143</f>
        <v>215720</v>
      </c>
      <c r="U143" s="11">
        <f>4*((鋼床鈑!I143+鋼床鈑!N143/2+鋼床鈑!O143/2)*(鋼床鈑!K143+鋼床鈑!L143/2+鋼床鈑!M143/2))^2/((鋼床鈑!F143+鋼床鈑!N143/2+鋼床鈑!O143/2)/鋼床鈑!L143+(鋼床鈑!I143+鋼床鈑!N143/2+鋼床鈑!O143/2)/鋼床鈑!M143+(鋼床鈑!K143+鋼床鈑!L143/2+鋼床鈑!M143/2)/鋼床鈑!N143+(鋼床鈑!K143+鋼床鈑!L143/2+鋼床鈑!M143/2)/鋼床鈑!O143)</f>
        <v>1085047784052.6593</v>
      </c>
      <c r="V143" s="12">
        <f t="shared" si="34"/>
        <v>0.33417361505174564</v>
      </c>
      <c r="W143" s="12">
        <f t="shared" si="35"/>
        <v>0.32790592870418944</v>
      </c>
      <c r="X143" s="12">
        <f t="shared" si="36"/>
        <v>1.0064216123101521</v>
      </c>
      <c r="Y143" s="12">
        <f t="shared" si="37"/>
        <v>0.69059350213527371</v>
      </c>
      <c r="Z143" s="12">
        <f t="shared" si="32"/>
        <v>1.500835061892648</v>
      </c>
      <c r="AA143" s="12">
        <f t="shared" si="33"/>
        <v>2.1660364881029452</v>
      </c>
      <c r="AB143" s="10">
        <f t="shared" si="38"/>
        <v>5.4290000000000003</v>
      </c>
      <c r="AC143" s="10">
        <f t="shared" si="39"/>
        <v>6.45</v>
      </c>
      <c r="AD143" s="10">
        <f t="shared" si="40"/>
        <v>0.47392000000000001</v>
      </c>
      <c r="AE143" s="12">
        <f t="shared" si="41"/>
        <v>1.0850477840526593</v>
      </c>
      <c r="AF143" s="12">
        <f t="shared" si="42"/>
        <v>0.21572</v>
      </c>
      <c r="AG143" s="12">
        <f t="shared" si="43"/>
        <v>0.10224</v>
      </c>
      <c r="AH143" s="10">
        <f t="shared" si="44"/>
        <v>1.0675075880743499</v>
      </c>
      <c r="AI143" s="10">
        <f t="shared" si="45"/>
        <v>2.22349713100862</v>
      </c>
      <c r="AJ143" s="13">
        <f t="shared" si="46"/>
        <v>1.0675075880743499</v>
      </c>
      <c r="AK143" s="13">
        <f t="shared" si="47"/>
        <v>2.22349713100862</v>
      </c>
    </row>
    <row r="144" spans="1:37">
      <c r="A144" s="8">
        <f>鋼床鈑!A144</f>
        <v>142</v>
      </c>
      <c r="B144" s="47" t="s">
        <v>41</v>
      </c>
      <c r="C144" s="47" t="s">
        <v>42</v>
      </c>
      <c r="D144" s="47" t="s">
        <v>242</v>
      </c>
      <c r="E144" s="48">
        <v>469880</v>
      </c>
      <c r="F144" s="49">
        <v>114836.63280000001</v>
      </c>
      <c r="G144" s="49">
        <v>187619.14449999999</v>
      </c>
      <c r="H144" s="49">
        <v>1073901373482.6801</v>
      </c>
      <c r="I144" s="49">
        <v>2129676362687.1101</v>
      </c>
      <c r="J144" s="49">
        <v>1059467471305.36</v>
      </c>
      <c r="K144" s="49">
        <v>3255.1477</v>
      </c>
      <c r="L144" s="49">
        <v>3194.8523</v>
      </c>
      <c r="M144" s="49">
        <v>2164.2206000000001</v>
      </c>
      <c r="N144" s="49">
        <v>3163.7793999999999</v>
      </c>
      <c r="O144" s="48">
        <v>0</v>
      </c>
      <c r="P144" s="48">
        <v>0</v>
      </c>
      <c r="Q144" s="48">
        <v>29542</v>
      </c>
      <c r="R144" s="48">
        <v>23418</v>
      </c>
      <c r="S144" s="11">
        <f>(鋼床鈑!F144+鋼床鈑!N144+鋼床鈑!O144)*鋼床鈑!L144+(鋼床鈑!I144+鋼床鈑!N144+鋼床鈑!O144)*鋼床鈑!M144</f>
        <v>102240</v>
      </c>
      <c r="T144" s="11">
        <f>(鋼床鈑!K144)*鋼床鈑!N144+(鋼床鈑!K144)*鋼床鈑!O144</f>
        <v>211680</v>
      </c>
      <c r="U144" s="11">
        <f>4*((鋼床鈑!I144+鋼床鈑!N144/2+鋼床鈑!O144/2)*(鋼床鈑!K144+鋼床鈑!L144/2+鋼床鈑!M144/2))^2/((鋼床鈑!F144+鋼床鈑!N144/2+鋼床鈑!O144/2)/鋼床鈑!L144+(鋼床鈑!I144+鋼床鈑!N144/2+鋼床鈑!O144/2)/鋼床鈑!M144+(鋼床鈑!K144+鋼床鈑!L144/2+鋼床鈑!M144/2)/鋼床鈑!N144+(鋼床鈑!K144+鋼床鈑!L144/2+鋼床鈑!M144/2)/鋼床鈑!O144)</f>
        <v>1057361229071.618</v>
      </c>
      <c r="V144" s="12">
        <f t="shared" si="34"/>
        <v>0.3316170426111279</v>
      </c>
      <c r="W144" s="12">
        <f t="shared" si="35"/>
        <v>0.32547446965474408</v>
      </c>
      <c r="X144" s="12">
        <f t="shared" si="36"/>
        <v>0.98403848604301702</v>
      </c>
      <c r="Y144" s="12">
        <f t="shared" si="37"/>
        <v>0.67314312833793355</v>
      </c>
      <c r="Z144" s="12">
        <f t="shared" si="32"/>
        <v>1.5015864254255857</v>
      </c>
      <c r="AA144" s="12">
        <f t="shared" si="33"/>
        <v>2.1289395265928719</v>
      </c>
      <c r="AB144" s="10">
        <f t="shared" si="38"/>
        <v>5.3280000000000003</v>
      </c>
      <c r="AC144" s="10">
        <f t="shared" si="39"/>
        <v>6.45</v>
      </c>
      <c r="AD144" s="10">
        <f t="shared" si="40"/>
        <v>0.46988000000000002</v>
      </c>
      <c r="AE144" s="12">
        <f t="shared" si="41"/>
        <v>1.0573612290716181</v>
      </c>
      <c r="AF144" s="12">
        <f t="shared" si="42"/>
        <v>0.21168000000000001</v>
      </c>
      <c r="AG144" s="12">
        <f t="shared" si="43"/>
        <v>0.10224</v>
      </c>
      <c r="AH144" s="10">
        <f t="shared" si="44"/>
        <v>1.05946747130536</v>
      </c>
      <c r="AI144" s="10">
        <f t="shared" si="45"/>
        <v>2.12967636268711</v>
      </c>
      <c r="AJ144" s="13">
        <f t="shared" si="46"/>
        <v>1.05946747130536</v>
      </c>
      <c r="AK144" s="13">
        <f t="shared" si="47"/>
        <v>2.12967636268711</v>
      </c>
    </row>
    <row r="145" spans="1:37">
      <c r="A145" s="8">
        <f>鋼床鈑!A145</f>
        <v>143</v>
      </c>
      <c r="B145" s="47" t="s">
        <v>41</v>
      </c>
      <c r="C145" s="47" t="s">
        <v>42</v>
      </c>
      <c r="D145" s="47" t="s">
        <v>243</v>
      </c>
      <c r="E145" s="48">
        <v>465960</v>
      </c>
      <c r="F145" s="49">
        <v>115380.2065</v>
      </c>
      <c r="G145" s="49">
        <v>183720.98490000001</v>
      </c>
      <c r="H145" s="49">
        <v>1046917278557.66</v>
      </c>
      <c r="I145" s="49">
        <v>2040906696435.3999</v>
      </c>
      <c r="J145" s="49">
        <v>1051666036318.11</v>
      </c>
      <c r="K145" s="49">
        <v>3254.7703999999999</v>
      </c>
      <c r="L145" s="49">
        <v>3195.2296000000001</v>
      </c>
      <c r="M145" s="49">
        <v>2120.5603000000001</v>
      </c>
      <c r="N145" s="49">
        <v>3109.4396999999999</v>
      </c>
      <c r="O145" s="48">
        <v>0</v>
      </c>
      <c r="P145" s="48">
        <v>0</v>
      </c>
      <c r="Q145" s="48">
        <v>29346</v>
      </c>
      <c r="R145" s="48">
        <v>23222</v>
      </c>
      <c r="S145" s="11">
        <f>(鋼床鈑!F145+鋼床鈑!N145+鋼床鈑!O145)*鋼床鈑!L145+(鋼床鈑!I145+鋼床鈑!N145+鋼床鈑!O145)*鋼床鈑!M145</f>
        <v>102240</v>
      </c>
      <c r="T145" s="11">
        <f>(鋼床鈑!K145)*鋼床鈑!N145+(鋼床鈑!K145)*鋼床鈑!O145</f>
        <v>207760</v>
      </c>
      <c r="U145" s="11">
        <f>4*((鋼床鈑!I145+鋼床鈑!N145/2+鋼床鈑!O145/2)*(鋼床鈑!K145+鋼床鈑!L145/2+鋼床鈑!M145/2))^2/((鋼床鈑!F145+鋼床鈑!N145/2+鋼床鈑!O145/2)/鋼床鈑!L145+(鋼床鈑!I145+鋼床鈑!N145/2+鋼床鈑!O145/2)/鋼床鈑!M145+(鋼床鈑!K145+鋼床鈑!L145/2+鋼床鈑!M145/2)/鋼床鈑!N145+(鋼床鈑!K145+鋼床鈑!L145/2+鋼床鈑!M145/2)/鋼床鈑!O145)</f>
        <v>1030599323349.5139</v>
      </c>
      <c r="V145" s="12">
        <f t="shared" si="34"/>
        <v>0.32913629628309338</v>
      </c>
      <c r="W145" s="12">
        <f t="shared" si="35"/>
        <v>0.32311527606313184</v>
      </c>
      <c r="X145" s="12">
        <f t="shared" si="36"/>
        <v>0.9624374729807964</v>
      </c>
      <c r="Y145" s="12">
        <f t="shared" si="37"/>
        <v>0.65635834534286031</v>
      </c>
      <c r="Z145" s="12">
        <f t="shared" si="32"/>
        <v>1.5023274617109035</v>
      </c>
      <c r="AA145" s="12">
        <f t="shared" si="33"/>
        <v>2.0928459259948435</v>
      </c>
      <c r="AB145" s="10">
        <f t="shared" si="38"/>
        <v>5.23</v>
      </c>
      <c r="AC145" s="10">
        <f t="shared" si="39"/>
        <v>6.45</v>
      </c>
      <c r="AD145" s="10">
        <f t="shared" si="40"/>
        <v>0.46595999999999999</v>
      </c>
      <c r="AE145" s="12">
        <f t="shared" si="41"/>
        <v>1.0305993233495139</v>
      </c>
      <c r="AF145" s="12">
        <f t="shared" si="42"/>
        <v>0.20776</v>
      </c>
      <c r="AG145" s="12">
        <f t="shared" si="43"/>
        <v>0.10224</v>
      </c>
      <c r="AH145" s="10">
        <f t="shared" si="44"/>
        <v>1.0516660363181101</v>
      </c>
      <c r="AI145" s="10">
        <f t="shared" si="45"/>
        <v>2.0409066964353997</v>
      </c>
      <c r="AJ145" s="13">
        <f t="shared" si="46"/>
        <v>1.0516660363181101</v>
      </c>
      <c r="AK145" s="13">
        <f t="shared" si="47"/>
        <v>2.0409066964353997</v>
      </c>
    </row>
    <row r="146" spans="1:37">
      <c r="A146" s="8">
        <f>鋼床鈑!A146</f>
        <v>144</v>
      </c>
      <c r="B146" s="47" t="s">
        <v>41</v>
      </c>
      <c r="C146" s="47" t="s">
        <v>42</v>
      </c>
      <c r="D146" s="47" t="s">
        <v>244</v>
      </c>
      <c r="E146" s="48">
        <v>462200</v>
      </c>
      <c r="F146" s="49">
        <v>115891.60550000001</v>
      </c>
      <c r="G146" s="49">
        <v>179979.50880000001</v>
      </c>
      <c r="H146" s="49">
        <v>1021109175319.21</v>
      </c>
      <c r="I146" s="49">
        <v>1957837552217.4099</v>
      </c>
      <c r="J146" s="49">
        <v>1044182900504.84</v>
      </c>
      <c r="K146" s="49">
        <v>3254.4023999999999</v>
      </c>
      <c r="L146" s="49">
        <v>3195.5976000000001</v>
      </c>
      <c r="M146" s="49">
        <v>2078.7671999999998</v>
      </c>
      <c r="N146" s="49">
        <v>3057.2328000000002</v>
      </c>
      <c r="O146" s="48">
        <v>0</v>
      </c>
      <c r="P146" s="48">
        <v>0</v>
      </c>
      <c r="Q146" s="48">
        <v>29158</v>
      </c>
      <c r="R146" s="48">
        <v>23034</v>
      </c>
      <c r="S146" s="11">
        <f>(鋼床鈑!F146+鋼床鈑!N146+鋼床鈑!O146)*鋼床鈑!L146+(鋼床鈑!I146+鋼床鈑!N146+鋼床鈑!O146)*鋼床鈑!M146</f>
        <v>102240</v>
      </c>
      <c r="T146" s="11">
        <f>(鋼床鈑!K146)*鋼床鈑!N146+(鋼床鈑!K146)*鋼床鈑!O146</f>
        <v>204000</v>
      </c>
      <c r="U146" s="11">
        <f>4*((鋼床鈑!I146+鋼床鈑!N146/2+鋼床鈑!O146/2)*(鋼床鈑!K146+鋼床鈑!L146/2+鋼床鈑!M146/2))^2/((鋼床鈑!F146+鋼床鈑!N146/2+鋼床鈑!O146/2)/鋼床鈑!L146+(鋼床鈑!I146+鋼床鈑!N146/2+鋼床鈑!O146/2)/鋼床鈑!M146+(鋼床鈑!K146+鋼床鈑!L146/2+鋼床鈑!M146/2)/鋼床鈑!N146+(鋼床鈑!K146+鋼床鈑!L146/2+鋼床鈑!M146/2)/鋼床鈑!O146)</f>
        <v>1005027736409.6255</v>
      </c>
      <c r="V146" s="12">
        <f t="shared" si="34"/>
        <v>0.32675669192668061</v>
      </c>
      <c r="W146" s="12">
        <f t="shared" si="35"/>
        <v>0.32085242455107577</v>
      </c>
      <c r="X146" s="12">
        <f t="shared" si="36"/>
        <v>0.9418262671343911</v>
      </c>
      <c r="Y146" s="12">
        <f t="shared" si="37"/>
        <v>0.64039531180530629</v>
      </c>
      <c r="Z146" s="12">
        <f t="shared" si="32"/>
        <v>1.5030496191857408</v>
      </c>
      <c r="AA146" s="12">
        <f t="shared" si="33"/>
        <v>2.0581326226198597</v>
      </c>
      <c r="AB146" s="10">
        <f t="shared" si="38"/>
        <v>5.1360000000000001</v>
      </c>
      <c r="AC146" s="10">
        <f t="shared" si="39"/>
        <v>6.45</v>
      </c>
      <c r="AD146" s="10">
        <f t="shared" si="40"/>
        <v>0.4622</v>
      </c>
      <c r="AE146" s="12">
        <f t="shared" si="41"/>
        <v>1.0050277364096254</v>
      </c>
      <c r="AF146" s="12">
        <f t="shared" si="42"/>
        <v>0.20399999999999999</v>
      </c>
      <c r="AG146" s="12">
        <f t="shared" si="43"/>
        <v>0.10224</v>
      </c>
      <c r="AH146" s="10">
        <f t="shared" si="44"/>
        <v>1.04418290050484</v>
      </c>
      <c r="AI146" s="10">
        <f t="shared" si="45"/>
        <v>1.9578375522174098</v>
      </c>
      <c r="AJ146" s="13">
        <f t="shared" si="46"/>
        <v>1.04418290050484</v>
      </c>
      <c r="AK146" s="13">
        <f t="shared" si="47"/>
        <v>1.9578375522174098</v>
      </c>
    </row>
    <row r="147" spans="1:37">
      <c r="A147" s="8">
        <f>鋼床鈑!A147</f>
        <v>145</v>
      </c>
      <c r="B147" s="47" t="s">
        <v>41</v>
      </c>
      <c r="C147" s="47" t="s">
        <v>42</v>
      </c>
      <c r="D147" s="47" t="s">
        <v>245</v>
      </c>
      <c r="E147" s="48">
        <v>458600</v>
      </c>
      <c r="F147" s="49">
        <v>116386.65730000001</v>
      </c>
      <c r="G147" s="49">
        <v>176396.57569999999</v>
      </c>
      <c r="H147" s="49">
        <v>996512441244.62903</v>
      </c>
      <c r="I147" s="49">
        <v>1880193132005.26</v>
      </c>
      <c r="J147" s="49">
        <v>1037018076848.1</v>
      </c>
      <c r="K147" s="49">
        <v>3254.0445</v>
      </c>
      <c r="L147" s="49">
        <v>3195.9555</v>
      </c>
      <c r="M147" s="49">
        <v>2038.8325</v>
      </c>
      <c r="N147" s="49">
        <v>3007.1675</v>
      </c>
      <c r="O147" s="48">
        <v>0</v>
      </c>
      <c r="P147" s="48">
        <v>0</v>
      </c>
      <c r="Q147" s="48">
        <v>28978</v>
      </c>
      <c r="R147" s="48">
        <v>22854</v>
      </c>
      <c r="S147" s="11">
        <f>(鋼床鈑!F147+鋼床鈑!N147+鋼床鈑!O147)*鋼床鈑!L147+(鋼床鈑!I147+鋼床鈑!N147+鋼床鈑!O147)*鋼床鈑!M147</f>
        <v>102240</v>
      </c>
      <c r="T147" s="11">
        <f>(鋼床鈑!K147)*鋼床鈑!N147+(鋼床鈑!K147)*鋼床鈑!O147</f>
        <v>200400</v>
      </c>
      <c r="U147" s="11">
        <f>4*((鋼床鈑!I147+鋼床鈑!N147/2+鋼床鈑!O147/2)*(鋼床鈑!K147+鋼床鈑!L147/2+鋼床鈑!M147/2))^2/((鋼床鈑!F147+鋼床鈑!N147/2+鋼床鈑!O147/2)/鋼床鈑!L147+(鋼床鈑!I147+鋼床鈑!N147/2+鋼床鈑!O147/2)/鋼床鈑!M147+(鋼床鈑!K147+鋼床鈑!L147/2+鋼床鈑!M147/2)/鋼床鈑!N147+(鋼床鈑!K147+鋼床鈑!L147/2+鋼床鈑!M147/2)/鋼床鈑!O147)</f>
        <v>980637310805.92651</v>
      </c>
      <c r="V147" s="12">
        <f t="shared" si="34"/>
        <v>0.32447825911471539</v>
      </c>
      <c r="W147" s="12">
        <f t="shared" si="35"/>
        <v>0.31868589284753168</v>
      </c>
      <c r="X147" s="12">
        <f t="shared" si="36"/>
        <v>0.92219107357041852</v>
      </c>
      <c r="Y147" s="12">
        <f t="shared" si="37"/>
        <v>0.62523724801004932</v>
      </c>
      <c r="Z147" s="12">
        <f t="shared" si="32"/>
        <v>1.5037517239821196</v>
      </c>
      <c r="AA147" s="12">
        <f t="shared" si="33"/>
        <v>2.0248096678521676</v>
      </c>
      <c r="AB147" s="10">
        <f t="shared" si="38"/>
        <v>5.0460000000000003</v>
      </c>
      <c r="AC147" s="10">
        <f t="shared" si="39"/>
        <v>6.45</v>
      </c>
      <c r="AD147" s="10">
        <f t="shared" si="40"/>
        <v>0.45860000000000001</v>
      </c>
      <c r="AE147" s="12">
        <f t="shared" si="41"/>
        <v>0.98063731080592653</v>
      </c>
      <c r="AF147" s="12">
        <f t="shared" si="42"/>
        <v>0.20039999999999999</v>
      </c>
      <c r="AG147" s="12">
        <f t="shared" si="43"/>
        <v>0.10224</v>
      </c>
      <c r="AH147" s="10">
        <f t="shared" si="44"/>
        <v>1.0370180768480999</v>
      </c>
      <c r="AI147" s="10">
        <f t="shared" si="45"/>
        <v>1.8801931320052601</v>
      </c>
      <c r="AJ147" s="13">
        <f t="shared" si="46"/>
        <v>1.0370180768480999</v>
      </c>
      <c r="AK147" s="13">
        <f t="shared" si="47"/>
        <v>1.8801931320052601</v>
      </c>
    </row>
    <row r="148" spans="1:37">
      <c r="A148" s="8">
        <f>鋼床鈑!A148</f>
        <v>146</v>
      </c>
      <c r="B148" s="47" t="s">
        <v>41</v>
      </c>
      <c r="C148" s="47" t="s">
        <v>42</v>
      </c>
      <c r="D148" s="47" t="s">
        <v>246</v>
      </c>
      <c r="E148" s="48">
        <v>455120</v>
      </c>
      <c r="F148" s="49">
        <v>116854.56819999999</v>
      </c>
      <c r="G148" s="49">
        <v>172930.7746</v>
      </c>
      <c r="H148" s="49">
        <v>972798803191.26099</v>
      </c>
      <c r="I148" s="49">
        <v>1806879790915.1799</v>
      </c>
      <c r="J148" s="49">
        <v>1030091967206.64</v>
      </c>
      <c r="K148" s="49">
        <v>3253.6931</v>
      </c>
      <c r="L148" s="49">
        <v>3196.3069</v>
      </c>
      <c r="M148" s="49">
        <v>2000.3052</v>
      </c>
      <c r="N148" s="49">
        <v>2958.6948000000002</v>
      </c>
      <c r="O148" s="48">
        <v>0</v>
      </c>
      <c r="P148" s="48">
        <v>0</v>
      </c>
      <c r="Q148" s="48">
        <v>28804</v>
      </c>
      <c r="R148" s="48">
        <v>22680</v>
      </c>
      <c r="S148" s="11">
        <f>(鋼床鈑!F148+鋼床鈑!N148+鋼床鈑!O148)*鋼床鈑!L148+(鋼床鈑!I148+鋼床鈑!N148+鋼床鈑!O148)*鋼床鈑!M148</f>
        <v>102240</v>
      </c>
      <c r="T148" s="11">
        <f>(鋼床鈑!K148)*鋼床鈑!N148+(鋼床鈑!K148)*鋼床鈑!O148</f>
        <v>196920</v>
      </c>
      <c r="U148" s="11">
        <f>4*((鋼床鈑!I148+鋼床鈑!N148/2+鋼床鈑!O148/2)*(鋼床鈑!K148+鋼床鈑!L148/2+鋼床鈑!M148/2))^2/((鋼床鈑!F148+鋼床鈑!N148/2+鋼床鈑!O148/2)/鋼床鈑!L148+(鋼床鈑!I148+鋼床鈑!N148/2+鋼床鈑!O148/2)/鋼床鈑!M148+(鋼床鈑!K148+鋼床鈑!L148/2+鋼床鈑!M148/2)/鋼床鈑!N148+(鋼床鈑!K148+鋼床鈑!L148/2+鋼床鈑!M148/2)/鋼床鈑!O148)</f>
        <v>957149276166.3894</v>
      </c>
      <c r="V148" s="12">
        <f t="shared" si="34"/>
        <v>0.32227567609563396</v>
      </c>
      <c r="W148" s="12">
        <f t="shared" si="35"/>
        <v>0.3165916192915183</v>
      </c>
      <c r="X148" s="12">
        <f t="shared" si="36"/>
        <v>0.90330205156452115</v>
      </c>
      <c r="Y148" s="12">
        <f t="shared" si="37"/>
        <v>0.6107016482116302</v>
      </c>
      <c r="Z148" s="12">
        <f t="shared" si="32"/>
        <v>1.5044405818256179</v>
      </c>
      <c r="AA148" s="12">
        <f t="shared" si="33"/>
        <v>1.9925153228347749</v>
      </c>
      <c r="AB148" s="10">
        <f t="shared" si="38"/>
        <v>4.9589999999999996</v>
      </c>
      <c r="AC148" s="10">
        <f t="shared" si="39"/>
        <v>6.45</v>
      </c>
      <c r="AD148" s="10">
        <f t="shared" si="40"/>
        <v>0.45512000000000002</v>
      </c>
      <c r="AE148" s="12">
        <f t="shared" si="41"/>
        <v>0.95714927616638945</v>
      </c>
      <c r="AF148" s="12">
        <f t="shared" si="42"/>
        <v>0.19692000000000001</v>
      </c>
      <c r="AG148" s="12">
        <f t="shared" si="43"/>
        <v>0.10224</v>
      </c>
      <c r="AH148" s="10">
        <f t="shared" si="44"/>
        <v>1.03009196720664</v>
      </c>
      <c r="AI148" s="10">
        <f t="shared" si="45"/>
        <v>1.8068797909151799</v>
      </c>
      <c r="AJ148" s="13">
        <f t="shared" si="46"/>
        <v>1.03009196720664</v>
      </c>
      <c r="AK148" s="13">
        <f t="shared" si="47"/>
        <v>1.8068797909151799</v>
      </c>
    </row>
    <row r="149" spans="1:37">
      <c r="A149" s="8">
        <f>鋼床鈑!A149</f>
        <v>147</v>
      </c>
      <c r="B149" s="47" t="s">
        <v>41</v>
      </c>
      <c r="C149" s="47" t="s">
        <v>42</v>
      </c>
      <c r="D149" s="47" t="s">
        <v>247</v>
      </c>
      <c r="E149" s="48">
        <v>451840</v>
      </c>
      <c r="F149" s="49">
        <v>117301.0618</v>
      </c>
      <c r="G149" s="49">
        <v>169664.72719999999</v>
      </c>
      <c r="H149" s="49">
        <v>950555198698.64197</v>
      </c>
      <c r="I149" s="49">
        <v>1739335941505.79</v>
      </c>
      <c r="J149" s="49">
        <v>1023563805414.86</v>
      </c>
      <c r="K149" s="49">
        <v>3253.3569000000002</v>
      </c>
      <c r="L149" s="49">
        <v>3196.6430999999998</v>
      </c>
      <c r="M149" s="49">
        <v>1964.0622000000001</v>
      </c>
      <c r="N149" s="49">
        <v>2912.9378000000002</v>
      </c>
      <c r="O149" s="48">
        <v>0</v>
      </c>
      <c r="P149" s="48">
        <v>0</v>
      </c>
      <c r="Q149" s="48">
        <v>28640</v>
      </c>
      <c r="R149" s="48">
        <v>22516</v>
      </c>
      <c r="S149" s="11">
        <f>(鋼床鈑!F149+鋼床鈑!N149+鋼床鈑!O149)*鋼床鈑!L149+(鋼床鈑!I149+鋼床鈑!N149+鋼床鈑!O149)*鋼床鈑!M149</f>
        <v>102240</v>
      </c>
      <c r="T149" s="11">
        <f>(鋼床鈑!K149)*鋼床鈑!N149+(鋼床鈑!K149)*鋼床鈑!O149</f>
        <v>193640</v>
      </c>
      <c r="U149" s="11">
        <f>4*((鋼床鈑!I149+鋼床鈑!N149/2+鋼床鈑!O149/2)*(鋼床鈑!K149+鋼床鈑!L149/2+鋼床鈑!M149/2))^2/((鋼床鈑!F149+鋼床鈑!N149/2+鋼床鈑!O149/2)/鋼床鈑!L149+(鋼床鈑!I149+鋼床鈑!N149/2+鋼床鈑!O149/2)/鋼床鈑!M149+(鋼床鈑!K149+鋼床鈑!L149/2+鋼床鈑!M149/2)/鋼床鈑!N149+(鋼床鈑!K149+鋼床鈑!L149/2+鋼床鈑!M149/2)/鋼床鈑!O149)</f>
        <v>935094155086.34741</v>
      </c>
      <c r="V149" s="12">
        <f t="shared" si="34"/>
        <v>0.32019958856678743</v>
      </c>
      <c r="W149" s="12">
        <f t="shared" si="35"/>
        <v>0.31461774311169483</v>
      </c>
      <c r="X149" s="12">
        <f t="shared" si="36"/>
        <v>0.88558088511951916</v>
      </c>
      <c r="Y149" s="12">
        <f t="shared" si="37"/>
        <v>0.59710713407810834</v>
      </c>
      <c r="Z149" s="12">
        <f t="shared" si="32"/>
        <v>1.5050991920295629</v>
      </c>
      <c r="AA149" s="12">
        <f t="shared" si="33"/>
        <v>1.9620017848326949</v>
      </c>
      <c r="AB149" s="10">
        <f t="shared" si="38"/>
        <v>4.8769999999999998</v>
      </c>
      <c r="AC149" s="10">
        <f t="shared" si="39"/>
        <v>6.45</v>
      </c>
      <c r="AD149" s="10">
        <f t="shared" si="40"/>
        <v>0.45184000000000002</v>
      </c>
      <c r="AE149" s="12">
        <f t="shared" si="41"/>
        <v>0.93509415508634741</v>
      </c>
      <c r="AF149" s="12">
        <f t="shared" si="42"/>
        <v>0.19364000000000001</v>
      </c>
      <c r="AG149" s="12">
        <f t="shared" si="43"/>
        <v>0.10224</v>
      </c>
      <c r="AH149" s="10">
        <f t="shared" si="44"/>
        <v>1.0235638054148599</v>
      </c>
      <c r="AI149" s="10">
        <f t="shared" si="45"/>
        <v>1.7393359415057901</v>
      </c>
      <c r="AJ149" s="13">
        <f t="shared" si="46"/>
        <v>1.0235638054148599</v>
      </c>
      <c r="AK149" s="13">
        <f t="shared" si="47"/>
        <v>1.7393359415057901</v>
      </c>
    </row>
    <row r="150" spans="1:37">
      <c r="A150" s="8">
        <f>鋼床鈑!A150</f>
        <v>148</v>
      </c>
      <c r="B150" s="47" t="s">
        <v>41</v>
      </c>
      <c r="C150" s="47" t="s">
        <v>42</v>
      </c>
      <c r="D150" s="47" t="s">
        <v>248</v>
      </c>
      <c r="E150" s="48">
        <v>448680</v>
      </c>
      <c r="F150" s="49">
        <v>117721.04399999999</v>
      </c>
      <c r="G150" s="49">
        <v>166515.53</v>
      </c>
      <c r="H150" s="49">
        <v>929175241594.32898</v>
      </c>
      <c r="I150" s="49">
        <v>1675680455517.6001</v>
      </c>
      <c r="J150" s="49">
        <v>1017274380846.01</v>
      </c>
      <c r="K150" s="49">
        <v>3253.0284000000001</v>
      </c>
      <c r="L150" s="49">
        <v>3196.9715999999999</v>
      </c>
      <c r="M150" s="49">
        <v>1929.2109</v>
      </c>
      <c r="N150" s="49">
        <v>2868.7891</v>
      </c>
      <c r="O150" s="48">
        <v>0</v>
      </c>
      <c r="P150" s="48">
        <v>0</v>
      </c>
      <c r="Q150" s="48">
        <v>28482</v>
      </c>
      <c r="R150" s="48">
        <v>22358</v>
      </c>
      <c r="S150" s="11">
        <f>(鋼床鈑!F150+鋼床鈑!N150+鋼床鈑!O150)*鋼床鈑!L150+(鋼床鈑!I150+鋼床鈑!N150+鋼床鈑!O150)*鋼床鈑!M150</f>
        <v>102240</v>
      </c>
      <c r="T150" s="11">
        <f>(鋼床鈑!K150)*鋼床鈑!N150+(鋼床鈑!K150)*鋼床鈑!O150</f>
        <v>190480</v>
      </c>
      <c r="U150" s="11">
        <f>4*((鋼床鈑!I150+鋼床鈑!N150/2+鋼床鈑!O150/2)*(鋼床鈑!K150+鋼床鈑!L150/2+鋼床鈑!M150/2))^2/((鋼床鈑!F150+鋼床鈑!N150/2+鋼床鈑!O150/2)/鋼床鈑!L150+(鋼床鈑!I150+鋼床鈑!N150/2+鋼床鈑!O150/2)/鋼床鈑!M150+(鋼床鈑!K150+鋼床鈑!L150/2+鋼床鈑!M150/2)/鋼床鈑!N150+(鋼床鈑!K150+鋼床鈑!L150/2+鋼床鈑!M150/2)/鋼床鈑!O150)</f>
        <v>913924507563.65918</v>
      </c>
      <c r="V150" s="12">
        <f t="shared" si="34"/>
        <v>0.3181993799525808</v>
      </c>
      <c r="W150" s="12">
        <f t="shared" si="35"/>
        <v>0.31271610811821071</v>
      </c>
      <c r="X150" s="12">
        <f t="shared" si="36"/>
        <v>0.86858334437028129</v>
      </c>
      <c r="Y150" s="12">
        <f t="shared" si="37"/>
        <v>0.58410723030061718</v>
      </c>
      <c r="Z150" s="12">
        <f t="shared" si="32"/>
        <v>1.5057424632450171</v>
      </c>
      <c r="AA150" s="12">
        <f t="shared" si="33"/>
        <v>1.9325344588396955</v>
      </c>
      <c r="AB150" s="10">
        <f t="shared" si="38"/>
        <v>4.798</v>
      </c>
      <c r="AC150" s="10">
        <f t="shared" si="39"/>
        <v>6.45</v>
      </c>
      <c r="AD150" s="10">
        <f t="shared" si="40"/>
        <v>0.44868000000000002</v>
      </c>
      <c r="AE150" s="12">
        <f t="shared" si="41"/>
        <v>0.91392450756365917</v>
      </c>
      <c r="AF150" s="12">
        <f t="shared" si="42"/>
        <v>0.19048000000000001</v>
      </c>
      <c r="AG150" s="12">
        <f t="shared" si="43"/>
        <v>0.10224</v>
      </c>
      <c r="AH150" s="10">
        <f t="shared" si="44"/>
        <v>1.0172743808460101</v>
      </c>
      <c r="AI150" s="10">
        <f t="shared" si="45"/>
        <v>1.6756804555176001</v>
      </c>
      <c r="AJ150" s="13">
        <f t="shared" si="46"/>
        <v>1.0172743808460101</v>
      </c>
      <c r="AK150" s="13">
        <f t="shared" si="47"/>
        <v>1.6756804555176001</v>
      </c>
    </row>
    <row r="151" spans="1:37">
      <c r="A151" s="8">
        <f>鋼床鈑!A151</f>
        <v>149</v>
      </c>
      <c r="B151" s="47" t="s">
        <v>41</v>
      </c>
      <c r="C151" s="47" t="s">
        <v>42</v>
      </c>
      <c r="D151" s="47" t="s">
        <v>249</v>
      </c>
      <c r="E151" s="48">
        <v>445680</v>
      </c>
      <c r="F151" s="49">
        <v>118126.1808</v>
      </c>
      <c r="G151" s="49">
        <v>163526.33059999999</v>
      </c>
      <c r="H151" s="49">
        <v>908974428909.33301</v>
      </c>
      <c r="I151" s="49">
        <v>1616525556938.76</v>
      </c>
      <c r="J151" s="49">
        <v>1011303317309.1</v>
      </c>
      <c r="K151" s="49">
        <v>3252.7123000000001</v>
      </c>
      <c r="L151" s="49">
        <v>3197.2876999999999</v>
      </c>
      <c r="M151" s="49">
        <v>1896.1853000000001</v>
      </c>
      <c r="N151" s="49">
        <v>2826.8146999999999</v>
      </c>
      <c r="O151" s="48">
        <v>0</v>
      </c>
      <c r="P151" s="48">
        <v>0</v>
      </c>
      <c r="Q151" s="48">
        <v>28332</v>
      </c>
      <c r="R151" s="48">
        <v>22208</v>
      </c>
      <c r="S151" s="11">
        <f>(鋼床鈑!F151+鋼床鈑!N151+鋼床鈑!O151)*鋼床鈑!L151+(鋼床鈑!I151+鋼床鈑!N151+鋼床鈑!O151)*鋼床鈑!M151</f>
        <v>102240</v>
      </c>
      <c r="T151" s="11">
        <f>(鋼床鈑!K151)*鋼床鈑!N151+(鋼床鈑!K151)*鋼床鈑!O151</f>
        <v>187480</v>
      </c>
      <c r="U151" s="11">
        <f>4*((鋼床鈑!I151+鋼床鈑!N151/2+鋼床鈑!O151/2)*(鋼床鈑!K151+鋼床鈑!L151/2+鋼床鈑!M151/2))^2/((鋼床鈑!F151+鋼床鈑!N151/2+鋼床鈑!O151/2)/鋼床鈑!L151+(鋼床鈑!I151+鋼床鈑!N151/2+鋼床鈑!O151/2)/鋼床鈑!M151+(鋼床鈑!K151+鋼床鈑!L151/2+鋼床鈑!M151/2)/鋼床鈑!N151+(鋼床鈑!K151+鋼床鈑!L151/2+鋼床鈑!M151/2)/鋼床鈑!O151)</f>
        <v>893900235404.63342</v>
      </c>
      <c r="V151" s="12">
        <f t="shared" si="34"/>
        <v>0.31630038088505452</v>
      </c>
      <c r="W151" s="12">
        <f t="shared" si="35"/>
        <v>0.3109107796927198</v>
      </c>
      <c r="X151" s="12">
        <f t="shared" si="36"/>
        <v>0.85251454957422135</v>
      </c>
      <c r="Y151" s="12">
        <f t="shared" si="37"/>
        <v>0.57185409320913749</v>
      </c>
      <c r="Z151" s="12">
        <f t="shared" si="32"/>
        <v>1.5063612775147712</v>
      </c>
      <c r="AA151" s="12">
        <f t="shared" si="33"/>
        <v>1.9044944650554287</v>
      </c>
      <c r="AB151" s="10">
        <f t="shared" si="38"/>
        <v>4.7229999999999999</v>
      </c>
      <c r="AC151" s="10">
        <f t="shared" si="39"/>
        <v>6.45</v>
      </c>
      <c r="AD151" s="10">
        <f t="shared" si="40"/>
        <v>0.44568000000000002</v>
      </c>
      <c r="AE151" s="12">
        <f t="shared" si="41"/>
        <v>0.89390023540463337</v>
      </c>
      <c r="AF151" s="12">
        <f t="shared" si="42"/>
        <v>0.18748000000000001</v>
      </c>
      <c r="AG151" s="12">
        <f t="shared" si="43"/>
        <v>0.10224</v>
      </c>
      <c r="AH151" s="10">
        <f t="shared" si="44"/>
        <v>1.0113033173090999</v>
      </c>
      <c r="AI151" s="10">
        <f t="shared" si="45"/>
        <v>1.61652555693876</v>
      </c>
      <c r="AJ151" s="13">
        <f t="shared" si="46"/>
        <v>1.0113033173090999</v>
      </c>
      <c r="AK151" s="13">
        <f t="shared" si="47"/>
        <v>1.61652555693876</v>
      </c>
    </row>
    <row r="152" spans="1:37">
      <c r="A152" s="8">
        <f>鋼床鈑!A152</f>
        <v>150</v>
      </c>
      <c r="B152" s="47" t="s">
        <v>41</v>
      </c>
      <c r="C152" s="47" t="s">
        <v>42</v>
      </c>
      <c r="D152" s="47" t="s">
        <v>250</v>
      </c>
      <c r="E152" s="48">
        <v>442840</v>
      </c>
      <c r="F152" s="49">
        <v>118499.1859</v>
      </c>
      <c r="G152" s="49">
        <v>160694.514</v>
      </c>
      <c r="H152" s="49">
        <v>889891602692.92505</v>
      </c>
      <c r="I152" s="49">
        <v>1561664044656.55</v>
      </c>
      <c r="J152" s="49">
        <v>1005650627304.78</v>
      </c>
      <c r="K152" s="49">
        <v>3252.4090000000001</v>
      </c>
      <c r="L152" s="49">
        <v>3197.5909999999999</v>
      </c>
      <c r="M152" s="49">
        <v>1864.9768999999999</v>
      </c>
      <c r="N152" s="49">
        <v>2787.0230999999999</v>
      </c>
      <c r="O152" s="48">
        <v>0</v>
      </c>
      <c r="P152" s="48">
        <v>0</v>
      </c>
      <c r="Q152" s="48">
        <v>28190</v>
      </c>
      <c r="R152" s="48">
        <v>22066</v>
      </c>
      <c r="S152" s="11">
        <f>(鋼床鈑!F152+鋼床鈑!N152+鋼床鈑!O152)*鋼床鈑!L152+(鋼床鈑!I152+鋼床鈑!N152+鋼床鈑!O152)*鋼床鈑!M152</f>
        <v>102240</v>
      </c>
      <c r="T152" s="11">
        <f>(鋼床鈑!K152)*鋼床鈑!N152+(鋼床鈑!K152)*鋼床鈑!O152</f>
        <v>184640</v>
      </c>
      <c r="U152" s="11">
        <f>4*((鋼床鈑!I152+鋼床鈑!N152/2+鋼床鈑!O152/2)*(鋼床鈑!K152+鋼床鈑!L152/2+鋼床鈑!M152/2))^2/((鋼床鈑!F152+鋼床鈑!N152/2+鋼床鈑!O152/2)/鋼床鈑!L152+(鋼床鈑!I152+鋼床鈑!N152/2+鋼床鈑!O152/2)/鋼床鈑!M152+(鋼床鈑!K152+鋼床鈑!L152/2+鋼床鈑!M152/2)/鋼床鈑!N152+(鋼床鈑!K152+鋼床鈑!L152/2+鋼床鈑!M152/2)/鋼床鈑!O152)</f>
        <v>875011786047.01196</v>
      </c>
      <c r="V152" s="12">
        <f t="shared" si="34"/>
        <v>0.31450258250813817</v>
      </c>
      <c r="W152" s="12">
        <f t="shared" si="35"/>
        <v>0.30920177238003588</v>
      </c>
      <c r="X152" s="12">
        <f t="shared" si="36"/>
        <v>0.83736374678772163</v>
      </c>
      <c r="Y152" s="12">
        <f t="shared" si="37"/>
        <v>0.56033408716868904</v>
      </c>
      <c r="Z152" s="12">
        <f t="shared" si="32"/>
        <v>1.5069545127199608</v>
      </c>
      <c r="AA152" s="12">
        <f t="shared" si="33"/>
        <v>1.8778910176180512</v>
      </c>
      <c r="AB152" s="10">
        <f t="shared" si="38"/>
        <v>4.6520000000000001</v>
      </c>
      <c r="AC152" s="10">
        <f t="shared" si="39"/>
        <v>6.45</v>
      </c>
      <c r="AD152" s="10">
        <f t="shared" si="40"/>
        <v>0.44284000000000001</v>
      </c>
      <c r="AE152" s="12">
        <f t="shared" si="41"/>
        <v>0.87501178604701191</v>
      </c>
      <c r="AF152" s="12">
        <f t="shared" si="42"/>
        <v>0.18464</v>
      </c>
      <c r="AG152" s="12">
        <f t="shared" si="43"/>
        <v>0.10224</v>
      </c>
      <c r="AH152" s="10">
        <f t="shared" si="44"/>
        <v>1.0056506273047801</v>
      </c>
      <c r="AI152" s="10">
        <f t="shared" si="45"/>
        <v>1.56166404465655</v>
      </c>
      <c r="AJ152" s="13">
        <f t="shared" si="46"/>
        <v>1.0056506273047801</v>
      </c>
      <c r="AK152" s="13">
        <f t="shared" si="47"/>
        <v>1.56166404465655</v>
      </c>
    </row>
    <row r="153" spans="1:37">
      <c r="A153" s="8">
        <f>鋼床鈑!A153</f>
        <v>151</v>
      </c>
      <c r="B153" s="47" t="s">
        <v>41</v>
      </c>
      <c r="C153" s="47" t="s">
        <v>42</v>
      </c>
      <c r="D153" s="47" t="s">
        <v>251</v>
      </c>
      <c r="E153" s="48">
        <v>440200</v>
      </c>
      <c r="F153" s="49">
        <v>118853.4262</v>
      </c>
      <c r="G153" s="49">
        <v>158063.15359999999</v>
      </c>
      <c r="H153" s="49">
        <v>872238703413.37</v>
      </c>
      <c r="I153" s="49">
        <v>1511652398022.02</v>
      </c>
      <c r="J153" s="49">
        <v>1000395940099.46</v>
      </c>
      <c r="K153" s="49">
        <v>3252.1235999999999</v>
      </c>
      <c r="L153" s="49">
        <v>3197.8764000000001</v>
      </c>
      <c r="M153" s="49">
        <v>1836.0159000000001</v>
      </c>
      <c r="N153" s="49">
        <v>2749.9841000000001</v>
      </c>
      <c r="O153" s="48">
        <v>0</v>
      </c>
      <c r="P153" s="48">
        <v>0</v>
      </c>
      <c r="Q153" s="48">
        <v>28058</v>
      </c>
      <c r="R153" s="48">
        <v>21934</v>
      </c>
      <c r="S153" s="11">
        <f>(鋼床鈑!F153+鋼床鈑!N153+鋼床鈑!O153)*鋼床鈑!L153+(鋼床鈑!I153+鋼床鈑!N153+鋼床鈑!O153)*鋼床鈑!M153</f>
        <v>102240</v>
      </c>
      <c r="T153" s="11">
        <f>(鋼床鈑!K153)*鋼床鈑!N153+(鋼床鈑!K153)*鋼床鈑!O153</f>
        <v>182000</v>
      </c>
      <c r="U153" s="11">
        <f>4*((鋼床鈑!I153+鋼床鈑!N153/2+鋼床鈑!O153/2)*(鋼床鈑!K153+鋼床鈑!L153/2+鋼床鈑!M153/2))^2/((鋼床鈑!F153+鋼床鈑!N153/2+鋼床鈑!O153/2)/鋼床鈑!L153+(鋼床鈑!I153+鋼床鈑!N153/2+鋼床鈑!O153/2)/鋼床鈑!M153+(鋼床鈑!K153+鋼床鈑!L153/2+鋼床鈑!M153/2)/鋼床鈑!N153+(鋼床鈑!K153+鋼床鈑!L153/2+鋼床鈑!M153/2)/鋼床鈑!O153)</f>
        <v>857514324385.24646</v>
      </c>
      <c r="V153" s="12">
        <f t="shared" si="34"/>
        <v>0.31283133397509044</v>
      </c>
      <c r="W153" s="12">
        <f t="shared" si="35"/>
        <v>0.30761313625947673</v>
      </c>
      <c r="X153" s="12">
        <f t="shared" si="36"/>
        <v>0.82333295589761502</v>
      </c>
      <c r="Y153" s="12">
        <f t="shared" si="37"/>
        <v>0.54969495933522661</v>
      </c>
      <c r="Z153" s="12">
        <f t="shared" si="32"/>
        <v>1.5075125668642557</v>
      </c>
      <c r="AA153" s="12">
        <f t="shared" si="33"/>
        <v>1.8531089328468699</v>
      </c>
      <c r="AB153" s="10">
        <f t="shared" si="38"/>
        <v>4.5860000000000003</v>
      </c>
      <c r="AC153" s="10">
        <f t="shared" si="39"/>
        <v>6.45</v>
      </c>
      <c r="AD153" s="10">
        <f t="shared" si="40"/>
        <v>0.44019999999999998</v>
      </c>
      <c r="AE153" s="12">
        <f t="shared" si="41"/>
        <v>0.85751432438524644</v>
      </c>
      <c r="AF153" s="12">
        <f t="shared" si="42"/>
        <v>0.182</v>
      </c>
      <c r="AG153" s="12">
        <f t="shared" si="43"/>
        <v>0.10224</v>
      </c>
      <c r="AH153" s="10">
        <f t="shared" si="44"/>
        <v>1.00039594009946</v>
      </c>
      <c r="AI153" s="10">
        <f t="shared" si="45"/>
        <v>1.51165239802202</v>
      </c>
      <c r="AJ153" s="13">
        <f t="shared" si="46"/>
        <v>1.00039594009946</v>
      </c>
      <c r="AK153" s="13">
        <f t="shared" si="47"/>
        <v>1.51165239802202</v>
      </c>
    </row>
    <row r="154" spans="1:37">
      <c r="A154" s="8">
        <f>鋼床鈑!A154</f>
        <v>152</v>
      </c>
      <c r="B154" s="47" t="s">
        <v>41</v>
      </c>
      <c r="C154" s="47" t="s">
        <v>42</v>
      </c>
      <c r="D154" s="47" t="s">
        <v>252</v>
      </c>
      <c r="E154" s="48">
        <v>437640</v>
      </c>
      <c r="F154" s="49">
        <v>119186.11440000001</v>
      </c>
      <c r="G154" s="49">
        <v>155508.87669999999</v>
      </c>
      <c r="H154" s="49">
        <v>855145848599.00098</v>
      </c>
      <c r="I154" s="49">
        <v>1464058047968.28</v>
      </c>
      <c r="J154" s="49">
        <v>995300416533.43701</v>
      </c>
      <c r="K154" s="49">
        <v>3251.8434999999999</v>
      </c>
      <c r="L154" s="49">
        <v>3198.1565000000001</v>
      </c>
      <c r="M154" s="49">
        <v>1807.9791</v>
      </c>
      <c r="N154" s="49">
        <v>2714.0209</v>
      </c>
      <c r="O154" s="48">
        <v>0</v>
      </c>
      <c r="P154" s="48">
        <v>0</v>
      </c>
      <c r="Q154" s="48">
        <v>27930</v>
      </c>
      <c r="R154" s="48">
        <v>21806</v>
      </c>
      <c r="S154" s="11">
        <f>(鋼床鈑!F154+鋼床鈑!N154+鋼床鈑!O154)*鋼床鈑!L154+(鋼床鈑!I154+鋼床鈑!N154+鋼床鈑!O154)*鋼床鈑!M154</f>
        <v>102240</v>
      </c>
      <c r="T154" s="11">
        <f>(鋼床鈑!K154)*鋼床鈑!N154+(鋼床鈑!K154)*鋼床鈑!O154</f>
        <v>179440</v>
      </c>
      <c r="U154" s="11">
        <f>4*((鋼床鈑!I154+鋼床鈑!N154/2+鋼床鈑!O154/2)*(鋼床鈑!K154+鋼床鈑!L154/2+鋼床鈑!M154/2))^2/((鋼床鈑!F154+鋼床鈑!N154/2+鋼床鈑!O154/2)/鋼床鈑!L154+(鋼床鈑!I154+鋼床鈑!N154/2+鋼床鈑!O154/2)/鋼床鈑!M154+(鋼床鈑!K154+鋼床鈑!L154/2+鋼床鈑!M154/2)/鋼床鈑!N154+(鋼床鈑!K154+鋼床鈑!L154/2+鋼床鈑!M154/2)/鋼床鈑!O154)</f>
        <v>840604513194.29419</v>
      </c>
      <c r="V154" s="12">
        <f t="shared" si="34"/>
        <v>0.3112106666867106</v>
      </c>
      <c r="W154" s="12">
        <f t="shared" si="35"/>
        <v>0.30607266817527873</v>
      </c>
      <c r="X154" s="12">
        <f t="shared" si="36"/>
        <v>0.80977598024682917</v>
      </c>
      <c r="Y154" s="12">
        <f t="shared" si="37"/>
        <v>0.5394424368538504</v>
      </c>
      <c r="Z154" s="12">
        <f t="shared" si="32"/>
        <v>1.508059886864145</v>
      </c>
      <c r="AA154" s="12">
        <f t="shared" si="33"/>
        <v>1.8290292190211666</v>
      </c>
      <c r="AB154" s="10">
        <f t="shared" si="38"/>
        <v>4.5220000000000002</v>
      </c>
      <c r="AC154" s="10">
        <f t="shared" si="39"/>
        <v>6.45</v>
      </c>
      <c r="AD154" s="10">
        <f t="shared" si="40"/>
        <v>0.43763999999999997</v>
      </c>
      <c r="AE154" s="12">
        <f t="shared" si="41"/>
        <v>0.84060451319429419</v>
      </c>
      <c r="AF154" s="12">
        <f t="shared" si="42"/>
        <v>0.17943999999999999</v>
      </c>
      <c r="AG154" s="12">
        <f t="shared" si="43"/>
        <v>0.10224</v>
      </c>
      <c r="AH154" s="10">
        <f t="shared" si="44"/>
        <v>0.99530041653343704</v>
      </c>
      <c r="AI154" s="10">
        <f t="shared" si="45"/>
        <v>1.4640580479682801</v>
      </c>
      <c r="AJ154" s="13">
        <f t="shared" si="46"/>
        <v>0.99530041653343704</v>
      </c>
      <c r="AK154" s="13">
        <f t="shared" si="47"/>
        <v>1.4640580479682801</v>
      </c>
    </row>
    <row r="155" spans="1:37">
      <c r="A155" s="8">
        <f>鋼床鈑!A155</f>
        <v>153</v>
      </c>
      <c r="B155" s="47" t="s">
        <v>41</v>
      </c>
      <c r="C155" s="47" t="s">
        <v>42</v>
      </c>
      <c r="D155" s="47" t="s">
        <v>253</v>
      </c>
      <c r="E155" s="48">
        <v>435280</v>
      </c>
      <c r="F155" s="49">
        <v>119490.8959</v>
      </c>
      <c r="G155" s="49">
        <v>153155.10889999999</v>
      </c>
      <c r="H155" s="49">
        <v>839445584746.64197</v>
      </c>
      <c r="I155" s="49">
        <v>1420963799528.27</v>
      </c>
      <c r="J155" s="49">
        <v>990602919244.64502</v>
      </c>
      <c r="K155" s="49">
        <v>3251.5823999999998</v>
      </c>
      <c r="L155" s="49">
        <v>3198.4176000000002</v>
      </c>
      <c r="M155" s="49">
        <v>1782.1739</v>
      </c>
      <c r="N155" s="49">
        <v>2680.8261000000002</v>
      </c>
      <c r="O155" s="48">
        <v>0</v>
      </c>
      <c r="P155" s="48">
        <v>0</v>
      </c>
      <c r="Q155" s="48">
        <v>27812</v>
      </c>
      <c r="R155" s="48">
        <v>21688</v>
      </c>
      <c r="S155" s="11">
        <f>(鋼床鈑!F155+鋼床鈑!N155+鋼床鈑!O155)*鋼床鈑!L155+(鋼床鈑!I155+鋼床鈑!N155+鋼床鈑!O155)*鋼床鈑!M155</f>
        <v>102240</v>
      </c>
      <c r="T155" s="11">
        <f>(鋼床鈑!K155)*鋼床鈑!N155+(鋼床鈑!K155)*鋼床鈑!O155</f>
        <v>177080</v>
      </c>
      <c r="U155" s="11">
        <f>4*((鋼床鈑!I155+鋼床鈑!N155/2+鋼床鈑!O155/2)*(鋼床鈑!K155+鋼床鈑!L155/2+鋼床鈑!M155/2))^2/((鋼床鈑!F155+鋼床鈑!N155/2+鋼床鈑!O155/2)/鋼床鈑!L155+(鋼床鈑!I155+鋼床鈑!N155/2+鋼床鈑!O155/2)/鋼床鈑!M155+(鋼床鈑!K155+鋼床鈑!L155/2+鋼床鈑!M155/2)/鋼床鈑!N155+(鋼床鈑!K155+鋼床鈑!L155/2+鋼床鈑!M155/2)/鋼床鈑!O155)</f>
        <v>825067111309.48474</v>
      </c>
      <c r="V155" s="12">
        <f t="shared" si="34"/>
        <v>0.30971656710638562</v>
      </c>
      <c r="W155" s="12">
        <f t="shared" si="35"/>
        <v>0.30465256523858819</v>
      </c>
      <c r="X155" s="12">
        <f t="shared" si="36"/>
        <v>0.79732050813238253</v>
      </c>
      <c r="Y155" s="12">
        <f t="shared" si="37"/>
        <v>0.53004698795206062</v>
      </c>
      <c r="Z155" s="12">
        <f t="shared" si="32"/>
        <v>1.5085699248828319</v>
      </c>
      <c r="AA155" s="12">
        <f t="shared" si="33"/>
        <v>1.8067878047272294</v>
      </c>
      <c r="AB155" s="10">
        <f t="shared" si="38"/>
        <v>4.4630000000000001</v>
      </c>
      <c r="AC155" s="10">
        <f t="shared" si="39"/>
        <v>6.45</v>
      </c>
      <c r="AD155" s="10">
        <f t="shared" si="40"/>
        <v>0.43528</v>
      </c>
      <c r="AE155" s="12">
        <f t="shared" si="41"/>
        <v>0.82506711130948474</v>
      </c>
      <c r="AF155" s="12">
        <f t="shared" si="42"/>
        <v>0.17707999999999999</v>
      </c>
      <c r="AG155" s="12">
        <f t="shared" si="43"/>
        <v>0.10224</v>
      </c>
      <c r="AH155" s="10">
        <f t="shared" si="44"/>
        <v>0.99060291924464505</v>
      </c>
      <c r="AI155" s="10">
        <f t="shared" si="45"/>
        <v>1.42096379952827</v>
      </c>
      <c r="AJ155" s="13">
        <f t="shared" si="46"/>
        <v>0.99060291924464505</v>
      </c>
      <c r="AK155" s="13">
        <f t="shared" si="47"/>
        <v>1.42096379952827</v>
      </c>
    </row>
    <row r="156" spans="1:37">
      <c r="A156" s="8">
        <f>鋼床鈑!A156</f>
        <v>154</v>
      </c>
      <c r="B156" s="47" t="s">
        <v>41</v>
      </c>
      <c r="C156" s="47" t="s">
        <v>42</v>
      </c>
      <c r="D156" s="47" t="s">
        <v>254</v>
      </c>
      <c r="E156" s="48">
        <v>433080</v>
      </c>
      <c r="F156" s="49">
        <v>119783.4856</v>
      </c>
      <c r="G156" s="49">
        <v>150961.35800000001</v>
      </c>
      <c r="H156" s="49">
        <v>824874967824.78101</v>
      </c>
      <c r="I156" s="49">
        <v>1381462763899.45</v>
      </c>
      <c r="J156" s="49">
        <v>986223842337.95105</v>
      </c>
      <c r="K156" s="49">
        <v>3251.3364999999999</v>
      </c>
      <c r="L156" s="49">
        <v>3198.6635000000001</v>
      </c>
      <c r="M156" s="49">
        <v>1758.1545000000001</v>
      </c>
      <c r="N156" s="49">
        <v>2649.8454999999999</v>
      </c>
      <c r="O156" s="48">
        <v>0</v>
      </c>
      <c r="P156" s="48">
        <v>0</v>
      </c>
      <c r="Q156" s="48">
        <v>27702</v>
      </c>
      <c r="R156" s="48">
        <v>21578</v>
      </c>
      <c r="S156" s="11">
        <f>(鋼床鈑!F156+鋼床鈑!N156+鋼床鈑!O156)*鋼床鈑!L156+(鋼床鈑!I156+鋼床鈑!N156+鋼床鈑!O156)*鋼床鈑!M156</f>
        <v>102240</v>
      </c>
      <c r="T156" s="11">
        <f>(鋼床鈑!K156)*鋼床鈑!N156+(鋼床鈑!K156)*鋼床鈑!O156</f>
        <v>174880</v>
      </c>
      <c r="U156" s="11">
        <f>4*((鋼床鈑!I156+鋼床鈑!N156/2+鋼床鈑!O156/2)*(鋼床鈑!K156+鋼床鈑!L156/2+鋼床鈑!M156/2))^2/((鋼床鈑!F156+鋼床鈑!N156/2+鋼床鈑!O156/2)/鋼床鈑!L156+(鋼床鈑!I156+鋼床鈑!N156/2+鋼床鈑!O156/2)/鋼床鈑!M156+(鋼床鈑!K156+鋼床鈑!L156/2+鋼床鈑!M156/2)/鋼床鈑!N156+(鋼床鈑!K156+鋼床鈑!L156/2+鋼床鈑!M156/2)/鋼床鈑!O156)</f>
        <v>810628485500.82642</v>
      </c>
      <c r="V156" s="12">
        <f t="shared" si="34"/>
        <v>0.30832372406098701</v>
      </c>
      <c r="W156" s="12">
        <f t="shared" si="35"/>
        <v>0.30332875183419222</v>
      </c>
      <c r="X156" s="12">
        <f t="shared" si="36"/>
        <v>0.78574594206564319</v>
      </c>
      <c r="Y156" s="12">
        <f t="shared" si="37"/>
        <v>0.52133709829476849</v>
      </c>
      <c r="Z156" s="12">
        <f t="shared" si="32"/>
        <v>1.5090501912686862</v>
      </c>
      <c r="AA156" s="12">
        <f t="shared" si="33"/>
        <v>1.786016750315754</v>
      </c>
      <c r="AB156" s="10">
        <f t="shared" si="38"/>
        <v>4.4080000000000004</v>
      </c>
      <c r="AC156" s="10">
        <f t="shared" si="39"/>
        <v>6.45</v>
      </c>
      <c r="AD156" s="10">
        <f t="shared" si="40"/>
        <v>0.43308000000000002</v>
      </c>
      <c r="AE156" s="12">
        <f t="shared" si="41"/>
        <v>0.81062848550082645</v>
      </c>
      <c r="AF156" s="12">
        <f t="shared" si="42"/>
        <v>0.17488000000000001</v>
      </c>
      <c r="AG156" s="12">
        <f t="shared" si="43"/>
        <v>0.10224</v>
      </c>
      <c r="AH156" s="10">
        <f t="shared" si="44"/>
        <v>0.98622384233795102</v>
      </c>
      <c r="AI156" s="10">
        <f t="shared" si="45"/>
        <v>1.3814627638994499</v>
      </c>
      <c r="AJ156" s="13">
        <f t="shared" si="46"/>
        <v>0.98622384233795102</v>
      </c>
      <c r="AK156" s="13">
        <f t="shared" si="47"/>
        <v>1.3814627638994499</v>
      </c>
    </row>
    <row r="157" spans="1:37">
      <c r="A157" s="8">
        <f>鋼床鈑!A157</f>
        <v>155</v>
      </c>
      <c r="B157" s="47" t="s">
        <v>41</v>
      </c>
      <c r="C157" s="47" t="s">
        <v>42</v>
      </c>
      <c r="D157" s="47" t="s">
        <v>255</v>
      </c>
      <c r="E157" s="48">
        <v>431000</v>
      </c>
      <c r="F157" s="49">
        <v>120049.72779999999</v>
      </c>
      <c r="G157" s="49">
        <v>148885.82149999999</v>
      </c>
      <c r="H157" s="49">
        <v>811115579840.25903</v>
      </c>
      <c r="I157" s="49">
        <v>1344709054007.27</v>
      </c>
      <c r="J157" s="49">
        <v>982083575504.41797</v>
      </c>
      <c r="K157" s="49">
        <v>3251.1016</v>
      </c>
      <c r="L157" s="49">
        <v>3198.8984</v>
      </c>
      <c r="M157" s="49">
        <v>1735.4780000000001</v>
      </c>
      <c r="N157" s="49">
        <v>2620.5219999999999</v>
      </c>
      <c r="O157" s="48">
        <v>0</v>
      </c>
      <c r="P157" s="48">
        <v>0</v>
      </c>
      <c r="Q157" s="48">
        <v>27598</v>
      </c>
      <c r="R157" s="48">
        <v>21474</v>
      </c>
      <c r="S157" s="11">
        <f>(鋼床鈑!F157+鋼床鈑!N157+鋼床鈑!O157)*鋼床鈑!L157+(鋼床鈑!I157+鋼床鈑!N157+鋼床鈑!O157)*鋼床鈑!M157</f>
        <v>102240</v>
      </c>
      <c r="T157" s="11">
        <f>(鋼床鈑!K157)*鋼床鈑!N157+(鋼床鈑!K157)*鋼床鈑!O157</f>
        <v>172800</v>
      </c>
      <c r="U157" s="11">
        <f>4*((鋼床鈑!I157+鋼床鈑!N157/2+鋼床鈑!O157/2)*(鋼床鈑!K157+鋼床鈑!L157/2+鋼床鈑!M157/2))^2/((鋼床鈑!F157+鋼床鈑!N157/2+鋼床鈑!O157/2)/鋼床鈑!L157+(鋼床鈑!I157+鋼床鈑!N157/2+鋼床鈑!O157/2)/鋼床鈑!M157+(鋼床鈑!K157+鋼床鈑!L157/2+鋼床鈑!M157/2)/鋼床鈑!N157+(鋼床鈑!K157+鋼床鈑!L157/2+鋼床鈑!M157/2)/鋼床鈑!O157)</f>
        <v>797018593092.87</v>
      </c>
      <c r="V157" s="12">
        <f t="shared" si="34"/>
        <v>0.30700680443755823</v>
      </c>
      <c r="W157" s="12">
        <f t="shared" si="35"/>
        <v>0.30207717147456048</v>
      </c>
      <c r="X157" s="12">
        <f t="shared" si="36"/>
        <v>0.77483497572845628</v>
      </c>
      <c r="Y157" s="12">
        <f t="shared" si="37"/>
        <v>0.51314549315261238</v>
      </c>
      <c r="Z157" s="12">
        <f t="shared" si="32"/>
        <v>1.5095085903912593</v>
      </c>
      <c r="AA157" s="12">
        <f t="shared" si="33"/>
        <v>1.7663449842160301</v>
      </c>
      <c r="AB157" s="10">
        <f t="shared" si="38"/>
        <v>4.3559999999999999</v>
      </c>
      <c r="AC157" s="10">
        <f t="shared" si="39"/>
        <v>6.45</v>
      </c>
      <c r="AD157" s="10">
        <f t="shared" si="40"/>
        <v>0.43099999999999999</v>
      </c>
      <c r="AE157" s="12">
        <f t="shared" si="41"/>
        <v>0.79701859309287004</v>
      </c>
      <c r="AF157" s="12">
        <f t="shared" si="42"/>
        <v>0.17280000000000001</v>
      </c>
      <c r="AG157" s="12">
        <f t="shared" si="43"/>
        <v>0.10224</v>
      </c>
      <c r="AH157" s="10">
        <f t="shared" si="44"/>
        <v>0.98208357550441794</v>
      </c>
      <c r="AI157" s="10">
        <f t="shared" si="45"/>
        <v>1.3447090540072699</v>
      </c>
      <c r="AJ157" s="13">
        <f t="shared" si="46"/>
        <v>0.98208357550441794</v>
      </c>
      <c r="AK157" s="13">
        <f t="shared" si="47"/>
        <v>1.3447090540072699</v>
      </c>
    </row>
    <row r="158" spans="1:37">
      <c r="A158" s="8">
        <f>鋼床鈑!A158</f>
        <v>156</v>
      </c>
      <c r="B158" s="47" t="s">
        <v>41</v>
      </c>
      <c r="C158" s="47" t="s">
        <v>42</v>
      </c>
      <c r="D158" s="47" t="s">
        <v>256</v>
      </c>
      <c r="E158" s="48">
        <v>429080</v>
      </c>
      <c r="F158" s="49">
        <v>120294.1122</v>
      </c>
      <c r="G158" s="49">
        <v>146970.14749999999</v>
      </c>
      <c r="H158" s="49">
        <v>798451127546.25806</v>
      </c>
      <c r="I158" s="49">
        <v>1311291287205.0601</v>
      </c>
      <c r="J158" s="49">
        <v>978261748143.69897</v>
      </c>
      <c r="K158" s="49">
        <v>3250.8827999999999</v>
      </c>
      <c r="L158" s="49">
        <v>3199.1172000000001</v>
      </c>
      <c r="M158" s="49">
        <v>1714.5743</v>
      </c>
      <c r="N158" s="49">
        <v>2593.4256999999998</v>
      </c>
      <c r="O158" s="48">
        <v>0</v>
      </c>
      <c r="P158" s="48">
        <v>0</v>
      </c>
      <c r="Q158" s="48">
        <v>27502</v>
      </c>
      <c r="R158" s="48">
        <v>21378</v>
      </c>
      <c r="S158" s="11">
        <f>(鋼床鈑!F158+鋼床鈑!N158+鋼床鈑!O158)*鋼床鈑!L158+(鋼床鈑!I158+鋼床鈑!N158+鋼床鈑!O158)*鋼床鈑!M158</f>
        <v>102240</v>
      </c>
      <c r="T158" s="11">
        <f>(鋼床鈑!K158)*鋼床鈑!N158+(鋼床鈑!K158)*鋼床鈑!O158</f>
        <v>170880</v>
      </c>
      <c r="U158" s="11">
        <f>4*((鋼床鈑!I158+鋼床鈑!N158/2+鋼床鈑!O158/2)*(鋼床鈑!K158+鋼床鈑!L158/2+鋼床鈑!M158/2))^2/((鋼床鈑!F158+鋼床鈑!N158/2+鋼床鈑!O158/2)/鋼床鈑!L158+(鋼床鈑!I158+鋼床鈑!N158/2+鋼床鈑!O158/2)/鋼床鈑!M158+(鋼床鈑!K158+鋼床鈑!L158/2+鋼床鈑!M158/2)/鋼床鈑!N158+(鋼床鈑!K158+鋼床鈑!L158/2+鋼床鈑!M158/2)/鋼床鈑!O158)</f>
        <v>784491871839.19592</v>
      </c>
      <c r="V158" s="12">
        <f t="shared" si="34"/>
        <v>0.30579115643018606</v>
      </c>
      <c r="W158" s="12">
        <f t="shared" si="35"/>
        <v>0.30092187517301422</v>
      </c>
      <c r="X158" s="12">
        <f t="shared" si="36"/>
        <v>0.76479117131585383</v>
      </c>
      <c r="Y158" s="12">
        <f t="shared" si="37"/>
        <v>0.50562130513515791</v>
      </c>
      <c r="Z158" s="12">
        <f t="shared" si="32"/>
        <v>1.5099355145487805</v>
      </c>
      <c r="AA158" s="12">
        <f t="shared" si="33"/>
        <v>1.7481570735308771</v>
      </c>
      <c r="AB158" s="10">
        <f t="shared" si="38"/>
        <v>4.3079999999999998</v>
      </c>
      <c r="AC158" s="10">
        <f t="shared" si="39"/>
        <v>6.45</v>
      </c>
      <c r="AD158" s="10">
        <f t="shared" si="40"/>
        <v>0.42908000000000002</v>
      </c>
      <c r="AE158" s="12">
        <f t="shared" si="41"/>
        <v>0.78449187183919589</v>
      </c>
      <c r="AF158" s="12">
        <f t="shared" si="42"/>
        <v>0.17088</v>
      </c>
      <c r="AG158" s="12">
        <f t="shared" si="43"/>
        <v>0.10224</v>
      </c>
      <c r="AH158" s="10">
        <f t="shared" si="44"/>
        <v>0.97826174814369893</v>
      </c>
      <c r="AI158" s="10">
        <f t="shared" si="45"/>
        <v>1.3112912872050602</v>
      </c>
      <c r="AJ158" s="13">
        <f t="shared" si="46"/>
        <v>0.97826174814369893</v>
      </c>
      <c r="AK158" s="13">
        <f t="shared" si="47"/>
        <v>1.3112912872050602</v>
      </c>
    </row>
    <row r="159" spans="1:37">
      <c r="A159" s="8">
        <f>鋼床鈑!A159</f>
        <v>157</v>
      </c>
      <c r="B159" s="47" t="s">
        <v>41</v>
      </c>
      <c r="C159" s="47" t="s">
        <v>42</v>
      </c>
      <c r="D159" s="47" t="s">
        <v>257</v>
      </c>
      <c r="E159" s="48">
        <v>427320</v>
      </c>
      <c r="F159" s="49">
        <v>120528.1048</v>
      </c>
      <c r="G159" s="49">
        <v>145215.48980000001</v>
      </c>
      <c r="H159" s="49">
        <v>786899287402.29504</v>
      </c>
      <c r="I159" s="49">
        <v>1281085327181.6499</v>
      </c>
      <c r="J159" s="49">
        <v>974758369993.54102</v>
      </c>
      <c r="K159" s="49">
        <v>3250.6804999999999</v>
      </c>
      <c r="L159" s="49">
        <v>3199.3195000000001</v>
      </c>
      <c r="M159" s="49">
        <v>1695.4371000000001</v>
      </c>
      <c r="N159" s="49">
        <v>2568.5628999999999</v>
      </c>
      <c r="O159" s="48">
        <v>0</v>
      </c>
      <c r="P159" s="48">
        <v>0</v>
      </c>
      <c r="Q159" s="48">
        <v>27414</v>
      </c>
      <c r="R159" s="48">
        <v>21290</v>
      </c>
      <c r="S159" s="11">
        <f>(鋼床鈑!F159+鋼床鈑!N159+鋼床鈑!O159)*鋼床鈑!L159+(鋼床鈑!I159+鋼床鈑!N159+鋼床鈑!O159)*鋼床鈑!M159</f>
        <v>102240</v>
      </c>
      <c r="T159" s="11">
        <f>(鋼床鈑!K159)*鋼床鈑!N159+(鋼床鈑!K159)*鋼床鈑!O159</f>
        <v>169120</v>
      </c>
      <c r="U159" s="11">
        <f>4*((鋼床鈑!I159+鋼床鈑!N159/2+鋼床鈑!O159/2)*(鋼床鈑!K159+鋼床鈑!L159/2+鋼床鈑!M159/2))^2/((鋼床鈑!F159+鋼床鈑!N159/2+鋼床鈑!O159/2)/鋼床鈑!L159+(鋼床鈑!I159+鋼床鈑!N159/2+鋼床鈑!O159/2)/鋼床鈑!M159+(鋼床鈑!K159+鋼床鈑!L159/2+鋼床鈑!M159/2)/鋼床鈑!N159+(鋼床鈑!K159+鋼床鈑!L159/2+鋼床鈑!M159/2)/鋼床鈑!O159)</f>
        <v>773040213727.30347</v>
      </c>
      <c r="V159" s="12">
        <f t="shared" si="34"/>
        <v>0.30467678204491333</v>
      </c>
      <c r="W159" s="12">
        <f t="shared" si="35"/>
        <v>0.29986286563491582</v>
      </c>
      <c r="X159" s="12">
        <f t="shared" si="36"/>
        <v>0.75560769973810871</v>
      </c>
      <c r="Y159" s="12">
        <f t="shared" si="37"/>
        <v>0.49875567663990233</v>
      </c>
      <c r="Z159" s="12">
        <f t="shared" si="32"/>
        <v>1.5103300963336719</v>
      </c>
      <c r="AA159" s="12">
        <f t="shared" si="33"/>
        <v>1.7314598233476846</v>
      </c>
      <c r="AB159" s="10">
        <f t="shared" si="38"/>
        <v>4.2640000000000002</v>
      </c>
      <c r="AC159" s="10">
        <f t="shared" si="39"/>
        <v>6.45</v>
      </c>
      <c r="AD159" s="10">
        <f t="shared" si="40"/>
        <v>0.42731999999999998</v>
      </c>
      <c r="AE159" s="12">
        <f t="shared" si="41"/>
        <v>0.77304021372730347</v>
      </c>
      <c r="AF159" s="12">
        <f t="shared" si="42"/>
        <v>0.16911999999999999</v>
      </c>
      <c r="AG159" s="12">
        <f t="shared" si="43"/>
        <v>0.10224</v>
      </c>
      <c r="AH159" s="10">
        <f t="shared" si="44"/>
        <v>0.97475836999354104</v>
      </c>
      <c r="AI159" s="10">
        <f t="shared" si="45"/>
        <v>1.2810853271816498</v>
      </c>
      <c r="AJ159" s="13">
        <f t="shared" si="46"/>
        <v>0.97475836999354104</v>
      </c>
      <c r="AK159" s="13">
        <f t="shared" si="47"/>
        <v>1.2810853271816498</v>
      </c>
    </row>
    <row r="160" spans="1:37">
      <c r="A160" s="8">
        <f>鋼床鈑!A160</f>
        <v>158</v>
      </c>
      <c r="B160" s="47" t="s">
        <v>41</v>
      </c>
      <c r="C160" s="47" t="s">
        <v>42</v>
      </c>
      <c r="D160" s="47" t="s">
        <v>258</v>
      </c>
      <c r="E160" s="48">
        <v>425720</v>
      </c>
      <c r="F160" s="49">
        <v>120730.325</v>
      </c>
      <c r="G160" s="49">
        <v>143618.731</v>
      </c>
      <c r="H160" s="49">
        <v>776397566714.18799</v>
      </c>
      <c r="I160" s="49">
        <v>1253978231042.4299</v>
      </c>
      <c r="J160" s="49">
        <v>971573450175.58704</v>
      </c>
      <c r="K160" s="49">
        <v>3250.4951999999998</v>
      </c>
      <c r="L160" s="49">
        <v>3199.5048000000002</v>
      </c>
      <c r="M160" s="49">
        <v>1678.0601999999999</v>
      </c>
      <c r="N160" s="49">
        <v>2545.9398000000001</v>
      </c>
      <c r="O160" s="48">
        <v>0</v>
      </c>
      <c r="P160" s="48">
        <v>0</v>
      </c>
      <c r="Q160" s="48">
        <v>27334</v>
      </c>
      <c r="R160" s="48">
        <v>21210</v>
      </c>
      <c r="S160" s="11">
        <f>(鋼床鈑!F160+鋼床鈑!N160+鋼床鈑!O160)*鋼床鈑!L160+(鋼床鈑!I160+鋼床鈑!N160+鋼床鈑!O160)*鋼床鈑!M160</f>
        <v>102240</v>
      </c>
      <c r="T160" s="11">
        <f>(鋼床鈑!K160)*鋼床鈑!N160+(鋼床鈑!K160)*鋼床鈑!O160</f>
        <v>167520</v>
      </c>
      <c r="U160" s="11">
        <f>4*((鋼床鈑!I160+鋼床鈑!N160/2+鋼床鈑!O160/2)*(鋼床鈑!K160+鋼床鈑!L160/2+鋼床鈑!M160/2))^2/((鋼床鈑!F160+鋼床鈑!N160/2+鋼床鈑!O160/2)/鋼床鈑!L160+(鋼床鈑!I160+鋼床鈑!N160/2+鋼床鈑!O160/2)/鋼床鈑!M160+(鋼床鈑!K160+鋼床鈑!L160/2+鋼床鈑!M160/2)/鋼床鈑!N160+(鋼床鈑!K160+鋼床鈑!L160/2+鋼床鈑!M160/2)/鋼床鈑!O160)</f>
        <v>762655950376.90601</v>
      </c>
      <c r="V160" s="12">
        <f t="shared" si="34"/>
        <v>0.30366369513669333</v>
      </c>
      <c r="W160" s="12">
        <f t="shared" si="35"/>
        <v>0.29890013379364072</v>
      </c>
      <c r="X160" s="12">
        <f t="shared" si="36"/>
        <v>0.74727845344429833</v>
      </c>
      <c r="Y160" s="12">
        <f t="shared" si="37"/>
        <v>0.49254040925964937</v>
      </c>
      <c r="Z160" s="12">
        <f t="shared" si="32"/>
        <v>1.5106915239146212</v>
      </c>
      <c r="AA160" s="12">
        <f t="shared" si="33"/>
        <v>1.7162595698829923</v>
      </c>
      <c r="AB160" s="10">
        <f t="shared" si="38"/>
        <v>4.2240000000000002</v>
      </c>
      <c r="AC160" s="10">
        <f t="shared" si="39"/>
        <v>6.45</v>
      </c>
      <c r="AD160" s="10">
        <f t="shared" si="40"/>
        <v>0.42571999999999999</v>
      </c>
      <c r="AE160" s="12">
        <f t="shared" si="41"/>
        <v>0.76265595037690603</v>
      </c>
      <c r="AF160" s="12">
        <f t="shared" si="42"/>
        <v>0.16752</v>
      </c>
      <c r="AG160" s="12">
        <f t="shared" si="43"/>
        <v>0.10224</v>
      </c>
      <c r="AH160" s="10">
        <f t="shared" si="44"/>
        <v>0.97157345017558705</v>
      </c>
      <c r="AI160" s="10">
        <f t="shared" si="45"/>
        <v>1.2539782310424299</v>
      </c>
      <c r="AJ160" s="13">
        <f t="shared" si="46"/>
        <v>0.97157345017558705</v>
      </c>
      <c r="AK160" s="13">
        <f t="shared" si="47"/>
        <v>1.2539782310424299</v>
      </c>
    </row>
    <row r="161" spans="1:37">
      <c r="A161" s="8">
        <f>鋼床鈑!A161</f>
        <v>159</v>
      </c>
      <c r="B161" s="47" t="s">
        <v>41</v>
      </c>
      <c r="C161" s="47" t="s">
        <v>42</v>
      </c>
      <c r="D161" s="47" t="s">
        <v>259</v>
      </c>
      <c r="E161" s="48">
        <v>424280</v>
      </c>
      <c r="F161" s="49">
        <v>120911.5992</v>
      </c>
      <c r="G161" s="49">
        <v>142181.55119999999</v>
      </c>
      <c r="H161" s="49">
        <v>766966731345.10303</v>
      </c>
      <c r="I161" s="49">
        <v>1229868028661.4299</v>
      </c>
      <c r="J161" s="49">
        <v>968706997148.18396</v>
      </c>
      <c r="K161" s="49">
        <v>3250.3271</v>
      </c>
      <c r="L161" s="49">
        <v>3199.6729</v>
      </c>
      <c r="M161" s="49">
        <v>1662.4378999999999</v>
      </c>
      <c r="N161" s="49">
        <v>2525.5621000000001</v>
      </c>
      <c r="O161" s="48">
        <v>0</v>
      </c>
      <c r="P161" s="48">
        <v>0</v>
      </c>
      <c r="Q161" s="48">
        <v>27262</v>
      </c>
      <c r="R161" s="48">
        <v>21138</v>
      </c>
      <c r="S161" s="11">
        <f>(鋼床鈑!F161+鋼床鈑!N161+鋼床鈑!O161)*鋼床鈑!L161+(鋼床鈑!I161+鋼床鈑!N161+鋼床鈑!O161)*鋼床鈑!M161</f>
        <v>102240</v>
      </c>
      <c r="T161" s="11">
        <f>(鋼床鈑!K161)*鋼床鈑!N161+(鋼床鈑!K161)*鋼床鈑!O161</f>
        <v>166080</v>
      </c>
      <c r="U161" s="11">
        <f>4*((鋼床鈑!I161+鋼床鈑!N161/2+鋼床鈑!O161/2)*(鋼床鈑!K161+鋼床鈑!L161/2+鋼床鈑!M161/2))^2/((鋼床鈑!F161+鋼床鈑!N161/2+鋼床鈑!O161/2)/鋼床鈑!L161+(鋼床鈑!I161+鋼床鈑!N161/2+鋼床鈑!O161/2)/鋼床鈑!M161+(鋼床鈑!K161+鋼床鈑!L161/2+鋼床鈑!M161/2)/鋼床鈑!N161+(鋼床鈑!K161+鋼床鈑!L161/2+鋼床鈑!M161/2)/鋼床鈑!O161)</f>
        <v>753331907987.74255</v>
      </c>
      <c r="V161" s="12">
        <f t="shared" si="34"/>
        <v>0.30275188352790189</v>
      </c>
      <c r="W161" s="12">
        <f t="shared" si="35"/>
        <v>0.29803369548504333</v>
      </c>
      <c r="X161" s="12">
        <f t="shared" si="36"/>
        <v>0.73979787675764008</v>
      </c>
      <c r="Y161" s="12">
        <f t="shared" si="37"/>
        <v>0.4869680411586117</v>
      </c>
      <c r="Z161" s="12">
        <f t="shared" si="32"/>
        <v>1.5110190450837748</v>
      </c>
      <c r="AA161" s="12">
        <f t="shared" si="33"/>
        <v>1.7025621561055075</v>
      </c>
      <c r="AB161" s="10">
        <f t="shared" si="38"/>
        <v>4.1879999999999997</v>
      </c>
      <c r="AC161" s="10">
        <f t="shared" si="39"/>
        <v>6.45</v>
      </c>
      <c r="AD161" s="10">
        <f t="shared" si="40"/>
        <v>0.42427999999999999</v>
      </c>
      <c r="AE161" s="12">
        <f t="shared" si="41"/>
        <v>0.75333190798774252</v>
      </c>
      <c r="AF161" s="12">
        <f t="shared" si="42"/>
        <v>0.16608000000000001</v>
      </c>
      <c r="AG161" s="12">
        <f t="shared" si="43"/>
        <v>0.10224</v>
      </c>
      <c r="AH161" s="10">
        <f t="shared" si="44"/>
        <v>0.96870699714818398</v>
      </c>
      <c r="AI161" s="10">
        <f t="shared" si="45"/>
        <v>1.2298680286614299</v>
      </c>
      <c r="AJ161" s="13">
        <f t="shared" si="46"/>
        <v>0.96870699714818398</v>
      </c>
      <c r="AK161" s="13">
        <f t="shared" si="47"/>
        <v>1.2298680286614299</v>
      </c>
    </row>
    <row r="162" spans="1:37">
      <c r="A162" s="8">
        <f>鋼床鈑!A162</f>
        <v>160</v>
      </c>
      <c r="B162" s="47" t="s">
        <v>41</v>
      </c>
      <c r="C162" s="47" t="s">
        <v>42</v>
      </c>
      <c r="D162" s="47" t="s">
        <v>260</v>
      </c>
      <c r="E162" s="48">
        <v>423000</v>
      </c>
      <c r="F162" s="49">
        <v>121071.6912</v>
      </c>
      <c r="G162" s="49">
        <v>140904.04240000001</v>
      </c>
      <c r="H162" s="49">
        <v>758599976520.44604</v>
      </c>
      <c r="I162" s="49">
        <v>1208663521762.1699</v>
      </c>
      <c r="J162" s="49">
        <v>966159018661.84497</v>
      </c>
      <c r="K162" s="49">
        <v>3250.1768000000002</v>
      </c>
      <c r="L162" s="49">
        <v>3199.8231999999998</v>
      </c>
      <c r="M162" s="49">
        <v>1648.5650000000001</v>
      </c>
      <c r="N162" s="49">
        <v>2507.4349999999999</v>
      </c>
      <c r="O162" s="48">
        <v>0</v>
      </c>
      <c r="P162" s="48">
        <v>0</v>
      </c>
      <c r="Q162" s="48">
        <v>27198</v>
      </c>
      <c r="R162" s="48">
        <v>21074</v>
      </c>
      <c r="S162" s="11">
        <f>(鋼床鈑!F162+鋼床鈑!N162+鋼床鈑!O162)*鋼床鈑!L162+(鋼床鈑!I162+鋼床鈑!N162+鋼床鈑!O162)*鋼床鈑!M162</f>
        <v>102240</v>
      </c>
      <c r="T162" s="11">
        <f>(鋼床鈑!K162)*鋼床鈑!N162+(鋼床鈑!K162)*鋼床鈑!O162</f>
        <v>164800</v>
      </c>
      <c r="U162" s="11">
        <f>4*((鋼床鈑!I162+鋼床鈑!N162/2+鋼床鈑!O162/2)*(鋼床鈑!K162+鋼床鈑!L162/2+鋼床鈑!M162/2))^2/((鋼床鈑!F162+鋼床鈑!N162/2+鋼床鈑!O162/2)/鋼床鈑!L162+(鋼床鈑!I162+鋼床鈑!N162/2+鋼床鈑!O162/2)/鋼床鈑!M162+(鋼床鈑!K162+鋼床鈑!L162/2+鋼床鈑!M162/2)/鋼床鈑!N162+(鋼床鈑!K162+鋼床鈑!L162/2+鋼床鈑!M162/2)/鋼床鈑!O162)</f>
        <v>745061460122.28992</v>
      </c>
      <c r="V162" s="12">
        <f t="shared" si="34"/>
        <v>0.30194137559282808</v>
      </c>
      <c r="W162" s="12">
        <f t="shared" si="35"/>
        <v>0.29726352691393432</v>
      </c>
      <c r="X162" s="12">
        <f t="shared" si="36"/>
        <v>0.73316097440026318</v>
      </c>
      <c r="Y162" s="12">
        <f t="shared" si="37"/>
        <v>0.48203184599487919</v>
      </c>
      <c r="Z162" s="12">
        <f t="shared" si="32"/>
        <v>1.5113119710718468</v>
      </c>
      <c r="AA162" s="12">
        <f t="shared" si="33"/>
        <v>1.69037290901794</v>
      </c>
      <c r="AB162" s="10">
        <f t="shared" si="38"/>
        <v>4.1559999999999997</v>
      </c>
      <c r="AC162" s="10">
        <f t="shared" si="39"/>
        <v>6.45</v>
      </c>
      <c r="AD162" s="10">
        <f t="shared" si="40"/>
        <v>0.42299999999999999</v>
      </c>
      <c r="AE162" s="12">
        <f t="shared" si="41"/>
        <v>0.74506146012228991</v>
      </c>
      <c r="AF162" s="12">
        <f t="shared" si="42"/>
        <v>0.1648</v>
      </c>
      <c r="AG162" s="12">
        <f t="shared" si="43"/>
        <v>0.10224</v>
      </c>
      <c r="AH162" s="10">
        <f t="shared" si="44"/>
        <v>0.96615901866184495</v>
      </c>
      <c r="AI162" s="10">
        <f t="shared" si="45"/>
        <v>1.20866352176217</v>
      </c>
      <c r="AJ162" s="13">
        <f t="shared" si="46"/>
        <v>0.96615901866184495</v>
      </c>
      <c r="AK162" s="13">
        <f t="shared" si="47"/>
        <v>1.20866352176217</v>
      </c>
    </row>
    <row r="163" spans="1:37">
      <c r="A163" s="8">
        <f>鋼床鈑!A163</f>
        <v>161</v>
      </c>
      <c r="B163" s="47" t="s">
        <v>41</v>
      </c>
      <c r="C163" s="47" t="s">
        <v>42</v>
      </c>
      <c r="D163" s="47" t="s">
        <v>261</v>
      </c>
      <c r="E163" s="48">
        <v>421840</v>
      </c>
      <c r="F163" s="49">
        <v>121217.4097</v>
      </c>
      <c r="G163" s="49">
        <v>139747.0422</v>
      </c>
      <c r="H163" s="49">
        <v>751037681780.09204</v>
      </c>
      <c r="I163" s="49">
        <v>1189630701407.1101</v>
      </c>
      <c r="J163" s="49">
        <v>963849896553.15295</v>
      </c>
      <c r="K163" s="49">
        <v>3250.0398</v>
      </c>
      <c r="L163" s="49">
        <v>3199.9602</v>
      </c>
      <c r="M163" s="49">
        <v>1636.0038</v>
      </c>
      <c r="N163" s="49">
        <v>2490.9962</v>
      </c>
      <c r="O163" s="48">
        <v>0</v>
      </c>
      <c r="P163" s="48">
        <v>0</v>
      </c>
      <c r="Q163" s="48">
        <v>27140</v>
      </c>
      <c r="R163" s="48">
        <v>21016</v>
      </c>
      <c r="S163" s="11">
        <f>(鋼床鈑!F163+鋼床鈑!N163+鋼床鈑!O163)*鋼床鈑!L163+(鋼床鈑!I163+鋼床鈑!N163+鋼床鈑!O163)*鋼床鈑!M163</f>
        <v>102240</v>
      </c>
      <c r="T163" s="11">
        <f>(鋼床鈑!K163)*鋼床鈑!N163+(鋼床鈑!K163)*鋼床鈑!O163</f>
        <v>163640</v>
      </c>
      <c r="U163" s="11">
        <f>4*((鋼床鈑!I163+鋼床鈑!N163/2+鋼床鈑!O163/2)*(鋼床鈑!K163+鋼床鈑!L163/2+鋼床鈑!M163/2))^2/((鋼床鈑!F163+鋼床鈑!N163/2+鋼床鈑!O163/2)/鋼床鈑!L163+(鋼床鈑!I163+鋼床鈑!N163/2+鋼床鈑!O163/2)/鋼床鈑!M163+(鋼床鈑!K163+鋼床鈑!L163/2+鋼床鈑!M163/2)/鋼床鈑!N163+(鋼床鈑!K163+鋼床鈑!L163/2+鋼床鈑!M163/2)/鋼床鈑!O163)</f>
        <v>737580857045.38892</v>
      </c>
      <c r="V163" s="12">
        <f t="shared" si="34"/>
        <v>0.30120683893291955</v>
      </c>
      <c r="W163" s="12">
        <f t="shared" si="35"/>
        <v>0.29656556715187088</v>
      </c>
      <c r="X163" s="12">
        <f t="shared" si="36"/>
        <v>0.72715644145026448</v>
      </c>
      <c r="Y163" s="12">
        <f t="shared" si="37"/>
        <v>0.47757226663256658</v>
      </c>
      <c r="Z163" s="12">
        <f t="shared" si="32"/>
        <v>1.5115789082695477</v>
      </c>
      <c r="AA163" s="12">
        <f t="shared" si="33"/>
        <v>1.6793151372195183</v>
      </c>
      <c r="AB163" s="10">
        <f t="shared" si="38"/>
        <v>4.1269999999999998</v>
      </c>
      <c r="AC163" s="10">
        <f t="shared" si="39"/>
        <v>6.45</v>
      </c>
      <c r="AD163" s="10">
        <f t="shared" si="40"/>
        <v>0.42183999999999999</v>
      </c>
      <c r="AE163" s="12">
        <f t="shared" si="41"/>
        <v>0.73758085704538889</v>
      </c>
      <c r="AF163" s="12">
        <f t="shared" si="42"/>
        <v>0.16364000000000001</v>
      </c>
      <c r="AG163" s="12">
        <f t="shared" si="43"/>
        <v>0.10224</v>
      </c>
      <c r="AH163" s="10">
        <f t="shared" si="44"/>
        <v>0.96384989655315301</v>
      </c>
      <c r="AI163" s="10">
        <f t="shared" si="45"/>
        <v>1.1896307014071101</v>
      </c>
      <c r="AJ163" s="13">
        <f t="shared" si="46"/>
        <v>0.96384989655315301</v>
      </c>
      <c r="AK163" s="13">
        <f t="shared" si="47"/>
        <v>1.1896307014071101</v>
      </c>
    </row>
    <row r="164" spans="1:37">
      <c r="A164" s="8">
        <f>鋼床鈑!A164</f>
        <v>162</v>
      </c>
      <c r="B164" s="47" t="s">
        <v>41</v>
      </c>
      <c r="C164" s="47" t="s">
        <v>42</v>
      </c>
      <c r="D164" s="47" t="s">
        <v>262</v>
      </c>
      <c r="E164" s="48">
        <v>420880</v>
      </c>
      <c r="F164" s="49">
        <v>121337.2001</v>
      </c>
      <c r="G164" s="49">
        <v>138788.35209999999</v>
      </c>
      <c r="H164" s="49">
        <v>744782060983.80298</v>
      </c>
      <c r="I164" s="49">
        <v>1174011157663.96</v>
      </c>
      <c r="J164" s="49">
        <v>961938886909.35303</v>
      </c>
      <c r="K164" s="49">
        <v>3249.9259000000002</v>
      </c>
      <c r="L164" s="49">
        <v>3200.0740999999998</v>
      </c>
      <c r="M164" s="49">
        <v>1625.6165000000001</v>
      </c>
      <c r="N164" s="49">
        <v>2477.3834999999999</v>
      </c>
      <c r="O164" s="48">
        <v>0</v>
      </c>
      <c r="P164" s="48">
        <v>0</v>
      </c>
      <c r="Q164" s="48">
        <v>27092</v>
      </c>
      <c r="R164" s="48">
        <v>20968</v>
      </c>
      <c r="S164" s="11">
        <f>(鋼床鈑!F164+鋼床鈑!N164+鋼床鈑!O164)*鋼床鈑!L164+(鋼床鈑!I164+鋼床鈑!N164+鋼床鈑!O164)*鋼床鈑!M164</f>
        <v>102240</v>
      </c>
      <c r="T164" s="11">
        <f>(鋼床鈑!K164)*鋼床鈑!N164+(鋼床鈑!K164)*鋼床鈑!O164</f>
        <v>162680</v>
      </c>
      <c r="U164" s="11">
        <f>4*((鋼床鈑!I164+鋼床鈑!N164/2+鋼床鈑!O164/2)*(鋼床鈑!K164+鋼床鈑!L164/2+鋼床鈑!M164/2))^2/((鋼床鈑!F164+鋼床鈑!N164/2+鋼床鈑!O164/2)/鋼床鈑!L164+(鋼床鈑!I164+鋼床鈑!N164/2+鋼床鈑!O164/2)/鋼床鈑!M164+(鋼床鈑!K164+鋼床鈑!L164/2+鋼床鈑!M164/2)/鋼床鈑!N164+(鋼床鈑!K164+鋼床鈑!L164/2+鋼床鈑!M164/2)/鋼床鈑!O164)</f>
        <v>731400554405.78711</v>
      </c>
      <c r="V164" s="12">
        <f t="shared" si="34"/>
        <v>0.30059894141493571</v>
      </c>
      <c r="W164" s="12">
        <f t="shared" si="35"/>
        <v>0.29598794449724314</v>
      </c>
      <c r="X164" s="12">
        <f t="shared" si="36"/>
        <v>0.72219441526581452</v>
      </c>
      <c r="Y164" s="12">
        <f t="shared" si="37"/>
        <v>0.47389157054770087</v>
      </c>
      <c r="Z164" s="12">
        <f t="shared" si="32"/>
        <v>1.5118008892048054</v>
      </c>
      <c r="AA164" s="12">
        <f t="shared" si="33"/>
        <v>1.6701557297803729</v>
      </c>
      <c r="AB164" s="10">
        <f t="shared" si="38"/>
        <v>4.1029999999999998</v>
      </c>
      <c r="AC164" s="10">
        <f t="shared" si="39"/>
        <v>6.45</v>
      </c>
      <c r="AD164" s="10">
        <f t="shared" si="40"/>
        <v>0.42087999999999998</v>
      </c>
      <c r="AE164" s="12">
        <f t="shared" si="41"/>
        <v>0.73140055440578711</v>
      </c>
      <c r="AF164" s="12">
        <f t="shared" si="42"/>
        <v>0.16267999999999999</v>
      </c>
      <c r="AG164" s="12">
        <f t="shared" si="43"/>
        <v>0.10224</v>
      </c>
      <c r="AH164" s="10">
        <f t="shared" si="44"/>
        <v>0.96193888690935303</v>
      </c>
      <c r="AI164" s="10">
        <f t="shared" si="45"/>
        <v>1.17401115766396</v>
      </c>
      <c r="AJ164" s="13">
        <f t="shared" si="46"/>
        <v>0.96193888690935303</v>
      </c>
      <c r="AK164" s="13">
        <f t="shared" si="47"/>
        <v>1.17401115766396</v>
      </c>
    </row>
    <row r="165" spans="1:37">
      <c r="A165" s="8">
        <f>鋼床鈑!A165</f>
        <v>163</v>
      </c>
      <c r="B165" s="47" t="s">
        <v>41</v>
      </c>
      <c r="C165" s="47" t="s">
        <v>42</v>
      </c>
      <c r="D165" s="47" t="s">
        <v>263</v>
      </c>
      <c r="E165" s="48">
        <v>420040</v>
      </c>
      <c r="F165" s="49">
        <v>121452.56819999999</v>
      </c>
      <c r="G165" s="49">
        <v>137951.10449999999</v>
      </c>
      <c r="H165" s="49">
        <v>739342045362.58606</v>
      </c>
      <c r="I165" s="49">
        <v>1160441695830.02</v>
      </c>
      <c r="J165" s="49">
        <v>960266744465.72205</v>
      </c>
      <c r="K165" s="49">
        <v>3249.8256999999999</v>
      </c>
      <c r="L165" s="49">
        <v>3200.1743000000001</v>
      </c>
      <c r="M165" s="49">
        <v>1616.5336</v>
      </c>
      <c r="N165" s="49">
        <v>2465.4663999999998</v>
      </c>
      <c r="O165" s="48">
        <v>0</v>
      </c>
      <c r="P165" s="48">
        <v>0</v>
      </c>
      <c r="Q165" s="48">
        <v>27050</v>
      </c>
      <c r="R165" s="48">
        <v>20926</v>
      </c>
      <c r="S165" s="11">
        <f>(鋼床鈑!F165+鋼床鈑!N165+鋼床鈑!O165)*鋼床鈑!L165+(鋼床鈑!I165+鋼床鈑!N165+鋼床鈑!O165)*鋼床鈑!M165</f>
        <v>102240</v>
      </c>
      <c r="T165" s="11">
        <f>(鋼床鈑!K165)*鋼床鈑!N165+(鋼床鈑!K165)*鋼床鈑!O165</f>
        <v>161840</v>
      </c>
      <c r="U165" s="11">
        <f>4*((鋼床鈑!I165+鋼床鈑!N165/2+鋼床鈑!O165/2)*(鋼床鈑!K165+鋼床鈑!L165/2+鋼床鈑!M165/2))^2/((鋼床鈑!F165+鋼床鈑!N165/2+鋼床鈑!O165/2)/鋼床鈑!L165+(鋼床鈑!I165+鋼床鈑!N165/2+鋼床鈑!O165/2)/鋼床鈑!M165+(鋼床鈑!K165+鋼床鈑!L165/2+鋼床鈑!M165/2)/鋼床鈑!N165+(鋼床鈑!K165+鋼床鈑!L165/2+鋼床鈑!M165/2)/鋼床鈑!O165)</f>
        <v>726000701059.35181</v>
      </c>
      <c r="V165" s="12">
        <f t="shared" si="34"/>
        <v>0.30006701337040359</v>
      </c>
      <c r="W165" s="12">
        <f t="shared" si="35"/>
        <v>0.29548253756062121</v>
      </c>
      <c r="X165" s="12">
        <f t="shared" si="36"/>
        <v>0.7178580734913399</v>
      </c>
      <c r="Y165" s="12">
        <f t="shared" si="37"/>
        <v>0.47067836569584565</v>
      </c>
      <c r="Z165" s="12">
        <f t="shared" si="32"/>
        <v>1.5119959208806872</v>
      </c>
      <c r="AA165" s="12">
        <f t="shared" si="33"/>
        <v>1.662135164478151</v>
      </c>
      <c r="AB165" s="10">
        <f t="shared" si="38"/>
        <v>4.0819999999999999</v>
      </c>
      <c r="AC165" s="10">
        <f t="shared" si="39"/>
        <v>6.45</v>
      </c>
      <c r="AD165" s="10">
        <f t="shared" si="40"/>
        <v>0.42004000000000002</v>
      </c>
      <c r="AE165" s="12">
        <f t="shared" si="41"/>
        <v>0.72600070105935177</v>
      </c>
      <c r="AF165" s="12">
        <f t="shared" si="42"/>
        <v>0.16184000000000001</v>
      </c>
      <c r="AG165" s="12">
        <f t="shared" si="43"/>
        <v>0.10224</v>
      </c>
      <c r="AH165" s="10">
        <f t="shared" si="44"/>
        <v>0.96026674446572202</v>
      </c>
      <c r="AI165" s="10">
        <f t="shared" si="45"/>
        <v>1.1604416958300201</v>
      </c>
      <c r="AJ165" s="13">
        <f t="shared" si="46"/>
        <v>0.96026674446572202</v>
      </c>
      <c r="AK165" s="13">
        <f t="shared" si="47"/>
        <v>1.1604416958300201</v>
      </c>
    </row>
    <row r="166" spans="1:37">
      <c r="A166" s="8">
        <f>鋼床鈑!A166</f>
        <v>164</v>
      </c>
      <c r="B166" s="47" t="s">
        <v>41</v>
      </c>
      <c r="C166" s="47" t="s">
        <v>42</v>
      </c>
      <c r="D166" s="47" t="s">
        <v>264</v>
      </c>
      <c r="E166" s="48">
        <v>419360</v>
      </c>
      <c r="F166" s="49">
        <v>121537.3821</v>
      </c>
      <c r="G166" s="49">
        <v>137272.83559999999</v>
      </c>
      <c r="H166" s="49">
        <v>734927297506.32397</v>
      </c>
      <c r="I166" s="49">
        <v>1149523498369.46</v>
      </c>
      <c r="J166" s="49">
        <v>958913099152.27405</v>
      </c>
      <c r="K166" s="49">
        <v>3249.7444</v>
      </c>
      <c r="L166" s="49">
        <v>3200.2556</v>
      </c>
      <c r="M166" s="49">
        <v>1609.1849</v>
      </c>
      <c r="N166" s="49">
        <v>2455.8150999999998</v>
      </c>
      <c r="O166" s="48">
        <v>0</v>
      </c>
      <c r="P166" s="48">
        <v>0</v>
      </c>
      <c r="Q166" s="48">
        <v>27016</v>
      </c>
      <c r="R166" s="48">
        <v>20892</v>
      </c>
      <c r="S166" s="11">
        <f>(鋼床鈑!F166+鋼床鈑!N166+鋼床鈑!O166)*鋼床鈑!L166+(鋼床鈑!I166+鋼床鈑!N166+鋼床鈑!O166)*鋼床鈑!M166</f>
        <v>102240</v>
      </c>
      <c r="T166" s="11">
        <f>(鋼床鈑!K166)*鋼床鈑!N166+(鋼床鈑!K166)*鋼床鈑!O166</f>
        <v>161160</v>
      </c>
      <c r="U166" s="11">
        <f>4*((鋼床鈑!I166+鋼床鈑!N166/2+鋼床鈑!O166/2)*(鋼床鈑!K166+鋼床鈑!L166/2+鋼床鈑!M166/2))^2/((鋼床鈑!F166+鋼床鈑!N166/2+鋼床鈑!O166/2)/鋼床鈑!L166+(鋼床鈑!I166+鋼床鈑!N166/2+鋼床鈑!O166/2)/鋼床鈑!M166+(鋼床鈑!K166+鋼床鈑!L166/2+鋼床鈑!M166/2)/鋼床鈑!N166+(鋼床鈑!K166+鋼床鈑!L166/2+鋼床鈑!M166/2)/鋼床鈑!O166)</f>
        <v>721634845912.3208</v>
      </c>
      <c r="V166" s="12">
        <f t="shared" si="34"/>
        <v>0.29963641002683478</v>
      </c>
      <c r="W166" s="12">
        <f t="shared" si="35"/>
        <v>0.29507339074183003</v>
      </c>
      <c r="X166" s="12">
        <f t="shared" si="36"/>
        <v>0.71435140757874371</v>
      </c>
      <c r="Y166" s="12">
        <f t="shared" si="37"/>
        <v>0.46808226660446062</v>
      </c>
      <c r="Z166" s="12">
        <f t="shared" si="32"/>
        <v>1.5121543525201886</v>
      </c>
      <c r="AA166" s="12">
        <f t="shared" si="33"/>
        <v>1.6556381495089885</v>
      </c>
      <c r="AB166" s="10">
        <f t="shared" si="38"/>
        <v>4.0650000000000004</v>
      </c>
      <c r="AC166" s="10">
        <f t="shared" si="39"/>
        <v>6.45</v>
      </c>
      <c r="AD166" s="10">
        <f t="shared" si="40"/>
        <v>0.41936000000000001</v>
      </c>
      <c r="AE166" s="12">
        <f t="shared" si="41"/>
        <v>0.72163484591232085</v>
      </c>
      <c r="AF166" s="12">
        <f t="shared" si="42"/>
        <v>0.16116</v>
      </c>
      <c r="AG166" s="12">
        <f t="shared" si="43"/>
        <v>0.10224</v>
      </c>
      <c r="AH166" s="10">
        <f t="shared" si="44"/>
        <v>0.95891309915227407</v>
      </c>
      <c r="AI166" s="10">
        <f t="shared" si="45"/>
        <v>1.14952349836946</v>
      </c>
      <c r="AJ166" s="13">
        <f t="shared" si="46"/>
        <v>0.95891309915227407</v>
      </c>
      <c r="AK166" s="13">
        <f t="shared" si="47"/>
        <v>1.14952349836946</v>
      </c>
    </row>
    <row r="167" spans="1:37">
      <c r="A167" s="8">
        <f>鋼床鈑!A167</f>
        <v>165</v>
      </c>
      <c r="B167" s="47" t="s">
        <v>41</v>
      </c>
      <c r="C167" s="47" t="s">
        <v>42</v>
      </c>
      <c r="D167" s="47" t="s">
        <v>265</v>
      </c>
      <c r="E167" s="48">
        <v>418840</v>
      </c>
      <c r="F167" s="49">
        <v>121601.2522</v>
      </c>
      <c r="G167" s="49">
        <v>136753.8535</v>
      </c>
      <c r="H167" s="49">
        <v>731551312482.86096</v>
      </c>
      <c r="I167" s="49">
        <v>1141214429034.9099</v>
      </c>
      <c r="J167" s="49">
        <v>957877954861.797</v>
      </c>
      <c r="K167" s="49">
        <v>3249.6819999999998</v>
      </c>
      <c r="L167" s="49">
        <v>3200.3180000000002</v>
      </c>
      <c r="M167" s="49">
        <v>1603.5679</v>
      </c>
      <c r="N167" s="49">
        <v>2448.4321</v>
      </c>
      <c r="O167" s="48">
        <v>0</v>
      </c>
      <c r="P167" s="48">
        <v>0</v>
      </c>
      <c r="Q167" s="48">
        <v>26990</v>
      </c>
      <c r="R167" s="48">
        <v>20866</v>
      </c>
      <c r="S167" s="11">
        <f>(鋼床鈑!F167+鋼床鈑!N167+鋼床鈑!O167)*鋼床鈑!L167+(鋼床鈑!I167+鋼床鈑!N167+鋼床鈑!O167)*鋼床鈑!M167</f>
        <v>102240</v>
      </c>
      <c r="T167" s="11">
        <f>(鋼床鈑!K167)*鋼床鈑!N167+(鋼床鈑!K167)*鋼床鈑!O167</f>
        <v>160640</v>
      </c>
      <c r="U167" s="11">
        <f>4*((鋼床鈑!I167+鋼床鈑!N167/2+鋼床鈑!O167/2)*(鋼床鈑!K167+鋼床鈑!L167/2+鋼床鈑!M167/2))^2/((鋼床鈑!F167+鋼床鈑!N167/2+鋼床鈑!O167/2)/鋼床鈑!L167+(鋼床鈑!I167+鋼床鈑!N167/2+鋼床鈑!O167/2)/鋼床鈑!M167+(鋼床鈑!K167+鋼床鈑!L167/2+鋼床鈑!M167/2)/鋼床鈑!N167+(鋼床鈑!K167+鋼床鈑!L167/2+鋼床鈑!M167/2)/鋼床鈑!O167)</f>
        <v>718299567192.95068</v>
      </c>
      <c r="V167" s="12">
        <f t="shared" si="34"/>
        <v>0.29930711724953485</v>
      </c>
      <c r="W167" s="12">
        <f t="shared" si="35"/>
        <v>0.29476051960216321</v>
      </c>
      <c r="X167" s="12">
        <f t="shared" si="36"/>
        <v>0.71167203399052203</v>
      </c>
      <c r="Y167" s="12">
        <f t="shared" si="37"/>
        <v>0.46610009280425219</v>
      </c>
      <c r="Z167" s="12">
        <f t="shared" si="32"/>
        <v>1.5122758390279532</v>
      </c>
      <c r="AA167" s="12">
        <f t="shared" si="33"/>
        <v>1.6506673138525454</v>
      </c>
      <c r="AB167" s="10">
        <f t="shared" si="38"/>
        <v>4.0519999999999996</v>
      </c>
      <c r="AC167" s="10">
        <f t="shared" si="39"/>
        <v>6.45</v>
      </c>
      <c r="AD167" s="10">
        <f t="shared" si="40"/>
        <v>0.41883999999999999</v>
      </c>
      <c r="AE167" s="12">
        <f t="shared" si="41"/>
        <v>0.71829956719295074</v>
      </c>
      <c r="AF167" s="12">
        <f t="shared" si="42"/>
        <v>0.16064000000000001</v>
      </c>
      <c r="AG167" s="12">
        <f t="shared" si="43"/>
        <v>0.10224</v>
      </c>
      <c r="AH167" s="10">
        <f t="shared" si="44"/>
        <v>0.95787795486179694</v>
      </c>
      <c r="AI167" s="10">
        <f t="shared" si="45"/>
        <v>1.14121442903491</v>
      </c>
      <c r="AJ167" s="13">
        <f t="shared" si="46"/>
        <v>0.95787795486179694</v>
      </c>
      <c r="AK167" s="13">
        <f t="shared" si="47"/>
        <v>1.14121442903491</v>
      </c>
    </row>
    <row r="168" spans="1:37">
      <c r="A168" s="8">
        <f>鋼床鈑!A168</f>
        <v>166</v>
      </c>
      <c r="B168" s="47" t="s">
        <v>41</v>
      </c>
      <c r="C168" s="47" t="s">
        <v>42</v>
      </c>
      <c r="D168" s="47" t="s">
        <v>266</v>
      </c>
      <c r="E168" s="48">
        <v>418480</v>
      </c>
      <c r="F168" s="49">
        <v>121646.23020000001</v>
      </c>
      <c r="G168" s="49">
        <v>136394.22010000001</v>
      </c>
      <c r="H168" s="49">
        <v>729215379955.453</v>
      </c>
      <c r="I168" s="49">
        <v>1135482348272.01</v>
      </c>
      <c r="J168" s="49">
        <v>957161314592.51404</v>
      </c>
      <c r="K168" s="49">
        <v>3249.6387</v>
      </c>
      <c r="L168" s="49">
        <v>3200.3613</v>
      </c>
      <c r="M168" s="49">
        <v>1599.6804</v>
      </c>
      <c r="N168" s="49">
        <v>2443.3195999999998</v>
      </c>
      <c r="O168" s="48">
        <v>0</v>
      </c>
      <c r="P168" s="48">
        <v>0</v>
      </c>
      <c r="Q168" s="48">
        <v>26972</v>
      </c>
      <c r="R168" s="48">
        <v>20848</v>
      </c>
      <c r="S168" s="11">
        <f>(鋼床鈑!F168+鋼床鈑!N168+鋼床鈑!O168)*鋼床鈑!L168+(鋼床鈑!I168+鋼床鈑!N168+鋼床鈑!O168)*鋼床鈑!M168</f>
        <v>102240</v>
      </c>
      <c r="T168" s="11">
        <f>(鋼床鈑!K168)*鋼床鈑!N168+(鋼床鈑!K168)*鋼床鈑!O168</f>
        <v>160280</v>
      </c>
      <c r="U168" s="11">
        <f>4*((鋼床鈑!I168+鋼床鈑!N168/2+鋼床鈑!O168/2)*(鋼床鈑!K168+鋼床鈑!L168/2+鋼床鈑!M168/2))^2/((鋼床鈑!F168+鋼床鈑!N168/2+鋼床鈑!O168/2)/鋼床鈑!L168+(鋼床鈑!I168+鋼床鈑!N168/2+鋼床鈑!O168/2)/鋼床鈑!M168+(鋼床鈑!K168+鋼床鈑!L168/2+鋼床鈑!M168/2)/鋼床鈑!N168+(鋼床鈑!K168+鋼床鈑!L168/2+鋼床鈑!M168/2)/鋼床鈑!O168)</f>
        <v>715992220910.03821</v>
      </c>
      <c r="V168" s="12">
        <f t="shared" si="34"/>
        <v>0.29907914290568194</v>
      </c>
      <c r="W168" s="12">
        <f t="shared" si="35"/>
        <v>0.29454391794155887</v>
      </c>
      <c r="X168" s="12">
        <f t="shared" si="36"/>
        <v>0.709818253866216</v>
      </c>
      <c r="Y168" s="12">
        <f t="shared" si="37"/>
        <v>0.46472935766242374</v>
      </c>
      <c r="Z168" s="12">
        <f t="shared" si="32"/>
        <v>1.5123601146879766</v>
      </c>
      <c r="AA168" s="12">
        <f t="shared" si="33"/>
        <v>1.6472246781765474</v>
      </c>
      <c r="AB168" s="10">
        <f t="shared" si="38"/>
        <v>4.0430000000000001</v>
      </c>
      <c r="AC168" s="10">
        <f t="shared" si="39"/>
        <v>6.45</v>
      </c>
      <c r="AD168" s="10">
        <f t="shared" si="40"/>
        <v>0.41848000000000002</v>
      </c>
      <c r="AE168" s="12">
        <f t="shared" si="41"/>
        <v>0.71599222091003822</v>
      </c>
      <c r="AF168" s="12">
        <f t="shared" si="42"/>
        <v>0.16028000000000001</v>
      </c>
      <c r="AG168" s="12">
        <f t="shared" si="43"/>
        <v>0.10224</v>
      </c>
      <c r="AH168" s="10">
        <f t="shared" si="44"/>
        <v>0.95716131459251408</v>
      </c>
      <c r="AI168" s="10">
        <f t="shared" si="45"/>
        <v>1.13548234827201</v>
      </c>
      <c r="AJ168" s="13">
        <f t="shared" si="46"/>
        <v>0.95716131459251408</v>
      </c>
      <c r="AK168" s="13">
        <f t="shared" si="47"/>
        <v>1.13548234827201</v>
      </c>
    </row>
    <row r="169" spans="1:37">
      <c r="A169" s="8">
        <f>鋼床鈑!A169</f>
        <v>167</v>
      </c>
      <c r="B169" s="47" t="s">
        <v>41</v>
      </c>
      <c r="C169" s="47" t="s">
        <v>42</v>
      </c>
      <c r="D169" s="47" t="s">
        <v>267</v>
      </c>
      <c r="E169" s="48">
        <v>418280</v>
      </c>
      <c r="F169" s="49">
        <v>121670.73330000001</v>
      </c>
      <c r="G169" s="49">
        <v>136195.32860000001</v>
      </c>
      <c r="H169" s="49">
        <v>727922338441.48999</v>
      </c>
      <c r="I169" s="49">
        <v>1132305047408.99</v>
      </c>
      <c r="J169" s="49">
        <v>956763180431.04602</v>
      </c>
      <c r="K169" s="49">
        <v>3249.6145999999999</v>
      </c>
      <c r="L169" s="49">
        <v>3200.3854000000001</v>
      </c>
      <c r="M169" s="49">
        <v>1597.5211999999999</v>
      </c>
      <c r="N169" s="49">
        <v>2440.4787999999999</v>
      </c>
      <c r="O169" s="48">
        <v>0</v>
      </c>
      <c r="P169" s="48">
        <v>0</v>
      </c>
      <c r="Q169" s="48">
        <v>26962</v>
      </c>
      <c r="R169" s="48">
        <v>20838</v>
      </c>
      <c r="S169" s="11">
        <f>(鋼床鈑!F169+鋼床鈑!N169+鋼床鈑!O169)*鋼床鈑!L169+(鋼床鈑!I169+鋼床鈑!N169+鋼床鈑!O169)*鋼床鈑!M169</f>
        <v>102240</v>
      </c>
      <c r="T169" s="11">
        <f>(鋼床鈑!K169)*鋼床鈑!N169+(鋼床鈑!K169)*鋼床鈑!O169</f>
        <v>160080</v>
      </c>
      <c r="U169" s="11">
        <f>4*((鋼床鈑!I169+鋼床鈑!N169/2+鋼床鈑!O169/2)*(鋼床鈑!K169+鋼床鈑!L169/2+鋼床鈑!M169/2))^2/((鋼床鈑!F169+鋼床鈑!N169/2+鋼床鈑!O169/2)/鋼床鈑!L169+(鋼床鈑!I169+鋼床鈑!N169/2+鋼床鈑!O169/2)/鋼床鈑!M169+(鋼床鈑!K169+鋼床鈑!L169/2+鋼床鈑!M169/2)/鋼床鈑!N169+(鋼床鈑!K169+鋼床鈑!L169/2+鋼床鈑!M169/2)/鋼床鈑!O169)</f>
        <v>714710962586.0271</v>
      </c>
      <c r="V169" s="12">
        <f t="shared" si="34"/>
        <v>0.29895248879433273</v>
      </c>
      <c r="W169" s="12">
        <f t="shared" si="35"/>
        <v>0.29442358500944887</v>
      </c>
      <c r="X169" s="12">
        <f t="shared" si="36"/>
        <v>0.70878874559473137</v>
      </c>
      <c r="Y169" s="12">
        <f t="shared" si="37"/>
        <v>0.46396840136820289</v>
      </c>
      <c r="Z169" s="12">
        <f t="shared" si="32"/>
        <v>1.5124069946130618</v>
      </c>
      <c r="AA169" s="12">
        <f t="shared" si="33"/>
        <v>1.6453116466421602</v>
      </c>
      <c r="AB169" s="10">
        <f t="shared" si="38"/>
        <v>4.0380000000000003</v>
      </c>
      <c r="AC169" s="10">
        <f t="shared" si="39"/>
        <v>6.45</v>
      </c>
      <c r="AD169" s="10">
        <f t="shared" si="40"/>
        <v>0.41827999999999999</v>
      </c>
      <c r="AE169" s="12">
        <f t="shared" si="41"/>
        <v>0.71471096258602707</v>
      </c>
      <c r="AF169" s="12">
        <f t="shared" si="42"/>
        <v>0.16008</v>
      </c>
      <c r="AG169" s="12">
        <f t="shared" si="43"/>
        <v>0.10224</v>
      </c>
      <c r="AH169" s="10">
        <f t="shared" si="44"/>
        <v>0.95676318043104602</v>
      </c>
      <c r="AI169" s="10">
        <f t="shared" si="45"/>
        <v>1.13230504740899</v>
      </c>
      <c r="AJ169" s="13">
        <f t="shared" si="46"/>
        <v>0.95676318043104602</v>
      </c>
      <c r="AK169" s="13">
        <f t="shared" si="47"/>
        <v>1.13230504740899</v>
      </c>
    </row>
    <row r="170" spans="1:37">
      <c r="A170" s="8">
        <f>鋼床鈑!A170</f>
        <v>168</v>
      </c>
      <c r="B170" s="47" t="s">
        <v>41</v>
      </c>
      <c r="C170" s="47" t="s">
        <v>42</v>
      </c>
      <c r="D170" s="47" t="s">
        <v>268</v>
      </c>
      <c r="E170" s="48">
        <v>418200</v>
      </c>
      <c r="F170" s="49">
        <v>121680.8575</v>
      </c>
      <c r="G170" s="49">
        <v>136115.51930000001</v>
      </c>
      <c r="H170" s="49">
        <v>727404217233.58801</v>
      </c>
      <c r="I170" s="49">
        <v>1131035563965.47</v>
      </c>
      <c r="J170" s="49">
        <v>956603926630.54297</v>
      </c>
      <c r="K170" s="49">
        <v>3249.605</v>
      </c>
      <c r="L170" s="49">
        <v>3200.395</v>
      </c>
      <c r="M170" s="49">
        <v>1596.6576</v>
      </c>
      <c r="N170" s="49">
        <v>2439.3424</v>
      </c>
      <c r="O170" s="48">
        <v>0</v>
      </c>
      <c r="P170" s="48">
        <v>0</v>
      </c>
      <c r="Q170" s="48">
        <v>26958</v>
      </c>
      <c r="R170" s="48">
        <v>20834</v>
      </c>
      <c r="S170" s="11">
        <f>(鋼床鈑!F170+鋼床鈑!N170+鋼床鈑!O170)*鋼床鈑!L170+(鋼床鈑!I170+鋼床鈑!N170+鋼床鈑!O170)*鋼床鈑!M170</f>
        <v>102240</v>
      </c>
      <c r="T170" s="11">
        <f>(鋼床鈑!K170)*鋼床鈑!N170+(鋼床鈑!K170)*鋼床鈑!O170</f>
        <v>160000</v>
      </c>
      <c r="U170" s="11">
        <f>4*((鋼床鈑!I170+鋼床鈑!N170/2+鋼床鈑!O170/2)*(鋼床鈑!K170+鋼床鈑!L170/2+鋼床鈑!M170/2))^2/((鋼床鈑!F170+鋼床鈑!N170/2+鋼床鈑!O170/2)/鋼床鈑!L170+(鋼床鈑!I170+鋼床鈑!N170/2+鋼床鈑!O170/2)/鋼床鈑!M170+(鋼床鈑!K170+鋼床鈑!L170/2+鋼床鈑!M170/2)/鋼床鈑!N170+(鋼床鈑!K170+鋼床鈑!L170/2+鋼床鈑!M170/2)/鋼床鈑!O170)</f>
        <v>714198579668.17334</v>
      </c>
      <c r="V170" s="12">
        <f t="shared" si="34"/>
        <v>0.29890183137723403</v>
      </c>
      <c r="W170" s="12">
        <f t="shared" si="35"/>
        <v>0.29437544767149948</v>
      </c>
      <c r="X170" s="12">
        <f t="shared" si="36"/>
        <v>0.70837702708800554</v>
      </c>
      <c r="Y170" s="12">
        <f t="shared" si="37"/>
        <v>0.46366412684232844</v>
      </c>
      <c r="Z170" s="12">
        <f t="shared" si="32"/>
        <v>1.5124257586235506</v>
      </c>
      <c r="AA170" s="12">
        <f t="shared" si="33"/>
        <v>1.6445463426974198</v>
      </c>
      <c r="AB170" s="10">
        <f t="shared" si="38"/>
        <v>4.0359999999999996</v>
      </c>
      <c r="AC170" s="10">
        <f t="shared" si="39"/>
        <v>6.45</v>
      </c>
      <c r="AD170" s="10">
        <f t="shared" si="40"/>
        <v>0.41820000000000002</v>
      </c>
      <c r="AE170" s="12">
        <f t="shared" si="41"/>
        <v>0.71419857966817335</v>
      </c>
      <c r="AF170" s="12">
        <f t="shared" si="42"/>
        <v>0.16</v>
      </c>
      <c r="AG170" s="12">
        <f t="shared" si="43"/>
        <v>0.10224</v>
      </c>
      <c r="AH170" s="10">
        <f t="shared" si="44"/>
        <v>0.95660392663054294</v>
      </c>
      <c r="AI170" s="10">
        <f t="shared" si="45"/>
        <v>1.1310355639654699</v>
      </c>
      <c r="AJ170" s="13">
        <f t="shared" si="46"/>
        <v>0.95660392663054294</v>
      </c>
      <c r="AK170" s="13">
        <f t="shared" si="47"/>
        <v>1.1310355639654699</v>
      </c>
    </row>
    <row r="171" spans="1:37">
      <c r="A171" s="8">
        <f>鋼床鈑!A171</f>
        <v>169</v>
      </c>
      <c r="B171" s="47" t="s">
        <v>41</v>
      </c>
      <c r="C171" s="47" t="s">
        <v>42</v>
      </c>
      <c r="D171" s="47" t="s">
        <v>269</v>
      </c>
      <c r="E171" s="48">
        <v>418200</v>
      </c>
      <c r="F171" s="49">
        <v>121680.8575</v>
      </c>
      <c r="G171" s="49">
        <v>136115.51930000001</v>
      </c>
      <c r="H171" s="49">
        <v>727404217233.58801</v>
      </c>
      <c r="I171" s="49">
        <v>1131035563965.47</v>
      </c>
      <c r="J171" s="49">
        <v>956603926630.54297</v>
      </c>
      <c r="K171" s="49">
        <v>3249.605</v>
      </c>
      <c r="L171" s="49">
        <v>3200.395</v>
      </c>
      <c r="M171" s="49">
        <v>1596.6576</v>
      </c>
      <c r="N171" s="49">
        <v>2439.3424</v>
      </c>
      <c r="O171" s="48">
        <v>0</v>
      </c>
      <c r="P171" s="48">
        <v>0</v>
      </c>
      <c r="Q171" s="48">
        <v>26958</v>
      </c>
      <c r="R171" s="48">
        <v>20834</v>
      </c>
      <c r="S171" s="11">
        <f>(鋼床鈑!F171+鋼床鈑!N171+鋼床鈑!O171)*鋼床鈑!L171+(鋼床鈑!I171+鋼床鈑!N171+鋼床鈑!O171)*鋼床鈑!M171</f>
        <v>102240</v>
      </c>
      <c r="T171" s="11">
        <f>(鋼床鈑!K171)*鋼床鈑!N171+(鋼床鈑!K171)*鋼床鈑!O171</f>
        <v>160000</v>
      </c>
      <c r="U171" s="11">
        <f>4*((鋼床鈑!I171+鋼床鈑!N171/2+鋼床鈑!O171/2)*(鋼床鈑!K171+鋼床鈑!L171/2+鋼床鈑!M171/2))^2/((鋼床鈑!F171+鋼床鈑!N171/2+鋼床鈑!O171/2)/鋼床鈑!L171+(鋼床鈑!I171+鋼床鈑!N171/2+鋼床鈑!O171/2)/鋼床鈑!M171+(鋼床鈑!K171+鋼床鈑!L171/2+鋼床鈑!M171/2)/鋼床鈑!N171+(鋼床鈑!K171+鋼床鈑!L171/2+鋼床鈑!M171/2)/鋼床鈑!O171)</f>
        <v>714198579668.17334</v>
      </c>
      <c r="V171" s="12">
        <f t="shared" si="34"/>
        <v>0.29890183137723403</v>
      </c>
      <c r="W171" s="12">
        <f t="shared" si="35"/>
        <v>0.29437544767149948</v>
      </c>
      <c r="X171" s="12">
        <f t="shared" si="36"/>
        <v>0.70837702708800554</v>
      </c>
      <c r="Y171" s="12">
        <f t="shared" si="37"/>
        <v>0.46366412684232844</v>
      </c>
      <c r="Z171" s="12">
        <f t="shared" si="32"/>
        <v>1.5124257586235506</v>
      </c>
      <c r="AA171" s="12">
        <f t="shared" si="33"/>
        <v>1.6445463426974198</v>
      </c>
      <c r="AB171" s="10">
        <f t="shared" si="38"/>
        <v>4.0359999999999996</v>
      </c>
      <c r="AC171" s="10">
        <f t="shared" si="39"/>
        <v>6.45</v>
      </c>
      <c r="AD171" s="10">
        <f t="shared" si="40"/>
        <v>0.41820000000000002</v>
      </c>
      <c r="AE171" s="12">
        <f t="shared" si="41"/>
        <v>0.71419857966817335</v>
      </c>
      <c r="AF171" s="12">
        <f t="shared" si="42"/>
        <v>0.16</v>
      </c>
      <c r="AG171" s="12">
        <f t="shared" si="43"/>
        <v>0.10224</v>
      </c>
      <c r="AH171" s="10">
        <f t="shared" si="44"/>
        <v>0.95660392663054294</v>
      </c>
      <c r="AI171" s="10">
        <f t="shared" si="45"/>
        <v>1.1310355639654699</v>
      </c>
      <c r="AJ171" s="13">
        <f t="shared" si="46"/>
        <v>0.95660392663054294</v>
      </c>
      <c r="AK171" s="13">
        <f t="shared" si="47"/>
        <v>1.1310355639654699</v>
      </c>
    </row>
    <row r="172" spans="1:37">
      <c r="A172" s="8">
        <f>鋼床鈑!A172</f>
        <v>170</v>
      </c>
      <c r="B172" s="47" t="s">
        <v>41</v>
      </c>
      <c r="C172" s="47" t="s">
        <v>42</v>
      </c>
      <c r="D172" s="47" t="s">
        <v>270</v>
      </c>
      <c r="E172" s="48">
        <v>418200</v>
      </c>
      <c r="F172" s="49">
        <v>121680.8575</v>
      </c>
      <c r="G172" s="49">
        <v>136115.51930000001</v>
      </c>
      <c r="H172" s="49">
        <v>727404217233.58801</v>
      </c>
      <c r="I172" s="49">
        <v>1131035563965.47</v>
      </c>
      <c r="J172" s="49">
        <v>956603926630.54297</v>
      </c>
      <c r="K172" s="49">
        <v>3249.605</v>
      </c>
      <c r="L172" s="49">
        <v>3200.395</v>
      </c>
      <c r="M172" s="49">
        <v>1596.6576</v>
      </c>
      <c r="N172" s="49">
        <v>2439.3424</v>
      </c>
      <c r="O172" s="48">
        <v>0</v>
      </c>
      <c r="P172" s="48">
        <v>0</v>
      </c>
      <c r="Q172" s="48">
        <v>26958</v>
      </c>
      <c r="R172" s="48">
        <v>20834</v>
      </c>
      <c r="S172" s="11">
        <f>(鋼床鈑!F172+鋼床鈑!N172+鋼床鈑!O172)*鋼床鈑!L172+(鋼床鈑!I172+鋼床鈑!N172+鋼床鈑!O172)*鋼床鈑!M172</f>
        <v>102240</v>
      </c>
      <c r="T172" s="11">
        <f>(鋼床鈑!K172)*鋼床鈑!N172+(鋼床鈑!K172)*鋼床鈑!O172</f>
        <v>160000</v>
      </c>
      <c r="U172" s="11">
        <f>4*((鋼床鈑!I172+鋼床鈑!N172/2+鋼床鈑!O172/2)*(鋼床鈑!K172+鋼床鈑!L172/2+鋼床鈑!M172/2))^2/((鋼床鈑!F172+鋼床鈑!N172/2+鋼床鈑!O172/2)/鋼床鈑!L172+(鋼床鈑!I172+鋼床鈑!N172/2+鋼床鈑!O172/2)/鋼床鈑!M172+(鋼床鈑!K172+鋼床鈑!L172/2+鋼床鈑!M172/2)/鋼床鈑!N172+(鋼床鈑!K172+鋼床鈑!L172/2+鋼床鈑!M172/2)/鋼床鈑!O172)</f>
        <v>714198579668.17334</v>
      </c>
      <c r="V172" s="12">
        <f t="shared" si="34"/>
        <v>0.29890183137723403</v>
      </c>
      <c r="W172" s="12">
        <f t="shared" si="35"/>
        <v>0.29437544767149948</v>
      </c>
      <c r="X172" s="12">
        <f t="shared" si="36"/>
        <v>0.70837702708800554</v>
      </c>
      <c r="Y172" s="12">
        <f t="shared" si="37"/>
        <v>0.46366412684232844</v>
      </c>
      <c r="Z172" s="12">
        <f t="shared" si="32"/>
        <v>1.5124257586235506</v>
      </c>
      <c r="AA172" s="12">
        <f t="shared" si="33"/>
        <v>1.6445463426974198</v>
      </c>
      <c r="AB172" s="10">
        <f t="shared" si="38"/>
        <v>4.0359999999999996</v>
      </c>
      <c r="AC172" s="10">
        <f t="shared" si="39"/>
        <v>6.45</v>
      </c>
      <c r="AD172" s="10">
        <f t="shared" si="40"/>
        <v>0.41820000000000002</v>
      </c>
      <c r="AE172" s="12">
        <f t="shared" si="41"/>
        <v>0.71419857966817335</v>
      </c>
      <c r="AF172" s="12">
        <f t="shared" si="42"/>
        <v>0.16</v>
      </c>
      <c r="AG172" s="12">
        <f t="shared" si="43"/>
        <v>0.10224</v>
      </c>
      <c r="AH172" s="10">
        <f t="shared" si="44"/>
        <v>0.95660392663054294</v>
      </c>
      <c r="AI172" s="10">
        <f t="shared" si="45"/>
        <v>1.1310355639654699</v>
      </c>
      <c r="AJ172" s="13">
        <f t="shared" si="46"/>
        <v>0.95660392663054294</v>
      </c>
      <c r="AK172" s="13">
        <f t="shared" si="47"/>
        <v>1.1310355639654699</v>
      </c>
    </row>
    <row r="173" spans="1:37">
      <c r="A173" s="8">
        <f>鋼床鈑!A173</f>
        <v>171</v>
      </c>
      <c r="B173" s="47" t="s">
        <v>41</v>
      </c>
      <c r="C173" s="47" t="s">
        <v>42</v>
      </c>
      <c r="D173" s="47" t="s">
        <v>271</v>
      </c>
      <c r="E173" s="48">
        <v>418200</v>
      </c>
      <c r="F173" s="49">
        <v>121680.8575</v>
      </c>
      <c r="G173" s="49">
        <v>136115.51930000001</v>
      </c>
      <c r="H173" s="49">
        <v>727404217233.58801</v>
      </c>
      <c r="I173" s="49">
        <v>1131035563965.47</v>
      </c>
      <c r="J173" s="49">
        <v>956603926630.54297</v>
      </c>
      <c r="K173" s="49">
        <v>3249.605</v>
      </c>
      <c r="L173" s="49">
        <v>3200.395</v>
      </c>
      <c r="M173" s="49">
        <v>1596.6576</v>
      </c>
      <c r="N173" s="49">
        <v>2439.3424</v>
      </c>
      <c r="O173" s="48">
        <v>0</v>
      </c>
      <c r="P173" s="48">
        <v>0</v>
      </c>
      <c r="Q173" s="48">
        <v>26958</v>
      </c>
      <c r="R173" s="48">
        <v>20834</v>
      </c>
      <c r="S173" s="11">
        <f>(鋼床鈑!F173+鋼床鈑!N173+鋼床鈑!O173)*鋼床鈑!L173+(鋼床鈑!I173+鋼床鈑!N173+鋼床鈑!O173)*鋼床鈑!M173</f>
        <v>102240</v>
      </c>
      <c r="T173" s="11">
        <f>(鋼床鈑!K173)*鋼床鈑!N173+(鋼床鈑!K173)*鋼床鈑!O173</f>
        <v>160000</v>
      </c>
      <c r="U173" s="11">
        <f>4*((鋼床鈑!I173+鋼床鈑!N173/2+鋼床鈑!O173/2)*(鋼床鈑!K173+鋼床鈑!L173/2+鋼床鈑!M173/2))^2/((鋼床鈑!F173+鋼床鈑!N173/2+鋼床鈑!O173/2)/鋼床鈑!L173+(鋼床鈑!I173+鋼床鈑!N173/2+鋼床鈑!O173/2)/鋼床鈑!M173+(鋼床鈑!K173+鋼床鈑!L173/2+鋼床鈑!M173/2)/鋼床鈑!N173+(鋼床鈑!K173+鋼床鈑!L173/2+鋼床鈑!M173/2)/鋼床鈑!O173)</f>
        <v>714198579668.17334</v>
      </c>
      <c r="V173" s="12">
        <f t="shared" si="34"/>
        <v>0.29890183137723403</v>
      </c>
      <c r="W173" s="12">
        <f t="shared" si="35"/>
        <v>0.29437544767149948</v>
      </c>
      <c r="X173" s="12">
        <f t="shared" si="36"/>
        <v>0.70837702708800554</v>
      </c>
      <c r="Y173" s="12">
        <f t="shared" si="37"/>
        <v>0.46366412684232844</v>
      </c>
      <c r="Z173" s="12">
        <f t="shared" si="32"/>
        <v>1.5124257586235506</v>
      </c>
      <c r="AA173" s="12">
        <f t="shared" si="33"/>
        <v>1.6445463426974198</v>
      </c>
      <c r="AB173" s="10">
        <f t="shared" si="38"/>
        <v>4.0359999999999996</v>
      </c>
      <c r="AC173" s="10">
        <f t="shared" si="39"/>
        <v>6.45</v>
      </c>
      <c r="AD173" s="10">
        <f t="shared" si="40"/>
        <v>0.41820000000000002</v>
      </c>
      <c r="AE173" s="12">
        <f t="shared" si="41"/>
        <v>0.71419857966817335</v>
      </c>
      <c r="AF173" s="12">
        <f t="shared" si="42"/>
        <v>0.16</v>
      </c>
      <c r="AG173" s="12">
        <f t="shared" si="43"/>
        <v>0.10224</v>
      </c>
      <c r="AH173" s="10">
        <f t="shared" si="44"/>
        <v>0.95660392663054294</v>
      </c>
      <c r="AI173" s="10">
        <f t="shared" si="45"/>
        <v>1.1310355639654699</v>
      </c>
      <c r="AJ173" s="13">
        <f t="shared" si="46"/>
        <v>0.95660392663054294</v>
      </c>
      <c r="AK173" s="13">
        <f t="shared" si="47"/>
        <v>1.1310355639654699</v>
      </c>
    </row>
    <row r="174" spans="1:37">
      <c r="A174" s="8">
        <f>鋼床鈑!A174</f>
        <v>172</v>
      </c>
      <c r="B174" s="47" t="s">
        <v>41</v>
      </c>
      <c r="C174" s="47" t="s">
        <v>42</v>
      </c>
      <c r="D174" s="47" t="s">
        <v>272</v>
      </c>
      <c r="E174" s="48">
        <v>418200</v>
      </c>
      <c r="F174" s="49">
        <v>121680.8575</v>
      </c>
      <c r="G174" s="49">
        <v>136115.51930000001</v>
      </c>
      <c r="H174" s="49">
        <v>727404217233.58801</v>
      </c>
      <c r="I174" s="49">
        <v>1131035563965.47</v>
      </c>
      <c r="J174" s="49">
        <v>956603926630.54297</v>
      </c>
      <c r="K174" s="49">
        <v>3249.605</v>
      </c>
      <c r="L174" s="49">
        <v>3200.395</v>
      </c>
      <c r="M174" s="49">
        <v>1596.6576</v>
      </c>
      <c r="N174" s="49">
        <v>2439.3424</v>
      </c>
      <c r="O174" s="48">
        <v>0</v>
      </c>
      <c r="P174" s="48">
        <v>0</v>
      </c>
      <c r="Q174" s="48">
        <v>26958</v>
      </c>
      <c r="R174" s="48">
        <v>20834</v>
      </c>
      <c r="S174" s="11">
        <f>(鋼床鈑!F174+鋼床鈑!N174+鋼床鈑!O174)*鋼床鈑!L174+(鋼床鈑!I174+鋼床鈑!N174+鋼床鈑!O174)*鋼床鈑!M174</f>
        <v>102240</v>
      </c>
      <c r="T174" s="11">
        <f>(鋼床鈑!K174)*鋼床鈑!N174+(鋼床鈑!K174)*鋼床鈑!O174</f>
        <v>160000</v>
      </c>
      <c r="U174" s="11">
        <f>4*((鋼床鈑!I174+鋼床鈑!N174/2+鋼床鈑!O174/2)*(鋼床鈑!K174+鋼床鈑!L174/2+鋼床鈑!M174/2))^2/((鋼床鈑!F174+鋼床鈑!N174/2+鋼床鈑!O174/2)/鋼床鈑!L174+(鋼床鈑!I174+鋼床鈑!N174/2+鋼床鈑!O174/2)/鋼床鈑!M174+(鋼床鈑!K174+鋼床鈑!L174/2+鋼床鈑!M174/2)/鋼床鈑!N174+(鋼床鈑!K174+鋼床鈑!L174/2+鋼床鈑!M174/2)/鋼床鈑!O174)</f>
        <v>714198579668.17334</v>
      </c>
      <c r="V174" s="12">
        <f t="shared" si="34"/>
        <v>0.29890183137723403</v>
      </c>
      <c r="W174" s="12">
        <f t="shared" si="35"/>
        <v>0.29437544767149948</v>
      </c>
      <c r="X174" s="12">
        <f t="shared" si="36"/>
        <v>0.70837702708800554</v>
      </c>
      <c r="Y174" s="12">
        <f t="shared" si="37"/>
        <v>0.46366412684232844</v>
      </c>
      <c r="Z174" s="12">
        <f t="shared" si="32"/>
        <v>1.5124257586235506</v>
      </c>
      <c r="AA174" s="12">
        <f t="shared" si="33"/>
        <v>1.6445463426974198</v>
      </c>
      <c r="AB174" s="10">
        <f t="shared" si="38"/>
        <v>4.0359999999999996</v>
      </c>
      <c r="AC174" s="10">
        <f t="shared" si="39"/>
        <v>6.45</v>
      </c>
      <c r="AD174" s="10">
        <f t="shared" si="40"/>
        <v>0.41820000000000002</v>
      </c>
      <c r="AE174" s="12">
        <f t="shared" si="41"/>
        <v>0.71419857966817335</v>
      </c>
      <c r="AF174" s="12">
        <f t="shared" si="42"/>
        <v>0.16</v>
      </c>
      <c r="AG174" s="12">
        <f t="shared" si="43"/>
        <v>0.10224</v>
      </c>
      <c r="AH174" s="10">
        <f t="shared" si="44"/>
        <v>0.95660392663054294</v>
      </c>
      <c r="AI174" s="10">
        <f t="shared" si="45"/>
        <v>1.1310355639654699</v>
      </c>
      <c r="AJ174" s="13">
        <f t="shared" si="46"/>
        <v>0.95660392663054294</v>
      </c>
      <c r="AK174" s="13">
        <f t="shared" si="47"/>
        <v>1.1310355639654699</v>
      </c>
    </row>
    <row r="175" spans="1:37">
      <c r="A175" s="8">
        <f>鋼床鈑!A175</f>
        <v>173</v>
      </c>
      <c r="B175" s="47" t="s">
        <v>41</v>
      </c>
      <c r="C175" s="47" t="s">
        <v>42</v>
      </c>
      <c r="D175" s="47" t="s">
        <v>273</v>
      </c>
      <c r="E175" s="48">
        <v>418200</v>
      </c>
      <c r="F175" s="49">
        <v>121680.8575</v>
      </c>
      <c r="G175" s="49">
        <v>136115.51930000001</v>
      </c>
      <c r="H175" s="49">
        <v>727404217233.58801</v>
      </c>
      <c r="I175" s="49">
        <v>1131035563965.47</v>
      </c>
      <c r="J175" s="49">
        <v>956603926630.54297</v>
      </c>
      <c r="K175" s="49">
        <v>3249.605</v>
      </c>
      <c r="L175" s="49">
        <v>3200.395</v>
      </c>
      <c r="M175" s="49">
        <v>1596.6576</v>
      </c>
      <c r="N175" s="49">
        <v>2439.3424</v>
      </c>
      <c r="O175" s="48">
        <v>0</v>
      </c>
      <c r="P175" s="48">
        <v>0</v>
      </c>
      <c r="Q175" s="48">
        <v>26958</v>
      </c>
      <c r="R175" s="48">
        <v>20834</v>
      </c>
      <c r="S175" s="11">
        <f>(鋼床鈑!F175+鋼床鈑!N175+鋼床鈑!O175)*鋼床鈑!L175+(鋼床鈑!I175+鋼床鈑!N175+鋼床鈑!O175)*鋼床鈑!M175</f>
        <v>102240</v>
      </c>
      <c r="T175" s="11">
        <f>(鋼床鈑!K175)*鋼床鈑!N175+(鋼床鈑!K175)*鋼床鈑!O175</f>
        <v>160000</v>
      </c>
      <c r="U175" s="11">
        <f>4*((鋼床鈑!I175+鋼床鈑!N175/2+鋼床鈑!O175/2)*(鋼床鈑!K175+鋼床鈑!L175/2+鋼床鈑!M175/2))^2/((鋼床鈑!F175+鋼床鈑!N175/2+鋼床鈑!O175/2)/鋼床鈑!L175+(鋼床鈑!I175+鋼床鈑!N175/2+鋼床鈑!O175/2)/鋼床鈑!M175+(鋼床鈑!K175+鋼床鈑!L175/2+鋼床鈑!M175/2)/鋼床鈑!N175+(鋼床鈑!K175+鋼床鈑!L175/2+鋼床鈑!M175/2)/鋼床鈑!O175)</f>
        <v>714198579668.17334</v>
      </c>
      <c r="V175" s="12">
        <f t="shared" si="34"/>
        <v>0.29890183137723403</v>
      </c>
      <c r="W175" s="12">
        <f t="shared" si="35"/>
        <v>0.29437544767149948</v>
      </c>
      <c r="X175" s="12">
        <f t="shared" si="36"/>
        <v>0.70837702708800554</v>
      </c>
      <c r="Y175" s="12">
        <f t="shared" si="37"/>
        <v>0.46366412684232844</v>
      </c>
      <c r="Z175" s="12">
        <f t="shared" si="32"/>
        <v>1.5124257586235506</v>
      </c>
      <c r="AA175" s="12">
        <f t="shared" si="33"/>
        <v>1.6445463426974198</v>
      </c>
      <c r="AB175" s="10">
        <f t="shared" si="38"/>
        <v>4.0359999999999996</v>
      </c>
      <c r="AC175" s="10">
        <f t="shared" si="39"/>
        <v>6.45</v>
      </c>
      <c r="AD175" s="10">
        <f t="shared" si="40"/>
        <v>0.41820000000000002</v>
      </c>
      <c r="AE175" s="12">
        <f t="shared" si="41"/>
        <v>0.71419857966817335</v>
      </c>
      <c r="AF175" s="12">
        <f t="shared" si="42"/>
        <v>0.16</v>
      </c>
      <c r="AG175" s="12">
        <f t="shared" si="43"/>
        <v>0.10224</v>
      </c>
      <c r="AH175" s="10">
        <f t="shared" si="44"/>
        <v>0.95660392663054294</v>
      </c>
      <c r="AI175" s="10">
        <f t="shared" si="45"/>
        <v>1.1310355639654699</v>
      </c>
      <c r="AJ175" s="13">
        <f t="shared" si="46"/>
        <v>0.95660392663054294</v>
      </c>
      <c r="AK175" s="13">
        <f t="shared" si="47"/>
        <v>1.1310355639654699</v>
      </c>
    </row>
    <row r="176" spans="1:37">
      <c r="A176" s="8">
        <f>鋼床鈑!A176</f>
        <v>174</v>
      </c>
      <c r="B176" s="47" t="s">
        <v>41</v>
      </c>
      <c r="C176" s="47" t="s">
        <v>42</v>
      </c>
      <c r="D176" s="47" t="s">
        <v>274</v>
      </c>
      <c r="E176" s="48">
        <v>418200</v>
      </c>
      <c r="F176" s="49">
        <v>121680.8575</v>
      </c>
      <c r="G176" s="49">
        <v>136115.51930000001</v>
      </c>
      <c r="H176" s="49">
        <v>727404217233.58801</v>
      </c>
      <c r="I176" s="49">
        <v>1131035563965.47</v>
      </c>
      <c r="J176" s="49">
        <v>956603926630.54297</v>
      </c>
      <c r="K176" s="49">
        <v>3249.605</v>
      </c>
      <c r="L176" s="49">
        <v>3200.395</v>
      </c>
      <c r="M176" s="49">
        <v>1596.6576</v>
      </c>
      <c r="N176" s="49">
        <v>2439.3424</v>
      </c>
      <c r="O176" s="48">
        <v>0</v>
      </c>
      <c r="P176" s="48">
        <v>0</v>
      </c>
      <c r="Q176" s="48">
        <v>26958</v>
      </c>
      <c r="R176" s="48">
        <v>20834</v>
      </c>
      <c r="S176" s="11">
        <f>(鋼床鈑!F176+鋼床鈑!N176+鋼床鈑!O176)*鋼床鈑!L176+(鋼床鈑!I176+鋼床鈑!N176+鋼床鈑!O176)*鋼床鈑!M176</f>
        <v>102240</v>
      </c>
      <c r="T176" s="11">
        <f>(鋼床鈑!K176)*鋼床鈑!N176+(鋼床鈑!K176)*鋼床鈑!O176</f>
        <v>160000</v>
      </c>
      <c r="U176" s="11">
        <f>4*((鋼床鈑!I176+鋼床鈑!N176/2+鋼床鈑!O176/2)*(鋼床鈑!K176+鋼床鈑!L176/2+鋼床鈑!M176/2))^2/((鋼床鈑!F176+鋼床鈑!N176/2+鋼床鈑!O176/2)/鋼床鈑!L176+(鋼床鈑!I176+鋼床鈑!N176/2+鋼床鈑!O176/2)/鋼床鈑!M176+(鋼床鈑!K176+鋼床鈑!L176/2+鋼床鈑!M176/2)/鋼床鈑!N176+(鋼床鈑!K176+鋼床鈑!L176/2+鋼床鈑!M176/2)/鋼床鈑!O176)</f>
        <v>714198579668.17334</v>
      </c>
      <c r="V176" s="12">
        <f t="shared" si="34"/>
        <v>0.29890183137723403</v>
      </c>
      <c r="W176" s="12">
        <f t="shared" si="35"/>
        <v>0.29437544767149948</v>
      </c>
      <c r="X176" s="12">
        <f t="shared" si="36"/>
        <v>0.70837702708800554</v>
      </c>
      <c r="Y176" s="12">
        <f t="shared" si="37"/>
        <v>0.46366412684232844</v>
      </c>
      <c r="Z176" s="12">
        <f t="shared" si="32"/>
        <v>1.5124257586235506</v>
      </c>
      <c r="AA176" s="12">
        <f t="shared" si="33"/>
        <v>1.6445463426974198</v>
      </c>
      <c r="AB176" s="10">
        <f t="shared" si="38"/>
        <v>4.0359999999999996</v>
      </c>
      <c r="AC176" s="10">
        <f t="shared" si="39"/>
        <v>6.45</v>
      </c>
      <c r="AD176" s="10">
        <f t="shared" si="40"/>
        <v>0.41820000000000002</v>
      </c>
      <c r="AE176" s="12">
        <f t="shared" si="41"/>
        <v>0.71419857966817335</v>
      </c>
      <c r="AF176" s="12">
        <f t="shared" si="42"/>
        <v>0.16</v>
      </c>
      <c r="AG176" s="12">
        <f t="shared" si="43"/>
        <v>0.10224</v>
      </c>
      <c r="AH176" s="10">
        <f t="shared" si="44"/>
        <v>0.95660392663054294</v>
      </c>
      <c r="AI176" s="10">
        <f t="shared" si="45"/>
        <v>1.1310355639654699</v>
      </c>
      <c r="AJ176" s="13">
        <f t="shared" si="46"/>
        <v>0.95660392663054294</v>
      </c>
      <c r="AK176" s="13">
        <f t="shared" si="47"/>
        <v>1.1310355639654699</v>
      </c>
    </row>
    <row r="177" spans="1:37">
      <c r="A177" s="8">
        <f>鋼床鈑!A177</f>
        <v>175</v>
      </c>
      <c r="B177" s="47" t="s">
        <v>41</v>
      </c>
      <c r="C177" s="47" t="s">
        <v>42</v>
      </c>
      <c r="D177" s="47" t="s">
        <v>275</v>
      </c>
      <c r="E177" s="48">
        <v>418200</v>
      </c>
      <c r="F177" s="49">
        <v>121680.8575</v>
      </c>
      <c r="G177" s="49">
        <v>136115.51930000001</v>
      </c>
      <c r="H177" s="49">
        <v>727404217233.58801</v>
      </c>
      <c r="I177" s="49">
        <v>1131035563965.47</v>
      </c>
      <c r="J177" s="49">
        <v>956603926630.54297</v>
      </c>
      <c r="K177" s="49">
        <v>3249.605</v>
      </c>
      <c r="L177" s="49">
        <v>3200.395</v>
      </c>
      <c r="M177" s="49">
        <v>1596.6576</v>
      </c>
      <c r="N177" s="49">
        <v>2439.3424</v>
      </c>
      <c r="O177" s="48">
        <v>0</v>
      </c>
      <c r="P177" s="48">
        <v>0</v>
      </c>
      <c r="Q177" s="48">
        <v>26958</v>
      </c>
      <c r="R177" s="48">
        <v>20834</v>
      </c>
      <c r="S177" s="11">
        <f>(鋼床鈑!F177+鋼床鈑!N177+鋼床鈑!O177)*鋼床鈑!L177+(鋼床鈑!I177+鋼床鈑!N177+鋼床鈑!O177)*鋼床鈑!M177</f>
        <v>102240</v>
      </c>
      <c r="T177" s="11">
        <f>(鋼床鈑!K177)*鋼床鈑!N177+(鋼床鈑!K177)*鋼床鈑!O177</f>
        <v>160000</v>
      </c>
      <c r="U177" s="11">
        <f>4*((鋼床鈑!I177+鋼床鈑!N177/2+鋼床鈑!O177/2)*(鋼床鈑!K177+鋼床鈑!L177/2+鋼床鈑!M177/2))^2/((鋼床鈑!F177+鋼床鈑!N177/2+鋼床鈑!O177/2)/鋼床鈑!L177+(鋼床鈑!I177+鋼床鈑!N177/2+鋼床鈑!O177/2)/鋼床鈑!M177+(鋼床鈑!K177+鋼床鈑!L177/2+鋼床鈑!M177/2)/鋼床鈑!N177+(鋼床鈑!K177+鋼床鈑!L177/2+鋼床鈑!M177/2)/鋼床鈑!O177)</f>
        <v>714198579668.17334</v>
      </c>
      <c r="V177" s="12">
        <f t="shared" si="34"/>
        <v>0.29890183137723403</v>
      </c>
      <c r="W177" s="12">
        <f t="shared" si="35"/>
        <v>0.29437544767149948</v>
      </c>
      <c r="X177" s="12">
        <f t="shared" si="36"/>
        <v>0.70837702708800554</v>
      </c>
      <c r="Y177" s="12">
        <f t="shared" si="37"/>
        <v>0.46366412684232844</v>
      </c>
      <c r="Z177" s="12">
        <f t="shared" si="32"/>
        <v>1.5124257586235506</v>
      </c>
      <c r="AA177" s="12">
        <f t="shared" si="33"/>
        <v>1.6445463426974198</v>
      </c>
      <c r="AB177" s="10">
        <f t="shared" si="38"/>
        <v>4.0359999999999996</v>
      </c>
      <c r="AC177" s="10">
        <f t="shared" si="39"/>
        <v>6.45</v>
      </c>
      <c r="AD177" s="10">
        <f t="shared" si="40"/>
        <v>0.41820000000000002</v>
      </c>
      <c r="AE177" s="12">
        <f t="shared" si="41"/>
        <v>0.71419857966817335</v>
      </c>
      <c r="AF177" s="12">
        <f t="shared" si="42"/>
        <v>0.16</v>
      </c>
      <c r="AG177" s="12">
        <f t="shared" si="43"/>
        <v>0.10224</v>
      </c>
      <c r="AH177" s="10">
        <f t="shared" si="44"/>
        <v>0.95660392663054294</v>
      </c>
      <c r="AI177" s="10">
        <f t="shared" si="45"/>
        <v>1.1310355639654699</v>
      </c>
      <c r="AJ177" s="13">
        <f t="shared" si="46"/>
        <v>0.95660392663054294</v>
      </c>
      <c r="AK177" s="13">
        <f t="shared" si="47"/>
        <v>1.1310355639654699</v>
      </c>
    </row>
    <row r="178" spans="1:37">
      <c r="A178" s="8">
        <f>鋼床鈑!A178</f>
        <v>176</v>
      </c>
      <c r="B178" s="47" t="s">
        <v>41</v>
      </c>
      <c r="C178" s="47" t="s">
        <v>42</v>
      </c>
      <c r="D178" s="47" t="s">
        <v>276</v>
      </c>
      <c r="E178" s="48">
        <v>418200</v>
      </c>
      <c r="F178" s="49">
        <v>121680.8575</v>
      </c>
      <c r="G178" s="49">
        <v>136115.51930000001</v>
      </c>
      <c r="H178" s="49">
        <v>727404217233.58801</v>
      </c>
      <c r="I178" s="49">
        <v>1131035563965.47</v>
      </c>
      <c r="J178" s="49">
        <v>956603926630.54297</v>
      </c>
      <c r="K178" s="49">
        <v>3249.605</v>
      </c>
      <c r="L178" s="49">
        <v>3200.395</v>
      </c>
      <c r="M178" s="49">
        <v>1596.6576</v>
      </c>
      <c r="N178" s="49">
        <v>2439.3424</v>
      </c>
      <c r="O178" s="48">
        <v>0</v>
      </c>
      <c r="P178" s="48">
        <v>0</v>
      </c>
      <c r="Q178" s="48">
        <v>26958</v>
      </c>
      <c r="R178" s="48">
        <v>20834</v>
      </c>
      <c r="S178" s="11">
        <f>(鋼床鈑!F178+鋼床鈑!N178+鋼床鈑!O178)*鋼床鈑!L178+(鋼床鈑!I178+鋼床鈑!N178+鋼床鈑!O178)*鋼床鈑!M178</f>
        <v>102240</v>
      </c>
      <c r="T178" s="11">
        <f>(鋼床鈑!K178)*鋼床鈑!N178+(鋼床鈑!K178)*鋼床鈑!O178</f>
        <v>160000</v>
      </c>
      <c r="U178" s="11">
        <f>4*((鋼床鈑!I178+鋼床鈑!N178/2+鋼床鈑!O178/2)*(鋼床鈑!K178+鋼床鈑!L178/2+鋼床鈑!M178/2))^2/((鋼床鈑!F178+鋼床鈑!N178/2+鋼床鈑!O178/2)/鋼床鈑!L178+(鋼床鈑!I178+鋼床鈑!N178/2+鋼床鈑!O178/2)/鋼床鈑!M178+(鋼床鈑!K178+鋼床鈑!L178/2+鋼床鈑!M178/2)/鋼床鈑!N178+(鋼床鈑!K178+鋼床鈑!L178/2+鋼床鈑!M178/2)/鋼床鈑!O178)</f>
        <v>714198579668.17334</v>
      </c>
      <c r="V178" s="12">
        <f t="shared" si="34"/>
        <v>0.29890183137723403</v>
      </c>
      <c r="W178" s="12">
        <f t="shared" si="35"/>
        <v>0.29437544767149948</v>
      </c>
      <c r="X178" s="12">
        <f t="shared" si="36"/>
        <v>0.70837702708800554</v>
      </c>
      <c r="Y178" s="12">
        <f t="shared" si="37"/>
        <v>0.46366412684232844</v>
      </c>
      <c r="Z178" s="12">
        <f t="shared" si="32"/>
        <v>1.5124257586235506</v>
      </c>
      <c r="AA178" s="12">
        <f t="shared" si="33"/>
        <v>1.6445463426974198</v>
      </c>
      <c r="AB178" s="10">
        <f t="shared" si="38"/>
        <v>4.0359999999999996</v>
      </c>
      <c r="AC178" s="10">
        <f t="shared" si="39"/>
        <v>6.45</v>
      </c>
      <c r="AD178" s="10">
        <f t="shared" si="40"/>
        <v>0.41820000000000002</v>
      </c>
      <c r="AE178" s="12">
        <f t="shared" si="41"/>
        <v>0.71419857966817335</v>
      </c>
      <c r="AF178" s="12">
        <f t="shared" si="42"/>
        <v>0.16</v>
      </c>
      <c r="AG178" s="12">
        <f t="shared" si="43"/>
        <v>0.10224</v>
      </c>
      <c r="AH178" s="10">
        <f t="shared" si="44"/>
        <v>0.95660392663054294</v>
      </c>
      <c r="AI178" s="10">
        <f t="shared" si="45"/>
        <v>1.1310355639654699</v>
      </c>
      <c r="AJ178" s="13">
        <f t="shared" si="46"/>
        <v>0.95660392663054294</v>
      </c>
      <c r="AK178" s="13">
        <f t="shared" si="47"/>
        <v>1.1310355639654699</v>
      </c>
    </row>
    <row r="179" spans="1:37">
      <c r="A179" s="8">
        <f>鋼床鈑!A179</f>
        <v>177</v>
      </c>
      <c r="B179" s="47" t="s">
        <v>41</v>
      </c>
      <c r="C179" s="47" t="s">
        <v>42</v>
      </c>
      <c r="D179" s="47" t="s">
        <v>277</v>
      </c>
      <c r="E179" s="48">
        <v>418200</v>
      </c>
      <c r="F179" s="49">
        <v>121680.8575</v>
      </c>
      <c r="G179" s="49">
        <v>136115.51930000001</v>
      </c>
      <c r="H179" s="49">
        <v>727404217233.58801</v>
      </c>
      <c r="I179" s="49">
        <v>1131035563965.47</v>
      </c>
      <c r="J179" s="49">
        <v>956603926630.54297</v>
      </c>
      <c r="K179" s="49">
        <v>3249.605</v>
      </c>
      <c r="L179" s="49">
        <v>3200.395</v>
      </c>
      <c r="M179" s="49">
        <v>1596.6576</v>
      </c>
      <c r="N179" s="49">
        <v>2439.3424</v>
      </c>
      <c r="O179" s="48">
        <v>0</v>
      </c>
      <c r="P179" s="48">
        <v>0</v>
      </c>
      <c r="Q179" s="48">
        <v>26958</v>
      </c>
      <c r="R179" s="48">
        <v>20834</v>
      </c>
      <c r="S179" s="11">
        <f>(鋼床鈑!F179+鋼床鈑!N179+鋼床鈑!O179)*鋼床鈑!L179+(鋼床鈑!I179+鋼床鈑!N179+鋼床鈑!O179)*鋼床鈑!M179</f>
        <v>102240</v>
      </c>
      <c r="T179" s="11">
        <f>(鋼床鈑!K179)*鋼床鈑!N179+(鋼床鈑!K179)*鋼床鈑!O179</f>
        <v>160000</v>
      </c>
      <c r="U179" s="11">
        <f>4*((鋼床鈑!I179+鋼床鈑!N179/2+鋼床鈑!O179/2)*(鋼床鈑!K179+鋼床鈑!L179/2+鋼床鈑!M179/2))^2/((鋼床鈑!F179+鋼床鈑!N179/2+鋼床鈑!O179/2)/鋼床鈑!L179+(鋼床鈑!I179+鋼床鈑!N179/2+鋼床鈑!O179/2)/鋼床鈑!M179+(鋼床鈑!K179+鋼床鈑!L179/2+鋼床鈑!M179/2)/鋼床鈑!N179+(鋼床鈑!K179+鋼床鈑!L179/2+鋼床鈑!M179/2)/鋼床鈑!O179)</f>
        <v>714198579668.17334</v>
      </c>
      <c r="V179" s="12">
        <f t="shared" si="34"/>
        <v>0.29890183137723403</v>
      </c>
      <c r="W179" s="12">
        <f t="shared" si="35"/>
        <v>0.29437544767149948</v>
      </c>
      <c r="X179" s="12">
        <f t="shared" si="36"/>
        <v>0.70837702708800554</v>
      </c>
      <c r="Y179" s="12">
        <f t="shared" si="37"/>
        <v>0.46366412684232844</v>
      </c>
      <c r="Z179" s="12">
        <f t="shared" si="32"/>
        <v>1.5124257586235506</v>
      </c>
      <c r="AA179" s="12">
        <f t="shared" si="33"/>
        <v>1.6445463426974198</v>
      </c>
      <c r="AB179" s="10">
        <f t="shared" si="38"/>
        <v>4.0359999999999996</v>
      </c>
      <c r="AC179" s="10">
        <f t="shared" si="39"/>
        <v>6.45</v>
      </c>
      <c r="AD179" s="10">
        <f t="shared" si="40"/>
        <v>0.41820000000000002</v>
      </c>
      <c r="AE179" s="12">
        <f t="shared" si="41"/>
        <v>0.71419857966817335</v>
      </c>
      <c r="AF179" s="12">
        <f t="shared" si="42"/>
        <v>0.16</v>
      </c>
      <c r="AG179" s="12">
        <f t="shared" si="43"/>
        <v>0.10224</v>
      </c>
      <c r="AH179" s="10">
        <f t="shared" si="44"/>
        <v>0.95660392663054294</v>
      </c>
      <c r="AI179" s="10">
        <f t="shared" si="45"/>
        <v>1.1310355639654699</v>
      </c>
      <c r="AJ179" s="13">
        <f t="shared" si="46"/>
        <v>0.95660392663054294</v>
      </c>
      <c r="AK179" s="13">
        <f t="shared" si="47"/>
        <v>1.1310355639654699</v>
      </c>
    </row>
    <row r="180" spans="1:37">
      <c r="A180" s="8">
        <f>鋼床鈑!A180</f>
        <v>178</v>
      </c>
      <c r="B180" s="47" t="s">
        <v>41</v>
      </c>
      <c r="C180" s="47" t="s">
        <v>42</v>
      </c>
      <c r="D180" s="47" t="s">
        <v>278</v>
      </c>
      <c r="E180" s="48">
        <v>418200</v>
      </c>
      <c r="F180" s="49">
        <v>121680.8575</v>
      </c>
      <c r="G180" s="49">
        <v>136115.51930000001</v>
      </c>
      <c r="H180" s="49">
        <v>727404217233.58801</v>
      </c>
      <c r="I180" s="49">
        <v>1131035563965.47</v>
      </c>
      <c r="J180" s="49">
        <v>956603926630.54297</v>
      </c>
      <c r="K180" s="49">
        <v>3249.605</v>
      </c>
      <c r="L180" s="49">
        <v>3200.395</v>
      </c>
      <c r="M180" s="49">
        <v>1596.6576</v>
      </c>
      <c r="N180" s="49">
        <v>2439.3424</v>
      </c>
      <c r="O180" s="48">
        <v>0</v>
      </c>
      <c r="P180" s="48">
        <v>0</v>
      </c>
      <c r="Q180" s="48">
        <v>26958</v>
      </c>
      <c r="R180" s="48">
        <v>20834</v>
      </c>
      <c r="S180" s="11">
        <f>(鋼床鈑!F180+鋼床鈑!N180+鋼床鈑!O180)*鋼床鈑!L180+(鋼床鈑!I180+鋼床鈑!N180+鋼床鈑!O180)*鋼床鈑!M180</f>
        <v>102240</v>
      </c>
      <c r="T180" s="11">
        <f>(鋼床鈑!K180)*鋼床鈑!N180+(鋼床鈑!K180)*鋼床鈑!O180</f>
        <v>160000</v>
      </c>
      <c r="U180" s="11">
        <f>4*((鋼床鈑!I180+鋼床鈑!N180/2+鋼床鈑!O180/2)*(鋼床鈑!K180+鋼床鈑!L180/2+鋼床鈑!M180/2))^2/((鋼床鈑!F180+鋼床鈑!N180/2+鋼床鈑!O180/2)/鋼床鈑!L180+(鋼床鈑!I180+鋼床鈑!N180/2+鋼床鈑!O180/2)/鋼床鈑!M180+(鋼床鈑!K180+鋼床鈑!L180/2+鋼床鈑!M180/2)/鋼床鈑!N180+(鋼床鈑!K180+鋼床鈑!L180/2+鋼床鈑!M180/2)/鋼床鈑!O180)</f>
        <v>714198579668.17334</v>
      </c>
      <c r="V180" s="12">
        <f t="shared" si="34"/>
        <v>0.29890183137723403</v>
      </c>
      <c r="W180" s="12">
        <f t="shared" si="35"/>
        <v>0.29437544767149948</v>
      </c>
      <c r="X180" s="12">
        <f t="shared" si="36"/>
        <v>0.70837702708800554</v>
      </c>
      <c r="Y180" s="12">
        <f t="shared" si="37"/>
        <v>0.46366412684232844</v>
      </c>
      <c r="Z180" s="12">
        <f t="shared" si="32"/>
        <v>1.5124257586235506</v>
      </c>
      <c r="AA180" s="12">
        <f t="shared" si="33"/>
        <v>1.6445463426974198</v>
      </c>
      <c r="AB180" s="10">
        <f t="shared" si="38"/>
        <v>4.0359999999999996</v>
      </c>
      <c r="AC180" s="10">
        <f t="shared" si="39"/>
        <v>6.45</v>
      </c>
      <c r="AD180" s="10">
        <f t="shared" si="40"/>
        <v>0.41820000000000002</v>
      </c>
      <c r="AE180" s="12">
        <f t="shared" si="41"/>
        <v>0.71419857966817335</v>
      </c>
      <c r="AF180" s="12">
        <f t="shared" si="42"/>
        <v>0.16</v>
      </c>
      <c r="AG180" s="12">
        <f t="shared" si="43"/>
        <v>0.10224</v>
      </c>
      <c r="AH180" s="10">
        <f t="shared" si="44"/>
        <v>0.95660392663054294</v>
      </c>
      <c r="AI180" s="10">
        <f t="shared" si="45"/>
        <v>1.1310355639654699</v>
      </c>
      <c r="AJ180" s="13">
        <f t="shared" si="46"/>
        <v>0.95660392663054294</v>
      </c>
      <c r="AK180" s="13">
        <f t="shared" si="47"/>
        <v>1.1310355639654699</v>
      </c>
    </row>
    <row r="181" spans="1:37">
      <c r="A181" s="8">
        <f>鋼床鈑!A181</f>
        <v>179</v>
      </c>
      <c r="B181" s="47" t="s">
        <v>41</v>
      </c>
      <c r="C181" s="47" t="s">
        <v>42</v>
      </c>
      <c r="D181" s="47" t="s">
        <v>279</v>
      </c>
      <c r="E181" s="48">
        <v>418200</v>
      </c>
      <c r="F181" s="49">
        <v>121680.8575</v>
      </c>
      <c r="G181" s="49">
        <v>136115.51930000001</v>
      </c>
      <c r="H181" s="49">
        <v>727404217233.58801</v>
      </c>
      <c r="I181" s="49">
        <v>1131035563965.47</v>
      </c>
      <c r="J181" s="49">
        <v>956603926630.54297</v>
      </c>
      <c r="K181" s="49">
        <v>3249.605</v>
      </c>
      <c r="L181" s="49">
        <v>3200.395</v>
      </c>
      <c r="M181" s="49">
        <v>1596.6576</v>
      </c>
      <c r="N181" s="49">
        <v>2439.3424</v>
      </c>
      <c r="O181" s="48">
        <v>0</v>
      </c>
      <c r="P181" s="48">
        <v>0</v>
      </c>
      <c r="Q181" s="48">
        <v>26958</v>
      </c>
      <c r="R181" s="48">
        <v>20834</v>
      </c>
      <c r="S181" s="11">
        <f>(鋼床鈑!F181+鋼床鈑!N181+鋼床鈑!O181)*鋼床鈑!L181+(鋼床鈑!I181+鋼床鈑!N181+鋼床鈑!O181)*鋼床鈑!M181</f>
        <v>102240</v>
      </c>
      <c r="T181" s="11">
        <f>(鋼床鈑!K181)*鋼床鈑!N181+(鋼床鈑!K181)*鋼床鈑!O181</f>
        <v>160000</v>
      </c>
      <c r="U181" s="11">
        <f>4*((鋼床鈑!I181+鋼床鈑!N181/2+鋼床鈑!O181/2)*(鋼床鈑!K181+鋼床鈑!L181/2+鋼床鈑!M181/2))^2/((鋼床鈑!F181+鋼床鈑!N181/2+鋼床鈑!O181/2)/鋼床鈑!L181+(鋼床鈑!I181+鋼床鈑!N181/2+鋼床鈑!O181/2)/鋼床鈑!M181+(鋼床鈑!K181+鋼床鈑!L181/2+鋼床鈑!M181/2)/鋼床鈑!N181+(鋼床鈑!K181+鋼床鈑!L181/2+鋼床鈑!M181/2)/鋼床鈑!O181)</f>
        <v>714198579668.17334</v>
      </c>
      <c r="V181" s="12">
        <f t="shared" si="34"/>
        <v>0.29890183137723403</v>
      </c>
      <c r="W181" s="12">
        <f t="shared" si="35"/>
        <v>0.29437544767149948</v>
      </c>
      <c r="X181" s="12">
        <f t="shared" si="36"/>
        <v>0.70837702708800554</v>
      </c>
      <c r="Y181" s="12">
        <f t="shared" si="37"/>
        <v>0.46366412684232844</v>
      </c>
      <c r="Z181" s="12">
        <f t="shared" si="32"/>
        <v>1.5124257586235506</v>
      </c>
      <c r="AA181" s="12">
        <f t="shared" si="33"/>
        <v>1.6445463426974198</v>
      </c>
      <c r="AB181" s="10">
        <f t="shared" si="38"/>
        <v>4.0359999999999996</v>
      </c>
      <c r="AC181" s="10">
        <f t="shared" si="39"/>
        <v>6.45</v>
      </c>
      <c r="AD181" s="10">
        <f t="shared" si="40"/>
        <v>0.41820000000000002</v>
      </c>
      <c r="AE181" s="12">
        <f t="shared" si="41"/>
        <v>0.71419857966817335</v>
      </c>
      <c r="AF181" s="12">
        <f t="shared" si="42"/>
        <v>0.16</v>
      </c>
      <c r="AG181" s="12">
        <f t="shared" si="43"/>
        <v>0.10224</v>
      </c>
      <c r="AH181" s="10">
        <f t="shared" si="44"/>
        <v>0.95660392663054294</v>
      </c>
      <c r="AI181" s="10">
        <f t="shared" si="45"/>
        <v>1.1310355639654699</v>
      </c>
      <c r="AJ181" s="13">
        <f t="shared" si="46"/>
        <v>0.95660392663054294</v>
      </c>
      <c r="AK181" s="13">
        <f t="shared" si="47"/>
        <v>1.1310355639654699</v>
      </c>
    </row>
    <row r="182" spans="1:37">
      <c r="A182" s="8">
        <f>鋼床鈑!A182</f>
        <v>180</v>
      </c>
      <c r="B182" s="47" t="s">
        <v>41</v>
      </c>
      <c r="C182" s="47" t="s">
        <v>42</v>
      </c>
      <c r="D182" s="47" t="s">
        <v>280</v>
      </c>
      <c r="E182" s="48">
        <v>418200</v>
      </c>
      <c r="F182" s="49">
        <v>121680.8575</v>
      </c>
      <c r="G182" s="49">
        <v>136115.51930000001</v>
      </c>
      <c r="H182" s="49">
        <v>727404217233.58801</v>
      </c>
      <c r="I182" s="49">
        <v>1131035563965.47</v>
      </c>
      <c r="J182" s="49">
        <v>956603926630.54297</v>
      </c>
      <c r="K182" s="49">
        <v>3249.605</v>
      </c>
      <c r="L182" s="49">
        <v>3200.395</v>
      </c>
      <c r="M182" s="49">
        <v>1596.6576</v>
      </c>
      <c r="N182" s="49">
        <v>2439.3424</v>
      </c>
      <c r="O182" s="48">
        <v>0</v>
      </c>
      <c r="P182" s="48">
        <v>0</v>
      </c>
      <c r="Q182" s="48">
        <v>26958</v>
      </c>
      <c r="R182" s="48">
        <v>20834</v>
      </c>
      <c r="S182" s="11">
        <f>(鋼床鈑!F182+鋼床鈑!N182+鋼床鈑!O182)*鋼床鈑!L182+(鋼床鈑!I182+鋼床鈑!N182+鋼床鈑!O182)*鋼床鈑!M182</f>
        <v>102240</v>
      </c>
      <c r="T182" s="11">
        <f>(鋼床鈑!K182)*鋼床鈑!N182+(鋼床鈑!K182)*鋼床鈑!O182</f>
        <v>160000</v>
      </c>
      <c r="U182" s="11">
        <f>4*((鋼床鈑!I182+鋼床鈑!N182/2+鋼床鈑!O182/2)*(鋼床鈑!K182+鋼床鈑!L182/2+鋼床鈑!M182/2))^2/((鋼床鈑!F182+鋼床鈑!N182/2+鋼床鈑!O182/2)/鋼床鈑!L182+(鋼床鈑!I182+鋼床鈑!N182/2+鋼床鈑!O182/2)/鋼床鈑!M182+(鋼床鈑!K182+鋼床鈑!L182/2+鋼床鈑!M182/2)/鋼床鈑!N182+(鋼床鈑!K182+鋼床鈑!L182/2+鋼床鈑!M182/2)/鋼床鈑!O182)</f>
        <v>714198579668.17334</v>
      </c>
      <c r="V182" s="12">
        <f t="shared" si="34"/>
        <v>0.29890183137723403</v>
      </c>
      <c r="W182" s="12">
        <f t="shared" si="35"/>
        <v>0.29437544767149948</v>
      </c>
      <c r="X182" s="12">
        <f t="shared" si="36"/>
        <v>0.70837702708800554</v>
      </c>
      <c r="Y182" s="12">
        <f t="shared" si="37"/>
        <v>0.46366412684232844</v>
      </c>
      <c r="Z182" s="12">
        <f t="shared" si="32"/>
        <v>1.5124257586235506</v>
      </c>
      <c r="AA182" s="12">
        <f t="shared" si="33"/>
        <v>1.6445463426974198</v>
      </c>
      <c r="AB182" s="10">
        <f t="shared" si="38"/>
        <v>4.0359999999999996</v>
      </c>
      <c r="AC182" s="10">
        <f t="shared" si="39"/>
        <v>6.45</v>
      </c>
      <c r="AD182" s="10">
        <f t="shared" si="40"/>
        <v>0.41820000000000002</v>
      </c>
      <c r="AE182" s="12">
        <f t="shared" si="41"/>
        <v>0.71419857966817335</v>
      </c>
      <c r="AF182" s="12">
        <f t="shared" si="42"/>
        <v>0.16</v>
      </c>
      <c r="AG182" s="12">
        <f t="shared" si="43"/>
        <v>0.10224</v>
      </c>
      <c r="AH182" s="10">
        <f t="shared" si="44"/>
        <v>0.95660392663054294</v>
      </c>
      <c r="AI182" s="10">
        <f t="shared" si="45"/>
        <v>1.1310355639654699</v>
      </c>
      <c r="AJ182" s="13">
        <f t="shared" si="46"/>
        <v>0.95660392663054294</v>
      </c>
      <c r="AK182" s="13">
        <f t="shared" si="47"/>
        <v>1.1310355639654699</v>
      </c>
    </row>
    <row r="183" spans="1:37">
      <c r="A183" s="8">
        <f>鋼床鈑!A183</f>
        <v>181</v>
      </c>
      <c r="B183" s="47" t="s">
        <v>41</v>
      </c>
      <c r="C183" s="47" t="s">
        <v>42</v>
      </c>
      <c r="D183" s="47" t="s">
        <v>281</v>
      </c>
      <c r="E183" s="48">
        <v>418200</v>
      </c>
      <c r="F183" s="49">
        <v>121680.8575</v>
      </c>
      <c r="G183" s="49">
        <v>136115.51930000001</v>
      </c>
      <c r="H183" s="49">
        <v>727404217233.58801</v>
      </c>
      <c r="I183" s="49">
        <v>1131035563965.47</v>
      </c>
      <c r="J183" s="49">
        <v>956603926630.54297</v>
      </c>
      <c r="K183" s="49">
        <v>3249.605</v>
      </c>
      <c r="L183" s="49">
        <v>3200.395</v>
      </c>
      <c r="M183" s="49">
        <v>1596.6576</v>
      </c>
      <c r="N183" s="49">
        <v>2439.3424</v>
      </c>
      <c r="O183" s="48">
        <v>0</v>
      </c>
      <c r="P183" s="48">
        <v>0</v>
      </c>
      <c r="Q183" s="48">
        <v>26958</v>
      </c>
      <c r="R183" s="48">
        <v>20834</v>
      </c>
      <c r="S183" s="11">
        <f>(鋼床鈑!F183+鋼床鈑!N183+鋼床鈑!O183)*鋼床鈑!L183+(鋼床鈑!I183+鋼床鈑!N183+鋼床鈑!O183)*鋼床鈑!M183</f>
        <v>102240</v>
      </c>
      <c r="T183" s="11">
        <f>(鋼床鈑!K183)*鋼床鈑!N183+(鋼床鈑!K183)*鋼床鈑!O183</f>
        <v>160000</v>
      </c>
      <c r="U183" s="11">
        <f>4*((鋼床鈑!I183+鋼床鈑!N183/2+鋼床鈑!O183/2)*(鋼床鈑!K183+鋼床鈑!L183/2+鋼床鈑!M183/2))^2/((鋼床鈑!F183+鋼床鈑!N183/2+鋼床鈑!O183/2)/鋼床鈑!L183+(鋼床鈑!I183+鋼床鈑!N183/2+鋼床鈑!O183/2)/鋼床鈑!M183+(鋼床鈑!K183+鋼床鈑!L183/2+鋼床鈑!M183/2)/鋼床鈑!N183+(鋼床鈑!K183+鋼床鈑!L183/2+鋼床鈑!M183/2)/鋼床鈑!O183)</f>
        <v>714198579668.17334</v>
      </c>
      <c r="V183" s="12">
        <f t="shared" si="34"/>
        <v>0.29890183137723403</v>
      </c>
      <c r="W183" s="12">
        <f t="shared" si="35"/>
        <v>0.29437544767149948</v>
      </c>
      <c r="X183" s="12">
        <f t="shared" si="36"/>
        <v>0.70837702708800554</v>
      </c>
      <c r="Y183" s="12">
        <f t="shared" si="37"/>
        <v>0.46366412684232844</v>
      </c>
      <c r="Z183" s="12">
        <f t="shared" si="32"/>
        <v>1.5124257586235506</v>
      </c>
      <c r="AA183" s="12">
        <f t="shared" si="33"/>
        <v>1.6445463426974198</v>
      </c>
      <c r="AB183" s="10">
        <f t="shared" si="38"/>
        <v>4.0359999999999996</v>
      </c>
      <c r="AC183" s="10">
        <f t="shared" si="39"/>
        <v>6.45</v>
      </c>
      <c r="AD183" s="10">
        <f t="shared" si="40"/>
        <v>0.41820000000000002</v>
      </c>
      <c r="AE183" s="12">
        <f t="shared" si="41"/>
        <v>0.71419857966817335</v>
      </c>
      <c r="AF183" s="12">
        <f t="shared" si="42"/>
        <v>0.16</v>
      </c>
      <c r="AG183" s="12">
        <f t="shared" si="43"/>
        <v>0.10224</v>
      </c>
      <c r="AH183" s="10">
        <f t="shared" si="44"/>
        <v>0.95660392663054294</v>
      </c>
      <c r="AI183" s="10">
        <f t="shared" si="45"/>
        <v>1.1310355639654699</v>
      </c>
      <c r="AJ183" s="13">
        <f t="shared" si="46"/>
        <v>0.95660392663054294</v>
      </c>
      <c r="AK183" s="13">
        <f t="shared" si="47"/>
        <v>1.1310355639654699</v>
      </c>
    </row>
    <row r="184" spans="1:37">
      <c r="A184" s="8">
        <f>鋼床鈑!A184</f>
        <v>182</v>
      </c>
      <c r="B184" s="47" t="s">
        <v>41</v>
      </c>
      <c r="C184" s="47" t="s">
        <v>42</v>
      </c>
      <c r="D184" s="47" t="s">
        <v>282</v>
      </c>
      <c r="E184" s="48">
        <v>418200</v>
      </c>
      <c r="F184" s="49">
        <v>121680.8575</v>
      </c>
      <c r="G184" s="49">
        <v>136115.51930000001</v>
      </c>
      <c r="H184" s="49">
        <v>727404217233.58801</v>
      </c>
      <c r="I184" s="49">
        <v>1131035563965.47</v>
      </c>
      <c r="J184" s="49">
        <v>956603926630.54297</v>
      </c>
      <c r="K184" s="49">
        <v>3249.605</v>
      </c>
      <c r="L184" s="49">
        <v>3200.395</v>
      </c>
      <c r="M184" s="49">
        <v>1596.6576</v>
      </c>
      <c r="N184" s="49">
        <v>2439.3424</v>
      </c>
      <c r="O184" s="48">
        <v>0</v>
      </c>
      <c r="P184" s="48">
        <v>0</v>
      </c>
      <c r="Q184" s="48">
        <v>26958</v>
      </c>
      <c r="R184" s="48">
        <v>20834</v>
      </c>
      <c r="S184" s="11">
        <f>(鋼床鈑!F184+鋼床鈑!N184+鋼床鈑!O184)*鋼床鈑!L184+(鋼床鈑!I184+鋼床鈑!N184+鋼床鈑!O184)*鋼床鈑!M184</f>
        <v>102240</v>
      </c>
      <c r="T184" s="11">
        <f>(鋼床鈑!K184)*鋼床鈑!N184+(鋼床鈑!K184)*鋼床鈑!O184</f>
        <v>160000</v>
      </c>
      <c r="U184" s="11">
        <f>4*((鋼床鈑!I184+鋼床鈑!N184/2+鋼床鈑!O184/2)*(鋼床鈑!K184+鋼床鈑!L184/2+鋼床鈑!M184/2))^2/((鋼床鈑!F184+鋼床鈑!N184/2+鋼床鈑!O184/2)/鋼床鈑!L184+(鋼床鈑!I184+鋼床鈑!N184/2+鋼床鈑!O184/2)/鋼床鈑!M184+(鋼床鈑!K184+鋼床鈑!L184/2+鋼床鈑!M184/2)/鋼床鈑!N184+(鋼床鈑!K184+鋼床鈑!L184/2+鋼床鈑!M184/2)/鋼床鈑!O184)</f>
        <v>714198579668.17334</v>
      </c>
      <c r="V184" s="12">
        <f t="shared" si="34"/>
        <v>0.29890183137723403</v>
      </c>
      <c r="W184" s="12">
        <f t="shared" si="35"/>
        <v>0.29437544767149948</v>
      </c>
      <c r="X184" s="12">
        <f t="shared" si="36"/>
        <v>0.70837702708800554</v>
      </c>
      <c r="Y184" s="12">
        <f t="shared" si="37"/>
        <v>0.46366412684232844</v>
      </c>
      <c r="Z184" s="12">
        <f t="shared" si="32"/>
        <v>1.5124257586235506</v>
      </c>
      <c r="AA184" s="12">
        <f t="shared" si="33"/>
        <v>1.6445463426974198</v>
      </c>
      <c r="AB184" s="10">
        <f t="shared" si="38"/>
        <v>4.0359999999999996</v>
      </c>
      <c r="AC184" s="10">
        <f t="shared" si="39"/>
        <v>6.45</v>
      </c>
      <c r="AD184" s="10">
        <f t="shared" si="40"/>
        <v>0.41820000000000002</v>
      </c>
      <c r="AE184" s="12">
        <f t="shared" si="41"/>
        <v>0.71419857966817335</v>
      </c>
      <c r="AF184" s="12">
        <f t="shared" si="42"/>
        <v>0.16</v>
      </c>
      <c r="AG184" s="12">
        <f t="shared" si="43"/>
        <v>0.10224</v>
      </c>
      <c r="AH184" s="10">
        <f t="shared" si="44"/>
        <v>0.95660392663054294</v>
      </c>
      <c r="AI184" s="10">
        <f t="shared" si="45"/>
        <v>1.1310355639654699</v>
      </c>
      <c r="AJ184" s="13">
        <f t="shared" si="46"/>
        <v>0.95660392663054294</v>
      </c>
      <c r="AK184" s="13">
        <f t="shared" si="47"/>
        <v>1.1310355639654699</v>
      </c>
    </row>
    <row r="185" spans="1:37">
      <c r="A185" s="8">
        <f>鋼床鈑!A185</f>
        <v>183</v>
      </c>
      <c r="B185" s="47" t="s">
        <v>41</v>
      </c>
      <c r="C185" s="47" t="s">
        <v>42</v>
      </c>
      <c r="D185" s="47" t="s">
        <v>283</v>
      </c>
      <c r="E185" s="48">
        <v>418200</v>
      </c>
      <c r="F185" s="49">
        <v>121680.8575</v>
      </c>
      <c r="G185" s="49">
        <v>136115.51930000001</v>
      </c>
      <c r="H185" s="49">
        <v>727404217233.58801</v>
      </c>
      <c r="I185" s="49">
        <v>1131035563965.47</v>
      </c>
      <c r="J185" s="49">
        <v>956603926630.54297</v>
      </c>
      <c r="K185" s="49">
        <v>3249.605</v>
      </c>
      <c r="L185" s="49">
        <v>3200.395</v>
      </c>
      <c r="M185" s="49">
        <v>1596.6576</v>
      </c>
      <c r="N185" s="49">
        <v>2439.3424</v>
      </c>
      <c r="O185" s="48">
        <v>0</v>
      </c>
      <c r="P185" s="48">
        <v>0</v>
      </c>
      <c r="Q185" s="48">
        <v>26958</v>
      </c>
      <c r="R185" s="48">
        <v>20834</v>
      </c>
      <c r="S185" s="11">
        <f>(鋼床鈑!F185+鋼床鈑!N185+鋼床鈑!O185)*鋼床鈑!L185+(鋼床鈑!I185+鋼床鈑!N185+鋼床鈑!O185)*鋼床鈑!M185</f>
        <v>102240</v>
      </c>
      <c r="T185" s="11">
        <f>(鋼床鈑!K185)*鋼床鈑!N185+(鋼床鈑!K185)*鋼床鈑!O185</f>
        <v>160000</v>
      </c>
      <c r="U185" s="11">
        <f>4*((鋼床鈑!I185+鋼床鈑!N185/2+鋼床鈑!O185/2)*(鋼床鈑!K185+鋼床鈑!L185/2+鋼床鈑!M185/2))^2/((鋼床鈑!F185+鋼床鈑!N185/2+鋼床鈑!O185/2)/鋼床鈑!L185+(鋼床鈑!I185+鋼床鈑!N185/2+鋼床鈑!O185/2)/鋼床鈑!M185+(鋼床鈑!K185+鋼床鈑!L185/2+鋼床鈑!M185/2)/鋼床鈑!N185+(鋼床鈑!K185+鋼床鈑!L185/2+鋼床鈑!M185/2)/鋼床鈑!O185)</f>
        <v>714198579668.17334</v>
      </c>
      <c r="V185" s="12">
        <f t="shared" si="34"/>
        <v>0.29890183137723403</v>
      </c>
      <c r="W185" s="12">
        <f t="shared" si="35"/>
        <v>0.29437544767149948</v>
      </c>
      <c r="X185" s="12">
        <f t="shared" si="36"/>
        <v>0.70837702708800554</v>
      </c>
      <c r="Y185" s="12">
        <f t="shared" si="37"/>
        <v>0.46366412684232844</v>
      </c>
      <c r="Z185" s="12">
        <f t="shared" si="32"/>
        <v>1.5124257586235506</v>
      </c>
      <c r="AA185" s="12">
        <f t="shared" si="33"/>
        <v>1.6445463426974198</v>
      </c>
      <c r="AB185" s="10">
        <f t="shared" si="38"/>
        <v>4.0359999999999996</v>
      </c>
      <c r="AC185" s="10">
        <f t="shared" si="39"/>
        <v>6.45</v>
      </c>
      <c r="AD185" s="10">
        <f t="shared" si="40"/>
        <v>0.41820000000000002</v>
      </c>
      <c r="AE185" s="12">
        <f t="shared" si="41"/>
        <v>0.71419857966817335</v>
      </c>
      <c r="AF185" s="12">
        <f t="shared" si="42"/>
        <v>0.16</v>
      </c>
      <c r="AG185" s="12">
        <f t="shared" si="43"/>
        <v>0.10224</v>
      </c>
      <c r="AH185" s="10">
        <f t="shared" si="44"/>
        <v>0.95660392663054294</v>
      </c>
      <c r="AI185" s="10">
        <f t="shared" si="45"/>
        <v>1.1310355639654699</v>
      </c>
      <c r="AJ185" s="13">
        <f t="shared" si="46"/>
        <v>0.95660392663054294</v>
      </c>
      <c r="AK185" s="13">
        <f t="shared" si="47"/>
        <v>1.1310355639654699</v>
      </c>
    </row>
    <row r="186" spans="1:37">
      <c r="A186" s="8">
        <f>鋼床鈑!A186</f>
        <v>184</v>
      </c>
      <c r="B186" s="47" t="s">
        <v>41</v>
      </c>
      <c r="C186" s="47" t="s">
        <v>42</v>
      </c>
      <c r="D186" s="47" t="s">
        <v>284</v>
      </c>
      <c r="E186" s="48">
        <v>418200</v>
      </c>
      <c r="F186" s="49">
        <v>121680.8575</v>
      </c>
      <c r="G186" s="49">
        <v>136115.51930000001</v>
      </c>
      <c r="H186" s="49">
        <v>727404217233.58801</v>
      </c>
      <c r="I186" s="49">
        <v>1131035563965.47</v>
      </c>
      <c r="J186" s="49">
        <v>956603926630.54297</v>
      </c>
      <c r="K186" s="49">
        <v>3249.605</v>
      </c>
      <c r="L186" s="49">
        <v>3200.395</v>
      </c>
      <c r="M186" s="49">
        <v>1596.6576</v>
      </c>
      <c r="N186" s="49">
        <v>2439.3424</v>
      </c>
      <c r="O186" s="48">
        <v>0</v>
      </c>
      <c r="P186" s="48">
        <v>0</v>
      </c>
      <c r="Q186" s="48">
        <v>26958</v>
      </c>
      <c r="R186" s="48">
        <v>20834</v>
      </c>
      <c r="S186" s="11">
        <f>(鋼床鈑!F186+鋼床鈑!N186+鋼床鈑!O186)*鋼床鈑!L186+(鋼床鈑!I186+鋼床鈑!N186+鋼床鈑!O186)*鋼床鈑!M186</f>
        <v>102240</v>
      </c>
      <c r="T186" s="11">
        <f>(鋼床鈑!K186)*鋼床鈑!N186+(鋼床鈑!K186)*鋼床鈑!O186</f>
        <v>160000</v>
      </c>
      <c r="U186" s="11">
        <f>4*((鋼床鈑!I186+鋼床鈑!N186/2+鋼床鈑!O186/2)*(鋼床鈑!K186+鋼床鈑!L186/2+鋼床鈑!M186/2))^2/((鋼床鈑!F186+鋼床鈑!N186/2+鋼床鈑!O186/2)/鋼床鈑!L186+(鋼床鈑!I186+鋼床鈑!N186/2+鋼床鈑!O186/2)/鋼床鈑!M186+(鋼床鈑!K186+鋼床鈑!L186/2+鋼床鈑!M186/2)/鋼床鈑!N186+(鋼床鈑!K186+鋼床鈑!L186/2+鋼床鈑!M186/2)/鋼床鈑!O186)</f>
        <v>714198579668.17334</v>
      </c>
      <c r="V186" s="12">
        <f t="shared" si="34"/>
        <v>0.29890183137723403</v>
      </c>
      <c r="W186" s="12">
        <f t="shared" si="35"/>
        <v>0.29437544767149948</v>
      </c>
      <c r="X186" s="12">
        <f t="shared" si="36"/>
        <v>0.70837702708800554</v>
      </c>
      <c r="Y186" s="12">
        <f t="shared" si="37"/>
        <v>0.46366412684232844</v>
      </c>
      <c r="Z186" s="12">
        <f t="shared" si="32"/>
        <v>1.5124257586235506</v>
      </c>
      <c r="AA186" s="12">
        <f t="shared" si="33"/>
        <v>1.6445463426974198</v>
      </c>
      <c r="AB186" s="10">
        <f t="shared" si="38"/>
        <v>4.0359999999999996</v>
      </c>
      <c r="AC186" s="10">
        <f t="shared" si="39"/>
        <v>6.45</v>
      </c>
      <c r="AD186" s="10">
        <f t="shared" si="40"/>
        <v>0.41820000000000002</v>
      </c>
      <c r="AE186" s="12">
        <f t="shared" si="41"/>
        <v>0.71419857966817335</v>
      </c>
      <c r="AF186" s="12">
        <f t="shared" si="42"/>
        <v>0.16</v>
      </c>
      <c r="AG186" s="12">
        <f t="shared" si="43"/>
        <v>0.10224</v>
      </c>
      <c r="AH186" s="10">
        <f t="shared" si="44"/>
        <v>0.95660392663054294</v>
      </c>
      <c r="AI186" s="10">
        <f t="shared" si="45"/>
        <v>1.1310355639654699</v>
      </c>
      <c r="AJ186" s="13">
        <f t="shared" si="46"/>
        <v>0.95660392663054294</v>
      </c>
      <c r="AK186" s="13">
        <f t="shared" si="47"/>
        <v>1.1310355639654699</v>
      </c>
    </row>
    <row r="187" spans="1:37">
      <c r="A187" s="8">
        <f>鋼床鈑!A187</f>
        <v>185</v>
      </c>
      <c r="B187" s="47" t="s">
        <v>41</v>
      </c>
      <c r="C187" s="47" t="s">
        <v>42</v>
      </c>
      <c r="D187" s="47" t="s">
        <v>285</v>
      </c>
      <c r="E187" s="48">
        <v>418200</v>
      </c>
      <c r="F187" s="49">
        <v>121680.8575</v>
      </c>
      <c r="G187" s="49">
        <v>136115.51930000001</v>
      </c>
      <c r="H187" s="49">
        <v>727404217233.58801</v>
      </c>
      <c r="I187" s="49">
        <v>1131035563965.47</v>
      </c>
      <c r="J187" s="49">
        <v>956603926630.54297</v>
      </c>
      <c r="K187" s="49">
        <v>3249.605</v>
      </c>
      <c r="L187" s="49">
        <v>3200.395</v>
      </c>
      <c r="M187" s="49">
        <v>1596.6576</v>
      </c>
      <c r="N187" s="49">
        <v>2439.3424</v>
      </c>
      <c r="O187" s="48">
        <v>0</v>
      </c>
      <c r="P187" s="48">
        <v>0</v>
      </c>
      <c r="Q187" s="48">
        <v>26958</v>
      </c>
      <c r="R187" s="48">
        <v>20834</v>
      </c>
      <c r="S187" s="11">
        <f>(鋼床鈑!F187+鋼床鈑!N187+鋼床鈑!O187)*鋼床鈑!L187+(鋼床鈑!I187+鋼床鈑!N187+鋼床鈑!O187)*鋼床鈑!M187</f>
        <v>102240</v>
      </c>
      <c r="T187" s="11">
        <f>(鋼床鈑!K187)*鋼床鈑!N187+(鋼床鈑!K187)*鋼床鈑!O187</f>
        <v>160000</v>
      </c>
      <c r="U187" s="11">
        <f>4*((鋼床鈑!I187+鋼床鈑!N187/2+鋼床鈑!O187/2)*(鋼床鈑!K187+鋼床鈑!L187/2+鋼床鈑!M187/2))^2/((鋼床鈑!F187+鋼床鈑!N187/2+鋼床鈑!O187/2)/鋼床鈑!L187+(鋼床鈑!I187+鋼床鈑!N187/2+鋼床鈑!O187/2)/鋼床鈑!M187+(鋼床鈑!K187+鋼床鈑!L187/2+鋼床鈑!M187/2)/鋼床鈑!N187+(鋼床鈑!K187+鋼床鈑!L187/2+鋼床鈑!M187/2)/鋼床鈑!O187)</f>
        <v>714198579668.17334</v>
      </c>
      <c r="V187" s="12">
        <f t="shared" si="34"/>
        <v>0.29890183137723403</v>
      </c>
      <c r="W187" s="12">
        <f t="shared" si="35"/>
        <v>0.29437544767149948</v>
      </c>
      <c r="X187" s="12">
        <f t="shared" si="36"/>
        <v>0.70837702708800554</v>
      </c>
      <c r="Y187" s="12">
        <f t="shared" si="37"/>
        <v>0.46366412684232844</v>
      </c>
      <c r="Z187" s="12">
        <f t="shared" si="32"/>
        <v>1.5124257586235506</v>
      </c>
      <c r="AA187" s="12">
        <f t="shared" si="33"/>
        <v>1.6445463426974198</v>
      </c>
      <c r="AB187" s="10">
        <f t="shared" si="38"/>
        <v>4.0359999999999996</v>
      </c>
      <c r="AC187" s="10">
        <f t="shared" si="39"/>
        <v>6.45</v>
      </c>
      <c r="AD187" s="10">
        <f t="shared" si="40"/>
        <v>0.41820000000000002</v>
      </c>
      <c r="AE187" s="12">
        <f t="shared" si="41"/>
        <v>0.71419857966817335</v>
      </c>
      <c r="AF187" s="12">
        <f t="shared" si="42"/>
        <v>0.16</v>
      </c>
      <c r="AG187" s="12">
        <f t="shared" si="43"/>
        <v>0.10224</v>
      </c>
      <c r="AH187" s="10">
        <f t="shared" si="44"/>
        <v>0.95660392663054294</v>
      </c>
      <c r="AI187" s="10">
        <f t="shared" si="45"/>
        <v>1.1310355639654699</v>
      </c>
      <c r="AJ187" s="13">
        <f t="shared" si="46"/>
        <v>0.95660392663054294</v>
      </c>
      <c r="AK187" s="13">
        <f t="shared" si="47"/>
        <v>1.1310355639654699</v>
      </c>
    </row>
    <row r="188" spans="1:37">
      <c r="A188" s="8">
        <f>鋼床鈑!A188</f>
        <v>186</v>
      </c>
      <c r="B188" s="47" t="s">
        <v>41</v>
      </c>
      <c r="C188" s="47" t="s">
        <v>42</v>
      </c>
      <c r="D188" s="47" t="s">
        <v>286</v>
      </c>
      <c r="E188" s="48">
        <v>418200</v>
      </c>
      <c r="F188" s="49">
        <v>121680.8575</v>
      </c>
      <c r="G188" s="49">
        <v>136115.51930000001</v>
      </c>
      <c r="H188" s="49">
        <v>727404217233.58801</v>
      </c>
      <c r="I188" s="49">
        <v>1131035563965.47</v>
      </c>
      <c r="J188" s="49">
        <v>956603926630.54297</v>
      </c>
      <c r="K188" s="49">
        <v>3249.605</v>
      </c>
      <c r="L188" s="49">
        <v>3200.395</v>
      </c>
      <c r="M188" s="49">
        <v>1596.6576</v>
      </c>
      <c r="N188" s="49">
        <v>2439.3424</v>
      </c>
      <c r="O188" s="48">
        <v>0</v>
      </c>
      <c r="P188" s="48">
        <v>0</v>
      </c>
      <c r="Q188" s="48">
        <v>26958</v>
      </c>
      <c r="R188" s="48">
        <v>20834</v>
      </c>
      <c r="S188" s="11">
        <f>(鋼床鈑!F188+鋼床鈑!N188+鋼床鈑!O188)*鋼床鈑!L188+(鋼床鈑!I188+鋼床鈑!N188+鋼床鈑!O188)*鋼床鈑!M188</f>
        <v>102240</v>
      </c>
      <c r="T188" s="11">
        <f>(鋼床鈑!K188)*鋼床鈑!N188+(鋼床鈑!K188)*鋼床鈑!O188</f>
        <v>160000</v>
      </c>
      <c r="U188" s="11">
        <f>4*((鋼床鈑!I188+鋼床鈑!N188/2+鋼床鈑!O188/2)*(鋼床鈑!K188+鋼床鈑!L188/2+鋼床鈑!M188/2))^2/((鋼床鈑!F188+鋼床鈑!N188/2+鋼床鈑!O188/2)/鋼床鈑!L188+(鋼床鈑!I188+鋼床鈑!N188/2+鋼床鈑!O188/2)/鋼床鈑!M188+(鋼床鈑!K188+鋼床鈑!L188/2+鋼床鈑!M188/2)/鋼床鈑!N188+(鋼床鈑!K188+鋼床鈑!L188/2+鋼床鈑!M188/2)/鋼床鈑!O188)</f>
        <v>714198579668.17334</v>
      </c>
      <c r="V188" s="12">
        <f t="shared" si="34"/>
        <v>0.29890183137723403</v>
      </c>
      <c r="W188" s="12">
        <f t="shared" si="35"/>
        <v>0.29437544767149948</v>
      </c>
      <c r="X188" s="12">
        <f t="shared" si="36"/>
        <v>0.70837702708800554</v>
      </c>
      <c r="Y188" s="12">
        <f t="shared" si="37"/>
        <v>0.46366412684232844</v>
      </c>
      <c r="Z188" s="12">
        <f t="shared" si="32"/>
        <v>1.5124257586235506</v>
      </c>
      <c r="AA188" s="12">
        <f t="shared" si="33"/>
        <v>1.6445463426974198</v>
      </c>
      <c r="AB188" s="10">
        <f t="shared" si="38"/>
        <v>4.0359999999999996</v>
      </c>
      <c r="AC188" s="10">
        <f t="shared" si="39"/>
        <v>6.45</v>
      </c>
      <c r="AD188" s="10">
        <f t="shared" si="40"/>
        <v>0.41820000000000002</v>
      </c>
      <c r="AE188" s="12">
        <f t="shared" si="41"/>
        <v>0.71419857966817335</v>
      </c>
      <c r="AF188" s="12">
        <f t="shared" si="42"/>
        <v>0.16</v>
      </c>
      <c r="AG188" s="12">
        <f t="shared" si="43"/>
        <v>0.10224</v>
      </c>
      <c r="AH188" s="10">
        <f t="shared" si="44"/>
        <v>0.95660392663054294</v>
      </c>
      <c r="AI188" s="10">
        <f t="shared" si="45"/>
        <v>1.1310355639654699</v>
      </c>
      <c r="AJ188" s="13">
        <f t="shared" si="46"/>
        <v>0.95660392663054294</v>
      </c>
      <c r="AK188" s="13">
        <f t="shared" si="47"/>
        <v>1.1310355639654699</v>
      </c>
    </row>
    <row r="189" spans="1:37">
      <c r="A189" s="8">
        <f>鋼床鈑!A189</f>
        <v>187</v>
      </c>
      <c r="B189" s="47" t="s">
        <v>41</v>
      </c>
      <c r="C189" s="47" t="s">
        <v>42</v>
      </c>
      <c r="D189" s="47" t="s">
        <v>287</v>
      </c>
      <c r="E189" s="48">
        <v>418200</v>
      </c>
      <c r="F189" s="49">
        <v>121680.8575</v>
      </c>
      <c r="G189" s="49">
        <v>136115.51930000001</v>
      </c>
      <c r="H189" s="49">
        <v>727404217233.58801</v>
      </c>
      <c r="I189" s="49">
        <v>1131035563965.47</v>
      </c>
      <c r="J189" s="49">
        <v>956603926630.54297</v>
      </c>
      <c r="K189" s="49">
        <v>3249.605</v>
      </c>
      <c r="L189" s="49">
        <v>3200.395</v>
      </c>
      <c r="M189" s="49">
        <v>1596.6576</v>
      </c>
      <c r="N189" s="49">
        <v>2439.3424</v>
      </c>
      <c r="O189" s="48">
        <v>0</v>
      </c>
      <c r="P189" s="48">
        <v>0</v>
      </c>
      <c r="Q189" s="48">
        <v>26958</v>
      </c>
      <c r="R189" s="48">
        <v>20834</v>
      </c>
      <c r="S189" s="11">
        <f>(鋼床鈑!F189+鋼床鈑!N189+鋼床鈑!O189)*鋼床鈑!L189+(鋼床鈑!I189+鋼床鈑!N189+鋼床鈑!O189)*鋼床鈑!M189</f>
        <v>102240</v>
      </c>
      <c r="T189" s="11">
        <f>(鋼床鈑!K189)*鋼床鈑!N189+(鋼床鈑!K189)*鋼床鈑!O189</f>
        <v>160000</v>
      </c>
      <c r="U189" s="11">
        <f>4*((鋼床鈑!I189+鋼床鈑!N189/2+鋼床鈑!O189/2)*(鋼床鈑!K189+鋼床鈑!L189/2+鋼床鈑!M189/2))^2/((鋼床鈑!F189+鋼床鈑!N189/2+鋼床鈑!O189/2)/鋼床鈑!L189+(鋼床鈑!I189+鋼床鈑!N189/2+鋼床鈑!O189/2)/鋼床鈑!M189+(鋼床鈑!K189+鋼床鈑!L189/2+鋼床鈑!M189/2)/鋼床鈑!N189+(鋼床鈑!K189+鋼床鈑!L189/2+鋼床鈑!M189/2)/鋼床鈑!O189)</f>
        <v>714198579668.17334</v>
      </c>
      <c r="V189" s="12">
        <f t="shared" si="34"/>
        <v>0.29890183137723403</v>
      </c>
      <c r="W189" s="12">
        <f t="shared" si="35"/>
        <v>0.29437544767149948</v>
      </c>
      <c r="X189" s="12">
        <f t="shared" si="36"/>
        <v>0.70837702708800554</v>
      </c>
      <c r="Y189" s="12">
        <f t="shared" si="37"/>
        <v>0.46366412684232844</v>
      </c>
      <c r="Z189" s="12">
        <f t="shared" si="32"/>
        <v>1.5124257586235506</v>
      </c>
      <c r="AA189" s="12">
        <f t="shared" si="33"/>
        <v>1.6445463426974198</v>
      </c>
      <c r="AB189" s="10">
        <f t="shared" si="38"/>
        <v>4.0359999999999996</v>
      </c>
      <c r="AC189" s="10">
        <f t="shared" si="39"/>
        <v>6.45</v>
      </c>
      <c r="AD189" s="10">
        <f t="shared" si="40"/>
        <v>0.41820000000000002</v>
      </c>
      <c r="AE189" s="12">
        <f t="shared" si="41"/>
        <v>0.71419857966817335</v>
      </c>
      <c r="AF189" s="12">
        <f t="shared" si="42"/>
        <v>0.16</v>
      </c>
      <c r="AG189" s="12">
        <f t="shared" si="43"/>
        <v>0.10224</v>
      </c>
      <c r="AH189" s="10">
        <f t="shared" si="44"/>
        <v>0.95660392663054294</v>
      </c>
      <c r="AI189" s="10">
        <f t="shared" si="45"/>
        <v>1.1310355639654699</v>
      </c>
      <c r="AJ189" s="13">
        <f t="shared" si="46"/>
        <v>0.95660392663054294</v>
      </c>
      <c r="AK189" s="13">
        <f t="shared" si="47"/>
        <v>1.1310355639654699</v>
      </c>
    </row>
    <row r="190" spans="1:37">
      <c r="A190" s="8">
        <f>鋼床鈑!A190</f>
        <v>188</v>
      </c>
      <c r="B190" s="47" t="s">
        <v>41</v>
      </c>
      <c r="C190" s="47" t="s">
        <v>42</v>
      </c>
      <c r="D190" s="47" t="s">
        <v>288</v>
      </c>
      <c r="E190" s="48">
        <v>418200</v>
      </c>
      <c r="F190" s="49">
        <v>121680.8575</v>
      </c>
      <c r="G190" s="49">
        <v>136115.51930000001</v>
      </c>
      <c r="H190" s="49">
        <v>727404217233.58801</v>
      </c>
      <c r="I190" s="49">
        <v>1131035563965.47</v>
      </c>
      <c r="J190" s="49">
        <v>956603926630.54297</v>
      </c>
      <c r="K190" s="49">
        <v>3249.605</v>
      </c>
      <c r="L190" s="49">
        <v>3200.395</v>
      </c>
      <c r="M190" s="49">
        <v>1596.6576</v>
      </c>
      <c r="N190" s="49">
        <v>2439.3424</v>
      </c>
      <c r="O190" s="48">
        <v>0</v>
      </c>
      <c r="P190" s="48">
        <v>0</v>
      </c>
      <c r="Q190" s="48">
        <v>26958</v>
      </c>
      <c r="R190" s="48">
        <v>20834</v>
      </c>
      <c r="S190" s="11">
        <f>(鋼床鈑!F190+鋼床鈑!N190+鋼床鈑!O190)*鋼床鈑!L190+(鋼床鈑!I190+鋼床鈑!N190+鋼床鈑!O190)*鋼床鈑!M190</f>
        <v>102240</v>
      </c>
      <c r="T190" s="11">
        <f>(鋼床鈑!K190)*鋼床鈑!N190+(鋼床鈑!K190)*鋼床鈑!O190</f>
        <v>160000</v>
      </c>
      <c r="U190" s="11">
        <f>4*((鋼床鈑!I190+鋼床鈑!N190/2+鋼床鈑!O190/2)*(鋼床鈑!K190+鋼床鈑!L190/2+鋼床鈑!M190/2))^2/((鋼床鈑!F190+鋼床鈑!N190/2+鋼床鈑!O190/2)/鋼床鈑!L190+(鋼床鈑!I190+鋼床鈑!N190/2+鋼床鈑!O190/2)/鋼床鈑!M190+(鋼床鈑!K190+鋼床鈑!L190/2+鋼床鈑!M190/2)/鋼床鈑!N190+(鋼床鈑!K190+鋼床鈑!L190/2+鋼床鈑!M190/2)/鋼床鈑!O190)</f>
        <v>714198579668.17334</v>
      </c>
      <c r="V190" s="12">
        <f t="shared" si="34"/>
        <v>0.29890183137723403</v>
      </c>
      <c r="W190" s="12">
        <f t="shared" si="35"/>
        <v>0.29437544767149948</v>
      </c>
      <c r="X190" s="12">
        <f t="shared" si="36"/>
        <v>0.70837702708800554</v>
      </c>
      <c r="Y190" s="12">
        <f t="shared" si="37"/>
        <v>0.46366412684232844</v>
      </c>
      <c r="Z190" s="12">
        <f t="shared" si="32"/>
        <v>1.5124257586235506</v>
      </c>
      <c r="AA190" s="12">
        <f t="shared" si="33"/>
        <v>1.6445463426974198</v>
      </c>
      <c r="AB190" s="10">
        <f t="shared" si="38"/>
        <v>4.0359999999999996</v>
      </c>
      <c r="AC190" s="10">
        <f t="shared" si="39"/>
        <v>6.45</v>
      </c>
      <c r="AD190" s="10">
        <f t="shared" si="40"/>
        <v>0.41820000000000002</v>
      </c>
      <c r="AE190" s="12">
        <f t="shared" si="41"/>
        <v>0.71419857966817335</v>
      </c>
      <c r="AF190" s="12">
        <f t="shared" si="42"/>
        <v>0.16</v>
      </c>
      <c r="AG190" s="12">
        <f t="shared" si="43"/>
        <v>0.10224</v>
      </c>
      <c r="AH190" s="10">
        <f t="shared" si="44"/>
        <v>0.95660392663054294</v>
      </c>
      <c r="AI190" s="10">
        <f t="shared" si="45"/>
        <v>1.1310355639654699</v>
      </c>
      <c r="AJ190" s="13">
        <f t="shared" si="46"/>
        <v>0.95660392663054294</v>
      </c>
      <c r="AK190" s="13">
        <f t="shared" si="47"/>
        <v>1.1310355639654699</v>
      </c>
    </row>
    <row r="191" spans="1:37">
      <c r="A191" s="8">
        <f>鋼床鈑!A191</f>
        <v>189</v>
      </c>
      <c r="B191" s="47" t="s">
        <v>41</v>
      </c>
      <c r="C191" s="47" t="s">
        <v>42</v>
      </c>
      <c r="D191" s="47" t="s">
        <v>289</v>
      </c>
      <c r="E191" s="48">
        <v>418200</v>
      </c>
      <c r="F191" s="49">
        <v>121680.8575</v>
      </c>
      <c r="G191" s="49">
        <v>136115.51930000001</v>
      </c>
      <c r="H191" s="49">
        <v>727404217233.58801</v>
      </c>
      <c r="I191" s="49">
        <v>1131035563965.47</v>
      </c>
      <c r="J191" s="49">
        <v>956603926630.54297</v>
      </c>
      <c r="K191" s="49">
        <v>3249.605</v>
      </c>
      <c r="L191" s="49">
        <v>3200.395</v>
      </c>
      <c r="M191" s="49">
        <v>1596.6576</v>
      </c>
      <c r="N191" s="49">
        <v>2439.3424</v>
      </c>
      <c r="O191" s="48">
        <v>0</v>
      </c>
      <c r="P191" s="48">
        <v>0</v>
      </c>
      <c r="Q191" s="48">
        <v>26958</v>
      </c>
      <c r="R191" s="48">
        <v>20834</v>
      </c>
      <c r="S191" s="11">
        <f>(鋼床鈑!F191+鋼床鈑!N191+鋼床鈑!O191)*鋼床鈑!L191+(鋼床鈑!I191+鋼床鈑!N191+鋼床鈑!O191)*鋼床鈑!M191</f>
        <v>102240</v>
      </c>
      <c r="T191" s="11">
        <f>(鋼床鈑!K191)*鋼床鈑!N191+(鋼床鈑!K191)*鋼床鈑!O191</f>
        <v>160000</v>
      </c>
      <c r="U191" s="11">
        <f>4*((鋼床鈑!I191+鋼床鈑!N191/2+鋼床鈑!O191/2)*(鋼床鈑!K191+鋼床鈑!L191/2+鋼床鈑!M191/2))^2/((鋼床鈑!F191+鋼床鈑!N191/2+鋼床鈑!O191/2)/鋼床鈑!L191+(鋼床鈑!I191+鋼床鈑!N191/2+鋼床鈑!O191/2)/鋼床鈑!M191+(鋼床鈑!K191+鋼床鈑!L191/2+鋼床鈑!M191/2)/鋼床鈑!N191+(鋼床鈑!K191+鋼床鈑!L191/2+鋼床鈑!M191/2)/鋼床鈑!O191)</f>
        <v>714198579668.17334</v>
      </c>
      <c r="V191" s="12">
        <f t="shared" si="34"/>
        <v>0.29890183137723403</v>
      </c>
      <c r="W191" s="12">
        <f t="shared" si="35"/>
        <v>0.29437544767149948</v>
      </c>
      <c r="X191" s="12">
        <f t="shared" si="36"/>
        <v>0.70837702708800554</v>
      </c>
      <c r="Y191" s="12">
        <f t="shared" si="37"/>
        <v>0.46366412684232844</v>
      </c>
      <c r="Z191" s="12">
        <f t="shared" si="32"/>
        <v>1.5124257586235506</v>
      </c>
      <c r="AA191" s="12">
        <f t="shared" si="33"/>
        <v>1.6445463426974198</v>
      </c>
      <c r="AB191" s="10">
        <f t="shared" si="38"/>
        <v>4.0359999999999996</v>
      </c>
      <c r="AC191" s="10">
        <f t="shared" si="39"/>
        <v>6.45</v>
      </c>
      <c r="AD191" s="10">
        <f t="shared" si="40"/>
        <v>0.41820000000000002</v>
      </c>
      <c r="AE191" s="12">
        <f t="shared" si="41"/>
        <v>0.71419857966817335</v>
      </c>
      <c r="AF191" s="12">
        <f t="shared" si="42"/>
        <v>0.16</v>
      </c>
      <c r="AG191" s="12">
        <f t="shared" si="43"/>
        <v>0.10224</v>
      </c>
      <c r="AH191" s="10">
        <f t="shared" si="44"/>
        <v>0.95660392663054294</v>
      </c>
      <c r="AI191" s="10">
        <f t="shared" si="45"/>
        <v>1.1310355639654699</v>
      </c>
      <c r="AJ191" s="13">
        <f t="shared" si="46"/>
        <v>0.95660392663054294</v>
      </c>
      <c r="AK191" s="13">
        <f t="shared" si="47"/>
        <v>1.1310355639654699</v>
      </c>
    </row>
    <row r="192" spans="1:37">
      <c r="A192" s="8">
        <f>鋼床鈑!A192</f>
        <v>190</v>
      </c>
      <c r="B192" s="47" t="s">
        <v>41</v>
      </c>
      <c r="C192" s="47" t="s">
        <v>42</v>
      </c>
      <c r="D192" s="47" t="s">
        <v>290</v>
      </c>
      <c r="E192" s="48">
        <v>418200</v>
      </c>
      <c r="F192" s="49">
        <v>121680.8575</v>
      </c>
      <c r="G192" s="49">
        <v>136115.51930000001</v>
      </c>
      <c r="H192" s="49">
        <v>727404217233.58801</v>
      </c>
      <c r="I192" s="49">
        <v>1131035563965.47</v>
      </c>
      <c r="J192" s="49">
        <v>956603926630.54297</v>
      </c>
      <c r="K192" s="49">
        <v>3249.605</v>
      </c>
      <c r="L192" s="49">
        <v>3200.395</v>
      </c>
      <c r="M192" s="49">
        <v>1596.6576</v>
      </c>
      <c r="N192" s="49">
        <v>2439.3424</v>
      </c>
      <c r="O192" s="48">
        <v>0</v>
      </c>
      <c r="P192" s="48">
        <v>0</v>
      </c>
      <c r="Q192" s="48">
        <v>26958</v>
      </c>
      <c r="R192" s="48">
        <v>20834</v>
      </c>
      <c r="S192" s="11">
        <f>(鋼床鈑!F192+鋼床鈑!N192+鋼床鈑!O192)*鋼床鈑!L192+(鋼床鈑!I192+鋼床鈑!N192+鋼床鈑!O192)*鋼床鈑!M192</f>
        <v>102240</v>
      </c>
      <c r="T192" s="11">
        <f>(鋼床鈑!K192)*鋼床鈑!N192+(鋼床鈑!K192)*鋼床鈑!O192</f>
        <v>160000</v>
      </c>
      <c r="U192" s="11">
        <f>4*((鋼床鈑!I192+鋼床鈑!N192/2+鋼床鈑!O192/2)*(鋼床鈑!K192+鋼床鈑!L192/2+鋼床鈑!M192/2))^2/((鋼床鈑!F192+鋼床鈑!N192/2+鋼床鈑!O192/2)/鋼床鈑!L192+(鋼床鈑!I192+鋼床鈑!N192/2+鋼床鈑!O192/2)/鋼床鈑!M192+(鋼床鈑!K192+鋼床鈑!L192/2+鋼床鈑!M192/2)/鋼床鈑!N192+(鋼床鈑!K192+鋼床鈑!L192/2+鋼床鈑!M192/2)/鋼床鈑!O192)</f>
        <v>714198579668.17334</v>
      </c>
      <c r="V192" s="12">
        <f t="shared" si="34"/>
        <v>0.29890183137723403</v>
      </c>
      <c r="W192" s="12">
        <f t="shared" si="35"/>
        <v>0.29437544767149948</v>
      </c>
      <c r="X192" s="12">
        <f t="shared" si="36"/>
        <v>0.70837702708800554</v>
      </c>
      <c r="Y192" s="12">
        <f t="shared" si="37"/>
        <v>0.46366412684232844</v>
      </c>
      <c r="Z192" s="12">
        <f t="shared" si="32"/>
        <v>1.5124257586235506</v>
      </c>
      <c r="AA192" s="12">
        <f t="shared" si="33"/>
        <v>1.6445463426974198</v>
      </c>
      <c r="AB192" s="10">
        <f t="shared" si="38"/>
        <v>4.0359999999999996</v>
      </c>
      <c r="AC192" s="10">
        <f t="shared" si="39"/>
        <v>6.45</v>
      </c>
      <c r="AD192" s="10">
        <f t="shared" si="40"/>
        <v>0.41820000000000002</v>
      </c>
      <c r="AE192" s="12">
        <f t="shared" si="41"/>
        <v>0.71419857966817335</v>
      </c>
      <c r="AF192" s="12">
        <f t="shared" si="42"/>
        <v>0.16</v>
      </c>
      <c r="AG192" s="12">
        <f t="shared" si="43"/>
        <v>0.10224</v>
      </c>
      <c r="AH192" s="10">
        <f t="shared" si="44"/>
        <v>0.95660392663054294</v>
      </c>
      <c r="AI192" s="10">
        <f t="shared" si="45"/>
        <v>1.1310355639654699</v>
      </c>
      <c r="AJ192" s="13">
        <f t="shared" si="46"/>
        <v>0.95660392663054294</v>
      </c>
      <c r="AK192" s="13">
        <f t="shared" si="47"/>
        <v>1.1310355639654699</v>
      </c>
    </row>
    <row r="193" spans="1:37">
      <c r="A193" s="8">
        <f>鋼床鈑!A193</f>
        <v>191</v>
      </c>
      <c r="B193" s="47" t="s">
        <v>41</v>
      </c>
      <c r="C193" s="47" t="s">
        <v>42</v>
      </c>
      <c r="D193" s="47" t="s">
        <v>291</v>
      </c>
      <c r="E193" s="48">
        <v>418200</v>
      </c>
      <c r="F193" s="49">
        <v>121680.8575</v>
      </c>
      <c r="G193" s="49">
        <v>136115.51930000001</v>
      </c>
      <c r="H193" s="49">
        <v>727404217233.58801</v>
      </c>
      <c r="I193" s="49">
        <v>1131035563965.47</v>
      </c>
      <c r="J193" s="49">
        <v>956603926630.54297</v>
      </c>
      <c r="K193" s="49">
        <v>3249.605</v>
      </c>
      <c r="L193" s="49">
        <v>3200.395</v>
      </c>
      <c r="M193" s="49">
        <v>1596.6576</v>
      </c>
      <c r="N193" s="49">
        <v>2439.3424</v>
      </c>
      <c r="O193" s="48">
        <v>0</v>
      </c>
      <c r="P193" s="48">
        <v>0</v>
      </c>
      <c r="Q193" s="48">
        <v>26958</v>
      </c>
      <c r="R193" s="48">
        <v>20834</v>
      </c>
      <c r="S193" s="11">
        <f>(鋼床鈑!F193+鋼床鈑!N193+鋼床鈑!O193)*鋼床鈑!L193+(鋼床鈑!I193+鋼床鈑!N193+鋼床鈑!O193)*鋼床鈑!M193</f>
        <v>102240</v>
      </c>
      <c r="T193" s="11">
        <f>(鋼床鈑!K193)*鋼床鈑!N193+(鋼床鈑!K193)*鋼床鈑!O193</f>
        <v>160000</v>
      </c>
      <c r="U193" s="11">
        <f>4*((鋼床鈑!I193+鋼床鈑!N193/2+鋼床鈑!O193/2)*(鋼床鈑!K193+鋼床鈑!L193/2+鋼床鈑!M193/2))^2/((鋼床鈑!F193+鋼床鈑!N193/2+鋼床鈑!O193/2)/鋼床鈑!L193+(鋼床鈑!I193+鋼床鈑!N193/2+鋼床鈑!O193/2)/鋼床鈑!M193+(鋼床鈑!K193+鋼床鈑!L193/2+鋼床鈑!M193/2)/鋼床鈑!N193+(鋼床鈑!K193+鋼床鈑!L193/2+鋼床鈑!M193/2)/鋼床鈑!O193)</f>
        <v>714198579668.17334</v>
      </c>
      <c r="V193" s="12">
        <f t="shared" si="34"/>
        <v>0.29890183137723403</v>
      </c>
      <c r="W193" s="12">
        <f t="shared" si="35"/>
        <v>0.29437544767149948</v>
      </c>
      <c r="X193" s="12">
        <f t="shared" si="36"/>
        <v>0.70837702708800554</v>
      </c>
      <c r="Y193" s="12">
        <f t="shared" si="37"/>
        <v>0.46366412684232844</v>
      </c>
      <c r="Z193" s="12">
        <f t="shared" si="32"/>
        <v>1.5124257586235506</v>
      </c>
      <c r="AA193" s="12">
        <f t="shared" si="33"/>
        <v>1.6445463426974198</v>
      </c>
      <c r="AB193" s="10">
        <f t="shared" si="38"/>
        <v>4.0359999999999996</v>
      </c>
      <c r="AC193" s="10">
        <f t="shared" si="39"/>
        <v>6.45</v>
      </c>
      <c r="AD193" s="10">
        <f t="shared" si="40"/>
        <v>0.41820000000000002</v>
      </c>
      <c r="AE193" s="12">
        <f t="shared" si="41"/>
        <v>0.71419857966817335</v>
      </c>
      <c r="AF193" s="12">
        <f t="shared" si="42"/>
        <v>0.16</v>
      </c>
      <c r="AG193" s="12">
        <f t="shared" si="43"/>
        <v>0.10224</v>
      </c>
      <c r="AH193" s="10">
        <f t="shared" si="44"/>
        <v>0.95660392663054294</v>
      </c>
      <c r="AI193" s="10">
        <f t="shared" si="45"/>
        <v>1.1310355639654699</v>
      </c>
      <c r="AJ193" s="13">
        <f t="shared" si="46"/>
        <v>0.95660392663054294</v>
      </c>
      <c r="AK193" s="13">
        <f t="shared" si="47"/>
        <v>1.1310355639654699</v>
      </c>
    </row>
    <row r="194" spans="1:37">
      <c r="A194" s="8">
        <f>鋼床鈑!A194</f>
        <v>192</v>
      </c>
      <c r="B194" s="47" t="s">
        <v>41</v>
      </c>
      <c r="C194" s="47" t="s">
        <v>42</v>
      </c>
      <c r="D194" s="47" t="s">
        <v>292</v>
      </c>
      <c r="E194" s="48">
        <v>418200</v>
      </c>
      <c r="F194" s="49">
        <v>121680.8575</v>
      </c>
      <c r="G194" s="49">
        <v>136115.51930000001</v>
      </c>
      <c r="H194" s="49">
        <v>727404217233.58801</v>
      </c>
      <c r="I194" s="49">
        <v>1131035563965.47</v>
      </c>
      <c r="J194" s="49">
        <v>956603926630.54297</v>
      </c>
      <c r="K194" s="49">
        <v>3249.605</v>
      </c>
      <c r="L194" s="49">
        <v>3200.395</v>
      </c>
      <c r="M194" s="49">
        <v>1596.6576</v>
      </c>
      <c r="N194" s="49">
        <v>2439.3424</v>
      </c>
      <c r="O194" s="48">
        <v>0</v>
      </c>
      <c r="P194" s="48">
        <v>0</v>
      </c>
      <c r="Q194" s="48">
        <v>26958</v>
      </c>
      <c r="R194" s="48">
        <v>20834</v>
      </c>
      <c r="S194" s="11">
        <f>(鋼床鈑!F194+鋼床鈑!N194+鋼床鈑!O194)*鋼床鈑!L194+(鋼床鈑!I194+鋼床鈑!N194+鋼床鈑!O194)*鋼床鈑!M194</f>
        <v>102240</v>
      </c>
      <c r="T194" s="11">
        <f>(鋼床鈑!K194)*鋼床鈑!N194+(鋼床鈑!K194)*鋼床鈑!O194</f>
        <v>160000</v>
      </c>
      <c r="U194" s="11">
        <f>4*((鋼床鈑!I194+鋼床鈑!N194/2+鋼床鈑!O194/2)*(鋼床鈑!K194+鋼床鈑!L194/2+鋼床鈑!M194/2))^2/((鋼床鈑!F194+鋼床鈑!N194/2+鋼床鈑!O194/2)/鋼床鈑!L194+(鋼床鈑!I194+鋼床鈑!N194/2+鋼床鈑!O194/2)/鋼床鈑!M194+(鋼床鈑!K194+鋼床鈑!L194/2+鋼床鈑!M194/2)/鋼床鈑!N194+(鋼床鈑!K194+鋼床鈑!L194/2+鋼床鈑!M194/2)/鋼床鈑!O194)</f>
        <v>714198579668.17334</v>
      </c>
      <c r="V194" s="12">
        <f t="shared" si="34"/>
        <v>0.29890183137723403</v>
      </c>
      <c r="W194" s="12">
        <f t="shared" si="35"/>
        <v>0.29437544767149948</v>
      </c>
      <c r="X194" s="12">
        <f t="shared" si="36"/>
        <v>0.70837702708800554</v>
      </c>
      <c r="Y194" s="12">
        <f t="shared" si="37"/>
        <v>0.46366412684232844</v>
      </c>
      <c r="Z194" s="12">
        <f t="shared" si="32"/>
        <v>1.5124257586235506</v>
      </c>
      <c r="AA194" s="12">
        <f t="shared" si="33"/>
        <v>1.6445463426974198</v>
      </c>
      <c r="AB194" s="10">
        <f t="shared" si="38"/>
        <v>4.0359999999999996</v>
      </c>
      <c r="AC194" s="10">
        <f t="shared" si="39"/>
        <v>6.45</v>
      </c>
      <c r="AD194" s="10">
        <f t="shared" si="40"/>
        <v>0.41820000000000002</v>
      </c>
      <c r="AE194" s="12">
        <f t="shared" si="41"/>
        <v>0.71419857966817335</v>
      </c>
      <c r="AF194" s="12">
        <f t="shared" si="42"/>
        <v>0.16</v>
      </c>
      <c r="AG194" s="12">
        <f t="shared" si="43"/>
        <v>0.10224</v>
      </c>
      <c r="AH194" s="10">
        <f t="shared" si="44"/>
        <v>0.95660392663054294</v>
      </c>
      <c r="AI194" s="10">
        <f t="shared" si="45"/>
        <v>1.1310355639654699</v>
      </c>
      <c r="AJ194" s="13">
        <f t="shared" si="46"/>
        <v>0.95660392663054294</v>
      </c>
      <c r="AK194" s="13">
        <f t="shared" si="47"/>
        <v>1.1310355639654699</v>
      </c>
    </row>
    <row r="195" spans="1:37">
      <c r="A195" s="8">
        <f>鋼床鈑!A195</f>
        <v>193</v>
      </c>
      <c r="B195" s="47" t="s">
        <v>41</v>
      </c>
      <c r="C195" s="47" t="s">
        <v>42</v>
      </c>
      <c r="D195" s="47" t="s">
        <v>293</v>
      </c>
      <c r="E195" s="48">
        <v>418200</v>
      </c>
      <c r="F195" s="49">
        <v>121680.8575</v>
      </c>
      <c r="G195" s="49">
        <v>136115.51930000001</v>
      </c>
      <c r="H195" s="49">
        <v>727404217233.58801</v>
      </c>
      <c r="I195" s="49">
        <v>1131035563965.47</v>
      </c>
      <c r="J195" s="49">
        <v>956603926630.54297</v>
      </c>
      <c r="K195" s="49">
        <v>3249.605</v>
      </c>
      <c r="L195" s="49">
        <v>3200.395</v>
      </c>
      <c r="M195" s="49">
        <v>1596.6576</v>
      </c>
      <c r="N195" s="49">
        <v>2439.3424</v>
      </c>
      <c r="O195" s="48">
        <v>0</v>
      </c>
      <c r="P195" s="48">
        <v>0</v>
      </c>
      <c r="Q195" s="48">
        <v>26958</v>
      </c>
      <c r="R195" s="48">
        <v>20834</v>
      </c>
      <c r="S195" s="11">
        <f>(鋼床鈑!F195+鋼床鈑!N195+鋼床鈑!O195)*鋼床鈑!L195+(鋼床鈑!I195+鋼床鈑!N195+鋼床鈑!O195)*鋼床鈑!M195</f>
        <v>102240</v>
      </c>
      <c r="T195" s="11">
        <f>(鋼床鈑!K195)*鋼床鈑!N195+(鋼床鈑!K195)*鋼床鈑!O195</f>
        <v>160000</v>
      </c>
      <c r="U195" s="11">
        <f>4*((鋼床鈑!I195+鋼床鈑!N195/2+鋼床鈑!O195/2)*(鋼床鈑!K195+鋼床鈑!L195/2+鋼床鈑!M195/2))^2/((鋼床鈑!F195+鋼床鈑!N195/2+鋼床鈑!O195/2)/鋼床鈑!L195+(鋼床鈑!I195+鋼床鈑!N195/2+鋼床鈑!O195/2)/鋼床鈑!M195+(鋼床鈑!K195+鋼床鈑!L195/2+鋼床鈑!M195/2)/鋼床鈑!N195+(鋼床鈑!K195+鋼床鈑!L195/2+鋼床鈑!M195/2)/鋼床鈑!O195)</f>
        <v>714198579668.17334</v>
      </c>
      <c r="V195" s="12">
        <f t="shared" si="34"/>
        <v>0.29890183137723403</v>
      </c>
      <c r="W195" s="12">
        <f t="shared" si="35"/>
        <v>0.29437544767149948</v>
      </c>
      <c r="X195" s="12">
        <f t="shared" si="36"/>
        <v>0.70837702708800554</v>
      </c>
      <c r="Y195" s="12">
        <f t="shared" si="37"/>
        <v>0.46366412684232844</v>
      </c>
      <c r="Z195" s="12">
        <f t="shared" si="32"/>
        <v>1.5124257586235506</v>
      </c>
      <c r="AA195" s="12">
        <f t="shared" si="33"/>
        <v>1.6445463426974198</v>
      </c>
      <c r="AB195" s="10">
        <f t="shared" si="38"/>
        <v>4.0359999999999996</v>
      </c>
      <c r="AC195" s="10">
        <f t="shared" si="39"/>
        <v>6.45</v>
      </c>
      <c r="AD195" s="10">
        <f t="shared" si="40"/>
        <v>0.41820000000000002</v>
      </c>
      <c r="AE195" s="12">
        <f t="shared" si="41"/>
        <v>0.71419857966817335</v>
      </c>
      <c r="AF195" s="12">
        <f t="shared" si="42"/>
        <v>0.16</v>
      </c>
      <c r="AG195" s="12">
        <f t="shared" si="43"/>
        <v>0.10224</v>
      </c>
      <c r="AH195" s="10">
        <f t="shared" si="44"/>
        <v>0.95660392663054294</v>
      </c>
      <c r="AI195" s="10">
        <f t="shared" si="45"/>
        <v>1.1310355639654699</v>
      </c>
      <c r="AJ195" s="13">
        <f t="shared" si="46"/>
        <v>0.95660392663054294</v>
      </c>
      <c r="AK195" s="13">
        <f t="shared" si="47"/>
        <v>1.1310355639654699</v>
      </c>
    </row>
    <row r="196" spans="1:37">
      <c r="A196" s="8">
        <f>鋼床鈑!A196</f>
        <v>194</v>
      </c>
      <c r="B196" s="47" t="s">
        <v>41</v>
      </c>
      <c r="C196" s="47" t="s">
        <v>42</v>
      </c>
      <c r="D196" s="47" t="s">
        <v>294</v>
      </c>
      <c r="E196" s="48">
        <v>418200</v>
      </c>
      <c r="F196" s="49">
        <v>121680.8575</v>
      </c>
      <c r="G196" s="49">
        <v>136115.51930000001</v>
      </c>
      <c r="H196" s="49">
        <v>727404217233.58801</v>
      </c>
      <c r="I196" s="49">
        <v>1131035563965.47</v>
      </c>
      <c r="J196" s="49">
        <v>956603926630.54297</v>
      </c>
      <c r="K196" s="49">
        <v>3249.605</v>
      </c>
      <c r="L196" s="49">
        <v>3200.395</v>
      </c>
      <c r="M196" s="49">
        <v>1596.6576</v>
      </c>
      <c r="N196" s="49">
        <v>2439.3424</v>
      </c>
      <c r="O196" s="48">
        <v>0</v>
      </c>
      <c r="P196" s="48">
        <v>0</v>
      </c>
      <c r="Q196" s="48">
        <v>26958</v>
      </c>
      <c r="R196" s="48">
        <v>20834</v>
      </c>
      <c r="S196" s="11">
        <f>(鋼床鈑!F196+鋼床鈑!N196+鋼床鈑!O196)*鋼床鈑!L196+(鋼床鈑!I196+鋼床鈑!N196+鋼床鈑!O196)*鋼床鈑!M196</f>
        <v>102240</v>
      </c>
      <c r="T196" s="11">
        <f>(鋼床鈑!K196)*鋼床鈑!N196+(鋼床鈑!K196)*鋼床鈑!O196</f>
        <v>160000</v>
      </c>
      <c r="U196" s="11">
        <f>4*((鋼床鈑!I196+鋼床鈑!N196/2+鋼床鈑!O196/2)*(鋼床鈑!K196+鋼床鈑!L196/2+鋼床鈑!M196/2))^2/((鋼床鈑!F196+鋼床鈑!N196/2+鋼床鈑!O196/2)/鋼床鈑!L196+(鋼床鈑!I196+鋼床鈑!N196/2+鋼床鈑!O196/2)/鋼床鈑!M196+(鋼床鈑!K196+鋼床鈑!L196/2+鋼床鈑!M196/2)/鋼床鈑!N196+(鋼床鈑!K196+鋼床鈑!L196/2+鋼床鈑!M196/2)/鋼床鈑!O196)</f>
        <v>714198579668.17334</v>
      </c>
      <c r="V196" s="12">
        <f t="shared" si="34"/>
        <v>0.29890183137723403</v>
      </c>
      <c r="W196" s="12">
        <f t="shared" si="35"/>
        <v>0.29437544767149948</v>
      </c>
      <c r="X196" s="12">
        <f t="shared" si="36"/>
        <v>0.70837702708800554</v>
      </c>
      <c r="Y196" s="12">
        <f t="shared" si="37"/>
        <v>0.46366412684232844</v>
      </c>
      <c r="Z196" s="12">
        <f t="shared" ref="Z196:Z211" si="48">SQRT(AH196/AD196)</f>
        <v>1.5124257586235506</v>
      </c>
      <c r="AA196" s="12">
        <f t="shared" ref="AA196:AA211" si="49">SQRT(AI196/AD196)</f>
        <v>1.6445463426974198</v>
      </c>
      <c r="AB196" s="10">
        <f t="shared" si="38"/>
        <v>4.0359999999999996</v>
      </c>
      <c r="AC196" s="10">
        <f t="shared" si="39"/>
        <v>6.45</v>
      </c>
      <c r="AD196" s="10">
        <f t="shared" si="40"/>
        <v>0.41820000000000002</v>
      </c>
      <c r="AE196" s="12">
        <f t="shared" si="41"/>
        <v>0.71419857966817335</v>
      </c>
      <c r="AF196" s="12">
        <f t="shared" si="42"/>
        <v>0.16</v>
      </c>
      <c r="AG196" s="12">
        <f t="shared" si="43"/>
        <v>0.10224</v>
      </c>
      <c r="AH196" s="10">
        <f t="shared" si="44"/>
        <v>0.95660392663054294</v>
      </c>
      <c r="AI196" s="10">
        <f t="shared" si="45"/>
        <v>1.1310355639654699</v>
      </c>
      <c r="AJ196" s="13">
        <f t="shared" si="46"/>
        <v>0.95660392663054294</v>
      </c>
      <c r="AK196" s="13">
        <f t="shared" si="47"/>
        <v>1.1310355639654699</v>
      </c>
    </row>
    <row r="197" spans="1:37">
      <c r="A197" s="8">
        <f>鋼床鈑!A197</f>
        <v>195</v>
      </c>
      <c r="B197" s="47" t="s">
        <v>41</v>
      </c>
      <c r="C197" s="47" t="s">
        <v>42</v>
      </c>
      <c r="D197" s="47" t="s">
        <v>295</v>
      </c>
      <c r="E197" s="48">
        <v>418200</v>
      </c>
      <c r="F197" s="49">
        <v>121680.8575</v>
      </c>
      <c r="G197" s="49">
        <v>136115.51930000001</v>
      </c>
      <c r="H197" s="49">
        <v>727404217233.58801</v>
      </c>
      <c r="I197" s="49">
        <v>1131035563965.47</v>
      </c>
      <c r="J197" s="49">
        <v>956603926630.54297</v>
      </c>
      <c r="K197" s="49">
        <v>3249.605</v>
      </c>
      <c r="L197" s="49">
        <v>3200.395</v>
      </c>
      <c r="M197" s="49">
        <v>1596.6576</v>
      </c>
      <c r="N197" s="49">
        <v>2439.3424</v>
      </c>
      <c r="O197" s="48">
        <v>0</v>
      </c>
      <c r="P197" s="48">
        <v>0</v>
      </c>
      <c r="Q197" s="48">
        <v>26958</v>
      </c>
      <c r="R197" s="48">
        <v>20834</v>
      </c>
      <c r="S197" s="11">
        <f>(鋼床鈑!F197+鋼床鈑!N197+鋼床鈑!O197)*鋼床鈑!L197+(鋼床鈑!I197+鋼床鈑!N197+鋼床鈑!O197)*鋼床鈑!M197</f>
        <v>102240</v>
      </c>
      <c r="T197" s="11">
        <f>(鋼床鈑!K197)*鋼床鈑!N197+(鋼床鈑!K197)*鋼床鈑!O197</f>
        <v>160000</v>
      </c>
      <c r="U197" s="11">
        <f>4*((鋼床鈑!I197+鋼床鈑!N197/2+鋼床鈑!O197/2)*(鋼床鈑!K197+鋼床鈑!L197/2+鋼床鈑!M197/2))^2/((鋼床鈑!F197+鋼床鈑!N197/2+鋼床鈑!O197/2)/鋼床鈑!L197+(鋼床鈑!I197+鋼床鈑!N197/2+鋼床鈑!O197/2)/鋼床鈑!M197+(鋼床鈑!K197+鋼床鈑!L197/2+鋼床鈑!M197/2)/鋼床鈑!N197+(鋼床鈑!K197+鋼床鈑!L197/2+鋼床鈑!M197/2)/鋼床鈑!O197)</f>
        <v>714198579668.17334</v>
      </c>
      <c r="V197" s="12">
        <f t="shared" ref="V197:V211" si="50">AH197/(L197/1000)</f>
        <v>0.29890183137723403</v>
      </c>
      <c r="W197" s="12">
        <f t="shared" ref="W197:W211" si="51">AH197/(K197/1000)</f>
        <v>0.29437544767149948</v>
      </c>
      <c r="X197" s="12">
        <f t="shared" ref="X197:X211" si="52">AI197/(M197/1000)</f>
        <v>0.70837702708800554</v>
      </c>
      <c r="Y197" s="12">
        <f t="shared" ref="Y197:Y211" si="53">AI197/(N197/1000)</f>
        <v>0.46366412684232844</v>
      </c>
      <c r="Z197" s="12">
        <f t="shared" si="48"/>
        <v>1.5124257586235506</v>
      </c>
      <c r="AA197" s="12">
        <f t="shared" si="49"/>
        <v>1.6445463426974198</v>
      </c>
      <c r="AB197" s="10">
        <f t="shared" ref="AB197:AB211" si="54">(M197+N197)/1000</f>
        <v>4.0359999999999996</v>
      </c>
      <c r="AC197" s="10">
        <f t="shared" ref="AC197:AC211" si="55">(K197+L197)/1000</f>
        <v>6.45</v>
      </c>
      <c r="AD197" s="10">
        <f t="shared" ref="AD197:AD211" si="56">E197/1000^2</f>
        <v>0.41820000000000002</v>
      </c>
      <c r="AE197" s="12">
        <f t="shared" ref="AE197:AE211" si="57">U197/(1000^4)</f>
        <v>0.71419857966817335</v>
      </c>
      <c r="AF197" s="12">
        <f t="shared" ref="AF197:AF211" si="58">T197/1000^2</f>
        <v>0.16</v>
      </c>
      <c r="AG197" s="12">
        <f t="shared" ref="AG197:AG211" si="59">S197/1000^2</f>
        <v>0.10224</v>
      </c>
      <c r="AH197" s="10">
        <f t="shared" ref="AH197:AH211" si="60">J197/(1000^4)</f>
        <v>0.95660392663054294</v>
      </c>
      <c r="AI197" s="10">
        <f t="shared" ref="AI197:AI211" si="61">I197/(1000^4)</f>
        <v>1.1310355639654699</v>
      </c>
      <c r="AJ197" s="13">
        <f t="shared" ref="AJ197:AJ211" si="62">AH197</f>
        <v>0.95660392663054294</v>
      </c>
      <c r="AK197" s="13">
        <f t="shared" ref="AK197:AK211" si="63">AI197</f>
        <v>1.1310355639654699</v>
      </c>
    </row>
    <row r="198" spans="1:37">
      <c r="A198" s="8">
        <f>鋼床鈑!A198</f>
        <v>196</v>
      </c>
      <c r="B198" s="47" t="s">
        <v>41</v>
      </c>
      <c r="C198" s="47" t="s">
        <v>42</v>
      </c>
      <c r="D198" s="47" t="s">
        <v>296</v>
      </c>
      <c r="E198" s="48">
        <v>418200</v>
      </c>
      <c r="F198" s="49">
        <v>121680.8575</v>
      </c>
      <c r="G198" s="49">
        <v>136115.51930000001</v>
      </c>
      <c r="H198" s="49">
        <v>727404217233.58801</v>
      </c>
      <c r="I198" s="49">
        <v>1131035563965.47</v>
      </c>
      <c r="J198" s="49">
        <v>956603926630.54297</v>
      </c>
      <c r="K198" s="49">
        <v>3249.605</v>
      </c>
      <c r="L198" s="49">
        <v>3200.395</v>
      </c>
      <c r="M198" s="49">
        <v>1596.6576</v>
      </c>
      <c r="N198" s="49">
        <v>2439.3424</v>
      </c>
      <c r="O198" s="48">
        <v>0</v>
      </c>
      <c r="P198" s="48">
        <v>0</v>
      </c>
      <c r="Q198" s="48">
        <v>26958</v>
      </c>
      <c r="R198" s="48">
        <v>20834</v>
      </c>
      <c r="S198" s="11">
        <f>(鋼床鈑!F198+鋼床鈑!N198+鋼床鈑!O198)*鋼床鈑!L198+(鋼床鈑!I198+鋼床鈑!N198+鋼床鈑!O198)*鋼床鈑!M198</f>
        <v>102240</v>
      </c>
      <c r="T198" s="11">
        <f>(鋼床鈑!K198)*鋼床鈑!N198+(鋼床鈑!K198)*鋼床鈑!O198</f>
        <v>160000</v>
      </c>
      <c r="U198" s="11">
        <f>4*((鋼床鈑!I198+鋼床鈑!N198/2+鋼床鈑!O198/2)*(鋼床鈑!K198+鋼床鈑!L198/2+鋼床鈑!M198/2))^2/((鋼床鈑!F198+鋼床鈑!N198/2+鋼床鈑!O198/2)/鋼床鈑!L198+(鋼床鈑!I198+鋼床鈑!N198/2+鋼床鈑!O198/2)/鋼床鈑!M198+(鋼床鈑!K198+鋼床鈑!L198/2+鋼床鈑!M198/2)/鋼床鈑!N198+(鋼床鈑!K198+鋼床鈑!L198/2+鋼床鈑!M198/2)/鋼床鈑!O198)</f>
        <v>714198579668.17334</v>
      </c>
      <c r="V198" s="12">
        <f t="shared" si="50"/>
        <v>0.29890183137723403</v>
      </c>
      <c r="W198" s="12">
        <f t="shared" si="51"/>
        <v>0.29437544767149948</v>
      </c>
      <c r="X198" s="12">
        <f t="shared" si="52"/>
        <v>0.70837702708800554</v>
      </c>
      <c r="Y198" s="12">
        <f t="shared" si="53"/>
        <v>0.46366412684232844</v>
      </c>
      <c r="Z198" s="12">
        <f t="shared" si="48"/>
        <v>1.5124257586235506</v>
      </c>
      <c r="AA198" s="12">
        <f t="shared" si="49"/>
        <v>1.6445463426974198</v>
      </c>
      <c r="AB198" s="10">
        <f t="shared" si="54"/>
        <v>4.0359999999999996</v>
      </c>
      <c r="AC198" s="10">
        <f t="shared" si="55"/>
        <v>6.45</v>
      </c>
      <c r="AD198" s="10">
        <f t="shared" si="56"/>
        <v>0.41820000000000002</v>
      </c>
      <c r="AE198" s="12">
        <f t="shared" si="57"/>
        <v>0.71419857966817335</v>
      </c>
      <c r="AF198" s="12">
        <f t="shared" si="58"/>
        <v>0.16</v>
      </c>
      <c r="AG198" s="12">
        <f t="shared" si="59"/>
        <v>0.10224</v>
      </c>
      <c r="AH198" s="10">
        <f t="shared" si="60"/>
        <v>0.95660392663054294</v>
      </c>
      <c r="AI198" s="10">
        <f t="shared" si="61"/>
        <v>1.1310355639654699</v>
      </c>
      <c r="AJ198" s="13">
        <f t="shared" si="62"/>
        <v>0.95660392663054294</v>
      </c>
      <c r="AK198" s="13">
        <f t="shared" si="63"/>
        <v>1.1310355639654699</v>
      </c>
    </row>
    <row r="199" spans="1:37">
      <c r="A199" s="8">
        <f>鋼床鈑!A199</f>
        <v>197</v>
      </c>
      <c r="B199" s="47" t="s">
        <v>41</v>
      </c>
      <c r="C199" s="47" t="s">
        <v>42</v>
      </c>
      <c r="D199" s="47" t="s">
        <v>297</v>
      </c>
      <c r="E199" s="48">
        <v>418200</v>
      </c>
      <c r="F199" s="49">
        <v>121680.8575</v>
      </c>
      <c r="G199" s="49">
        <v>136115.51930000001</v>
      </c>
      <c r="H199" s="49">
        <v>727404217233.58801</v>
      </c>
      <c r="I199" s="49">
        <v>1131035563965.47</v>
      </c>
      <c r="J199" s="49">
        <v>956603926630.54297</v>
      </c>
      <c r="K199" s="49">
        <v>3249.605</v>
      </c>
      <c r="L199" s="49">
        <v>3200.395</v>
      </c>
      <c r="M199" s="49">
        <v>1596.6576</v>
      </c>
      <c r="N199" s="49">
        <v>2439.3424</v>
      </c>
      <c r="O199" s="48">
        <v>0</v>
      </c>
      <c r="P199" s="48">
        <v>0</v>
      </c>
      <c r="Q199" s="48">
        <v>26958</v>
      </c>
      <c r="R199" s="48">
        <v>20834</v>
      </c>
      <c r="S199" s="11">
        <f>(鋼床鈑!F199+鋼床鈑!N199+鋼床鈑!O199)*鋼床鈑!L199+(鋼床鈑!I199+鋼床鈑!N199+鋼床鈑!O199)*鋼床鈑!M199</f>
        <v>102240</v>
      </c>
      <c r="T199" s="11">
        <f>(鋼床鈑!K199)*鋼床鈑!N199+(鋼床鈑!K199)*鋼床鈑!O199</f>
        <v>160000</v>
      </c>
      <c r="U199" s="11">
        <f>4*((鋼床鈑!I199+鋼床鈑!N199/2+鋼床鈑!O199/2)*(鋼床鈑!K199+鋼床鈑!L199/2+鋼床鈑!M199/2))^2/((鋼床鈑!F199+鋼床鈑!N199/2+鋼床鈑!O199/2)/鋼床鈑!L199+(鋼床鈑!I199+鋼床鈑!N199/2+鋼床鈑!O199/2)/鋼床鈑!M199+(鋼床鈑!K199+鋼床鈑!L199/2+鋼床鈑!M199/2)/鋼床鈑!N199+(鋼床鈑!K199+鋼床鈑!L199/2+鋼床鈑!M199/2)/鋼床鈑!O199)</f>
        <v>714198579668.17334</v>
      </c>
      <c r="V199" s="12">
        <f t="shared" si="50"/>
        <v>0.29890183137723403</v>
      </c>
      <c r="W199" s="12">
        <f t="shared" si="51"/>
        <v>0.29437544767149948</v>
      </c>
      <c r="X199" s="12">
        <f t="shared" si="52"/>
        <v>0.70837702708800554</v>
      </c>
      <c r="Y199" s="12">
        <f t="shared" si="53"/>
        <v>0.46366412684232844</v>
      </c>
      <c r="Z199" s="12">
        <f t="shared" si="48"/>
        <v>1.5124257586235506</v>
      </c>
      <c r="AA199" s="12">
        <f t="shared" si="49"/>
        <v>1.6445463426974198</v>
      </c>
      <c r="AB199" s="10">
        <f t="shared" si="54"/>
        <v>4.0359999999999996</v>
      </c>
      <c r="AC199" s="10">
        <f t="shared" si="55"/>
        <v>6.45</v>
      </c>
      <c r="AD199" s="10">
        <f t="shared" si="56"/>
        <v>0.41820000000000002</v>
      </c>
      <c r="AE199" s="12">
        <f t="shared" si="57"/>
        <v>0.71419857966817335</v>
      </c>
      <c r="AF199" s="12">
        <f t="shared" si="58"/>
        <v>0.16</v>
      </c>
      <c r="AG199" s="12">
        <f t="shared" si="59"/>
        <v>0.10224</v>
      </c>
      <c r="AH199" s="10">
        <f t="shared" si="60"/>
        <v>0.95660392663054294</v>
      </c>
      <c r="AI199" s="10">
        <f t="shared" si="61"/>
        <v>1.1310355639654699</v>
      </c>
      <c r="AJ199" s="13">
        <f t="shared" si="62"/>
        <v>0.95660392663054294</v>
      </c>
      <c r="AK199" s="13">
        <f t="shared" si="63"/>
        <v>1.1310355639654699</v>
      </c>
    </row>
    <row r="200" spans="1:37">
      <c r="A200" s="8">
        <f>鋼床鈑!A200</f>
        <v>198</v>
      </c>
      <c r="B200" s="47" t="s">
        <v>41</v>
      </c>
      <c r="C200" s="47" t="s">
        <v>42</v>
      </c>
      <c r="D200" s="47" t="s">
        <v>298</v>
      </c>
      <c r="E200" s="48">
        <v>418200</v>
      </c>
      <c r="F200" s="49">
        <v>121680.8575</v>
      </c>
      <c r="G200" s="49">
        <v>136115.51930000001</v>
      </c>
      <c r="H200" s="49">
        <v>727404217233.58801</v>
      </c>
      <c r="I200" s="49">
        <v>1131035563965.47</v>
      </c>
      <c r="J200" s="49">
        <v>956603926630.54297</v>
      </c>
      <c r="K200" s="49">
        <v>3249.605</v>
      </c>
      <c r="L200" s="49">
        <v>3200.395</v>
      </c>
      <c r="M200" s="49">
        <v>1596.6576</v>
      </c>
      <c r="N200" s="49">
        <v>2439.3424</v>
      </c>
      <c r="O200" s="48">
        <v>0</v>
      </c>
      <c r="P200" s="48">
        <v>0</v>
      </c>
      <c r="Q200" s="48">
        <v>26958</v>
      </c>
      <c r="R200" s="48">
        <v>20834</v>
      </c>
      <c r="S200" s="11">
        <f>(鋼床鈑!F200+鋼床鈑!N200+鋼床鈑!O200)*鋼床鈑!L200+(鋼床鈑!I200+鋼床鈑!N200+鋼床鈑!O200)*鋼床鈑!M200</f>
        <v>102240</v>
      </c>
      <c r="T200" s="11">
        <f>(鋼床鈑!K200)*鋼床鈑!N200+(鋼床鈑!K200)*鋼床鈑!O200</f>
        <v>160000</v>
      </c>
      <c r="U200" s="11">
        <f>4*((鋼床鈑!I200+鋼床鈑!N200/2+鋼床鈑!O200/2)*(鋼床鈑!K200+鋼床鈑!L200/2+鋼床鈑!M200/2))^2/((鋼床鈑!F200+鋼床鈑!N200/2+鋼床鈑!O200/2)/鋼床鈑!L200+(鋼床鈑!I200+鋼床鈑!N200/2+鋼床鈑!O200/2)/鋼床鈑!M200+(鋼床鈑!K200+鋼床鈑!L200/2+鋼床鈑!M200/2)/鋼床鈑!N200+(鋼床鈑!K200+鋼床鈑!L200/2+鋼床鈑!M200/2)/鋼床鈑!O200)</f>
        <v>714198579668.17334</v>
      </c>
      <c r="V200" s="12">
        <f t="shared" si="50"/>
        <v>0.29890183137723403</v>
      </c>
      <c r="W200" s="12">
        <f t="shared" si="51"/>
        <v>0.29437544767149948</v>
      </c>
      <c r="X200" s="12">
        <f t="shared" si="52"/>
        <v>0.70837702708800554</v>
      </c>
      <c r="Y200" s="12">
        <f t="shared" si="53"/>
        <v>0.46366412684232844</v>
      </c>
      <c r="Z200" s="12">
        <f t="shared" si="48"/>
        <v>1.5124257586235506</v>
      </c>
      <c r="AA200" s="12">
        <f t="shared" si="49"/>
        <v>1.6445463426974198</v>
      </c>
      <c r="AB200" s="10">
        <f t="shared" si="54"/>
        <v>4.0359999999999996</v>
      </c>
      <c r="AC200" s="10">
        <f t="shared" si="55"/>
        <v>6.45</v>
      </c>
      <c r="AD200" s="10">
        <f t="shared" si="56"/>
        <v>0.41820000000000002</v>
      </c>
      <c r="AE200" s="12">
        <f t="shared" si="57"/>
        <v>0.71419857966817335</v>
      </c>
      <c r="AF200" s="12">
        <f t="shared" si="58"/>
        <v>0.16</v>
      </c>
      <c r="AG200" s="12">
        <f t="shared" si="59"/>
        <v>0.10224</v>
      </c>
      <c r="AH200" s="10">
        <f t="shared" si="60"/>
        <v>0.95660392663054294</v>
      </c>
      <c r="AI200" s="10">
        <f t="shared" si="61"/>
        <v>1.1310355639654699</v>
      </c>
      <c r="AJ200" s="13">
        <f t="shared" si="62"/>
        <v>0.95660392663054294</v>
      </c>
      <c r="AK200" s="13">
        <f t="shared" si="63"/>
        <v>1.1310355639654699</v>
      </c>
    </row>
    <row r="201" spans="1:37">
      <c r="A201" s="8">
        <f>鋼床鈑!A201</f>
        <v>199</v>
      </c>
      <c r="B201" s="47" t="s">
        <v>41</v>
      </c>
      <c r="C201" s="47" t="s">
        <v>42</v>
      </c>
      <c r="D201" s="47" t="s">
        <v>299</v>
      </c>
      <c r="E201" s="48">
        <v>418200</v>
      </c>
      <c r="F201" s="49">
        <v>121680.8575</v>
      </c>
      <c r="G201" s="49">
        <v>136115.51930000001</v>
      </c>
      <c r="H201" s="49">
        <v>727404217233.58801</v>
      </c>
      <c r="I201" s="49">
        <v>1131035563965.47</v>
      </c>
      <c r="J201" s="49">
        <v>956603926630.54297</v>
      </c>
      <c r="K201" s="49">
        <v>3249.605</v>
      </c>
      <c r="L201" s="49">
        <v>3200.395</v>
      </c>
      <c r="M201" s="49">
        <v>1596.6576</v>
      </c>
      <c r="N201" s="49">
        <v>2439.3424</v>
      </c>
      <c r="O201" s="48">
        <v>0</v>
      </c>
      <c r="P201" s="48">
        <v>0</v>
      </c>
      <c r="Q201" s="48">
        <v>26958</v>
      </c>
      <c r="R201" s="48">
        <v>20834</v>
      </c>
      <c r="S201" s="11">
        <f>(鋼床鈑!F201+鋼床鈑!N201+鋼床鈑!O201)*鋼床鈑!L201+(鋼床鈑!I201+鋼床鈑!N201+鋼床鈑!O201)*鋼床鈑!M201</f>
        <v>102240</v>
      </c>
      <c r="T201" s="11">
        <f>(鋼床鈑!K201)*鋼床鈑!N201+(鋼床鈑!K201)*鋼床鈑!O201</f>
        <v>160000</v>
      </c>
      <c r="U201" s="11">
        <f>4*((鋼床鈑!I201+鋼床鈑!N201/2+鋼床鈑!O201/2)*(鋼床鈑!K201+鋼床鈑!L201/2+鋼床鈑!M201/2))^2/((鋼床鈑!F201+鋼床鈑!N201/2+鋼床鈑!O201/2)/鋼床鈑!L201+(鋼床鈑!I201+鋼床鈑!N201/2+鋼床鈑!O201/2)/鋼床鈑!M201+(鋼床鈑!K201+鋼床鈑!L201/2+鋼床鈑!M201/2)/鋼床鈑!N201+(鋼床鈑!K201+鋼床鈑!L201/2+鋼床鈑!M201/2)/鋼床鈑!O201)</f>
        <v>714198579668.17334</v>
      </c>
      <c r="V201" s="12">
        <f t="shared" si="50"/>
        <v>0.29890183137723403</v>
      </c>
      <c r="W201" s="12">
        <f t="shared" si="51"/>
        <v>0.29437544767149948</v>
      </c>
      <c r="X201" s="12">
        <f t="shared" si="52"/>
        <v>0.70837702708800554</v>
      </c>
      <c r="Y201" s="12">
        <f t="shared" si="53"/>
        <v>0.46366412684232844</v>
      </c>
      <c r="Z201" s="12">
        <f t="shared" si="48"/>
        <v>1.5124257586235506</v>
      </c>
      <c r="AA201" s="12">
        <f t="shared" si="49"/>
        <v>1.6445463426974198</v>
      </c>
      <c r="AB201" s="10">
        <f t="shared" si="54"/>
        <v>4.0359999999999996</v>
      </c>
      <c r="AC201" s="10">
        <f t="shared" si="55"/>
        <v>6.45</v>
      </c>
      <c r="AD201" s="10">
        <f t="shared" si="56"/>
        <v>0.41820000000000002</v>
      </c>
      <c r="AE201" s="12">
        <f t="shared" si="57"/>
        <v>0.71419857966817335</v>
      </c>
      <c r="AF201" s="12">
        <f t="shared" si="58"/>
        <v>0.16</v>
      </c>
      <c r="AG201" s="12">
        <f t="shared" si="59"/>
        <v>0.10224</v>
      </c>
      <c r="AH201" s="10">
        <f t="shared" si="60"/>
        <v>0.95660392663054294</v>
      </c>
      <c r="AI201" s="10">
        <f t="shared" si="61"/>
        <v>1.1310355639654699</v>
      </c>
      <c r="AJ201" s="13">
        <f t="shared" si="62"/>
        <v>0.95660392663054294</v>
      </c>
      <c r="AK201" s="13">
        <f t="shared" si="63"/>
        <v>1.1310355639654699</v>
      </c>
    </row>
    <row r="202" spans="1:37">
      <c r="A202" s="8">
        <f>鋼床鈑!A202</f>
        <v>200</v>
      </c>
      <c r="B202" s="47" t="s">
        <v>41</v>
      </c>
      <c r="C202" s="47" t="s">
        <v>42</v>
      </c>
      <c r="D202" s="47" t="s">
        <v>300</v>
      </c>
      <c r="E202" s="48">
        <v>418200</v>
      </c>
      <c r="F202" s="49">
        <v>121680.8575</v>
      </c>
      <c r="G202" s="49">
        <v>136115.51930000001</v>
      </c>
      <c r="H202" s="49">
        <v>727404217233.58801</v>
      </c>
      <c r="I202" s="49">
        <v>1131035563965.47</v>
      </c>
      <c r="J202" s="49">
        <v>956603926630.54297</v>
      </c>
      <c r="K202" s="49">
        <v>3249.605</v>
      </c>
      <c r="L202" s="49">
        <v>3200.395</v>
      </c>
      <c r="M202" s="49">
        <v>1596.6576</v>
      </c>
      <c r="N202" s="49">
        <v>2439.3424</v>
      </c>
      <c r="O202" s="48">
        <v>0</v>
      </c>
      <c r="P202" s="48">
        <v>0</v>
      </c>
      <c r="Q202" s="48">
        <v>26958</v>
      </c>
      <c r="R202" s="48">
        <v>20834</v>
      </c>
      <c r="S202" s="11">
        <f>(鋼床鈑!F202+鋼床鈑!N202+鋼床鈑!O202)*鋼床鈑!L202+(鋼床鈑!I202+鋼床鈑!N202+鋼床鈑!O202)*鋼床鈑!M202</f>
        <v>102240</v>
      </c>
      <c r="T202" s="11">
        <f>(鋼床鈑!K202)*鋼床鈑!N202+(鋼床鈑!K202)*鋼床鈑!O202</f>
        <v>160000</v>
      </c>
      <c r="U202" s="11">
        <f>4*((鋼床鈑!I202+鋼床鈑!N202/2+鋼床鈑!O202/2)*(鋼床鈑!K202+鋼床鈑!L202/2+鋼床鈑!M202/2))^2/((鋼床鈑!F202+鋼床鈑!N202/2+鋼床鈑!O202/2)/鋼床鈑!L202+(鋼床鈑!I202+鋼床鈑!N202/2+鋼床鈑!O202/2)/鋼床鈑!M202+(鋼床鈑!K202+鋼床鈑!L202/2+鋼床鈑!M202/2)/鋼床鈑!N202+(鋼床鈑!K202+鋼床鈑!L202/2+鋼床鈑!M202/2)/鋼床鈑!O202)</f>
        <v>714198579668.17334</v>
      </c>
      <c r="V202" s="12">
        <f t="shared" si="50"/>
        <v>0.29890183137723403</v>
      </c>
      <c r="W202" s="12">
        <f t="shared" si="51"/>
        <v>0.29437544767149948</v>
      </c>
      <c r="X202" s="12">
        <f t="shared" si="52"/>
        <v>0.70837702708800554</v>
      </c>
      <c r="Y202" s="12">
        <f t="shared" si="53"/>
        <v>0.46366412684232844</v>
      </c>
      <c r="Z202" s="12">
        <f t="shared" si="48"/>
        <v>1.5124257586235506</v>
      </c>
      <c r="AA202" s="12">
        <f t="shared" si="49"/>
        <v>1.6445463426974198</v>
      </c>
      <c r="AB202" s="10">
        <f t="shared" si="54"/>
        <v>4.0359999999999996</v>
      </c>
      <c r="AC202" s="10">
        <f t="shared" si="55"/>
        <v>6.45</v>
      </c>
      <c r="AD202" s="10">
        <f t="shared" si="56"/>
        <v>0.41820000000000002</v>
      </c>
      <c r="AE202" s="12">
        <f t="shared" si="57"/>
        <v>0.71419857966817335</v>
      </c>
      <c r="AF202" s="12">
        <f t="shared" si="58"/>
        <v>0.16</v>
      </c>
      <c r="AG202" s="12">
        <f t="shared" si="59"/>
        <v>0.10224</v>
      </c>
      <c r="AH202" s="10">
        <f t="shared" si="60"/>
        <v>0.95660392663054294</v>
      </c>
      <c r="AI202" s="10">
        <f t="shared" si="61"/>
        <v>1.1310355639654699</v>
      </c>
      <c r="AJ202" s="13">
        <f t="shared" si="62"/>
        <v>0.95660392663054294</v>
      </c>
      <c r="AK202" s="13">
        <f t="shared" si="63"/>
        <v>1.1310355639654699</v>
      </c>
    </row>
    <row r="203" spans="1:37">
      <c r="A203" s="8">
        <f>鋼床鈑!A203</f>
        <v>201</v>
      </c>
      <c r="B203" s="47" t="s">
        <v>41</v>
      </c>
      <c r="C203" s="47" t="s">
        <v>42</v>
      </c>
      <c r="D203" s="47" t="s">
        <v>301</v>
      </c>
      <c r="E203" s="48">
        <v>418200</v>
      </c>
      <c r="F203" s="49">
        <v>121680.8575</v>
      </c>
      <c r="G203" s="49">
        <v>136115.51930000001</v>
      </c>
      <c r="H203" s="49">
        <v>727404217233.58801</v>
      </c>
      <c r="I203" s="49">
        <v>1131035563965.47</v>
      </c>
      <c r="J203" s="49">
        <v>956603926630.54297</v>
      </c>
      <c r="K203" s="49">
        <v>3249.605</v>
      </c>
      <c r="L203" s="49">
        <v>3200.395</v>
      </c>
      <c r="M203" s="49">
        <v>1596.6576</v>
      </c>
      <c r="N203" s="49">
        <v>2439.3424</v>
      </c>
      <c r="O203" s="48">
        <v>0</v>
      </c>
      <c r="P203" s="48">
        <v>0</v>
      </c>
      <c r="Q203" s="48">
        <v>26958</v>
      </c>
      <c r="R203" s="48">
        <v>20834</v>
      </c>
      <c r="S203" s="11">
        <f>(鋼床鈑!F203+鋼床鈑!N203+鋼床鈑!O203)*鋼床鈑!L203+(鋼床鈑!I203+鋼床鈑!N203+鋼床鈑!O203)*鋼床鈑!M203</f>
        <v>102240</v>
      </c>
      <c r="T203" s="11">
        <f>(鋼床鈑!K203)*鋼床鈑!N203+(鋼床鈑!K203)*鋼床鈑!O203</f>
        <v>160000</v>
      </c>
      <c r="U203" s="11">
        <f>4*((鋼床鈑!I203+鋼床鈑!N203/2+鋼床鈑!O203/2)*(鋼床鈑!K203+鋼床鈑!L203/2+鋼床鈑!M203/2))^2/((鋼床鈑!F203+鋼床鈑!N203/2+鋼床鈑!O203/2)/鋼床鈑!L203+(鋼床鈑!I203+鋼床鈑!N203/2+鋼床鈑!O203/2)/鋼床鈑!M203+(鋼床鈑!K203+鋼床鈑!L203/2+鋼床鈑!M203/2)/鋼床鈑!N203+(鋼床鈑!K203+鋼床鈑!L203/2+鋼床鈑!M203/2)/鋼床鈑!O203)</f>
        <v>714198579668.17334</v>
      </c>
      <c r="V203" s="12">
        <f t="shared" si="50"/>
        <v>0.29890183137723403</v>
      </c>
      <c r="W203" s="12">
        <f t="shared" si="51"/>
        <v>0.29437544767149948</v>
      </c>
      <c r="X203" s="12">
        <f t="shared" si="52"/>
        <v>0.70837702708800554</v>
      </c>
      <c r="Y203" s="12">
        <f t="shared" si="53"/>
        <v>0.46366412684232844</v>
      </c>
      <c r="Z203" s="12">
        <f t="shared" si="48"/>
        <v>1.5124257586235506</v>
      </c>
      <c r="AA203" s="12">
        <f t="shared" si="49"/>
        <v>1.6445463426974198</v>
      </c>
      <c r="AB203" s="10">
        <f t="shared" si="54"/>
        <v>4.0359999999999996</v>
      </c>
      <c r="AC203" s="10">
        <f t="shared" si="55"/>
        <v>6.45</v>
      </c>
      <c r="AD203" s="10">
        <f t="shared" si="56"/>
        <v>0.41820000000000002</v>
      </c>
      <c r="AE203" s="12">
        <f t="shared" si="57"/>
        <v>0.71419857966817335</v>
      </c>
      <c r="AF203" s="12">
        <f t="shared" si="58"/>
        <v>0.16</v>
      </c>
      <c r="AG203" s="12">
        <f t="shared" si="59"/>
        <v>0.10224</v>
      </c>
      <c r="AH203" s="10">
        <f t="shared" si="60"/>
        <v>0.95660392663054294</v>
      </c>
      <c r="AI203" s="10">
        <f t="shared" si="61"/>
        <v>1.1310355639654699</v>
      </c>
      <c r="AJ203" s="13">
        <f t="shared" si="62"/>
        <v>0.95660392663054294</v>
      </c>
      <c r="AK203" s="13">
        <f t="shared" si="63"/>
        <v>1.1310355639654699</v>
      </c>
    </row>
    <row r="204" spans="1:37">
      <c r="A204" s="8">
        <f>鋼床鈑!A204</f>
        <v>202</v>
      </c>
      <c r="B204" s="47" t="s">
        <v>41</v>
      </c>
      <c r="C204" s="47" t="s">
        <v>42</v>
      </c>
      <c r="D204" s="47" t="s">
        <v>302</v>
      </c>
      <c r="E204" s="48">
        <v>418200</v>
      </c>
      <c r="F204" s="49">
        <v>121680.8575</v>
      </c>
      <c r="G204" s="49">
        <v>136115.51930000001</v>
      </c>
      <c r="H204" s="49">
        <v>727404217233.58801</v>
      </c>
      <c r="I204" s="49">
        <v>1131035563965.47</v>
      </c>
      <c r="J204" s="49">
        <v>956603926630.54297</v>
      </c>
      <c r="K204" s="49">
        <v>3249.605</v>
      </c>
      <c r="L204" s="49">
        <v>3200.395</v>
      </c>
      <c r="M204" s="49">
        <v>1596.6576</v>
      </c>
      <c r="N204" s="49">
        <v>2439.3424</v>
      </c>
      <c r="O204" s="48">
        <v>0</v>
      </c>
      <c r="P204" s="48">
        <v>0</v>
      </c>
      <c r="Q204" s="48">
        <v>26958</v>
      </c>
      <c r="R204" s="48">
        <v>20834</v>
      </c>
      <c r="S204" s="11">
        <f>(鋼床鈑!F204+鋼床鈑!N204+鋼床鈑!O204)*鋼床鈑!L204+(鋼床鈑!I204+鋼床鈑!N204+鋼床鈑!O204)*鋼床鈑!M204</f>
        <v>102240</v>
      </c>
      <c r="T204" s="11">
        <f>(鋼床鈑!K204)*鋼床鈑!N204+(鋼床鈑!K204)*鋼床鈑!O204</f>
        <v>160000</v>
      </c>
      <c r="U204" s="11">
        <f>4*((鋼床鈑!I204+鋼床鈑!N204/2+鋼床鈑!O204/2)*(鋼床鈑!K204+鋼床鈑!L204/2+鋼床鈑!M204/2))^2/((鋼床鈑!F204+鋼床鈑!N204/2+鋼床鈑!O204/2)/鋼床鈑!L204+(鋼床鈑!I204+鋼床鈑!N204/2+鋼床鈑!O204/2)/鋼床鈑!M204+(鋼床鈑!K204+鋼床鈑!L204/2+鋼床鈑!M204/2)/鋼床鈑!N204+(鋼床鈑!K204+鋼床鈑!L204/2+鋼床鈑!M204/2)/鋼床鈑!O204)</f>
        <v>714198579668.17334</v>
      </c>
      <c r="V204" s="12">
        <f t="shared" si="50"/>
        <v>0.29890183137723403</v>
      </c>
      <c r="W204" s="12">
        <f t="shared" si="51"/>
        <v>0.29437544767149948</v>
      </c>
      <c r="X204" s="12">
        <f t="shared" si="52"/>
        <v>0.70837702708800554</v>
      </c>
      <c r="Y204" s="12">
        <f t="shared" si="53"/>
        <v>0.46366412684232844</v>
      </c>
      <c r="Z204" s="12">
        <f t="shared" si="48"/>
        <v>1.5124257586235506</v>
      </c>
      <c r="AA204" s="12">
        <f t="shared" si="49"/>
        <v>1.6445463426974198</v>
      </c>
      <c r="AB204" s="10">
        <f t="shared" si="54"/>
        <v>4.0359999999999996</v>
      </c>
      <c r="AC204" s="10">
        <f t="shared" si="55"/>
        <v>6.45</v>
      </c>
      <c r="AD204" s="10">
        <f t="shared" si="56"/>
        <v>0.41820000000000002</v>
      </c>
      <c r="AE204" s="12">
        <f t="shared" si="57"/>
        <v>0.71419857966817335</v>
      </c>
      <c r="AF204" s="12">
        <f t="shared" si="58"/>
        <v>0.16</v>
      </c>
      <c r="AG204" s="12">
        <f t="shared" si="59"/>
        <v>0.10224</v>
      </c>
      <c r="AH204" s="10">
        <f t="shared" si="60"/>
        <v>0.95660392663054294</v>
      </c>
      <c r="AI204" s="10">
        <f t="shared" si="61"/>
        <v>1.1310355639654699</v>
      </c>
      <c r="AJ204" s="13">
        <f t="shared" si="62"/>
        <v>0.95660392663054294</v>
      </c>
      <c r="AK204" s="13">
        <f t="shared" si="63"/>
        <v>1.1310355639654699</v>
      </c>
    </row>
    <row r="205" spans="1:37">
      <c r="A205" s="8">
        <f>鋼床鈑!A205</f>
        <v>203</v>
      </c>
      <c r="B205" s="47" t="s">
        <v>41</v>
      </c>
      <c r="C205" s="47" t="s">
        <v>42</v>
      </c>
      <c r="D205" s="47" t="s">
        <v>303</v>
      </c>
      <c r="E205" s="48">
        <v>418200</v>
      </c>
      <c r="F205" s="49">
        <v>121680.8575</v>
      </c>
      <c r="G205" s="49">
        <v>136115.51930000001</v>
      </c>
      <c r="H205" s="49">
        <v>727404217233.58801</v>
      </c>
      <c r="I205" s="49">
        <v>1131035563965.47</v>
      </c>
      <c r="J205" s="49">
        <v>956603926630.54297</v>
      </c>
      <c r="K205" s="49">
        <v>3249.605</v>
      </c>
      <c r="L205" s="49">
        <v>3200.395</v>
      </c>
      <c r="M205" s="49">
        <v>1596.6576</v>
      </c>
      <c r="N205" s="49">
        <v>2439.3424</v>
      </c>
      <c r="O205" s="48">
        <v>0</v>
      </c>
      <c r="P205" s="48">
        <v>0</v>
      </c>
      <c r="Q205" s="48">
        <v>26958</v>
      </c>
      <c r="R205" s="48">
        <v>20834</v>
      </c>
      <c r="S205" s="11">
        <f>(鋼床鈑!F205+鋼床鈑!N205+鋼床鈑!O205)*鋼床鈑!L205+(鋼床鈑!I205+鋼床鈑!N205+鋼床鈑!O205)*鋼床鈑!M205</f>
        <v>102240</v>
      </c>
      <c r="T205" s="11">
        <f>(鋼床鈑!K205)*鋼床鈑!N205+(鋼床鈑!K205)*鋼床鈑!O205</f>
        <v>160000</v>
      </c>
      <c r="U205" s="11">
        <f>4*((鋼床鈑!I205+鋼床鈑!N205/2+鋼床鈑!O205/2)*(鋼床鈑!K205+鋼床鈑!L205/2+鋼床鈑!M205/2))^2/((鋼床鈑!F205+鋼床鈑!N205/2+鋼床鈑!O205/2)/鋼床鈑!L205+(鋼床鈑!I205+鋼床鈑!N205/2+鋼床鈑!O205/2)/鋼床鈑!M205+(鋼床鈑!K205+鋼床鈑!L205/2+鋼床鈑!M205/2)/鋼床鈑!N205+(鋼床鈑!K205+鋼床鈑!L205/2+鋼床鈑!M205/2)/鋼床鈑!O205)</f>
        <v>714198579668.17334</v>
      </c>
      <c r="V205" s="12">
        <f t="shared" si="50"/>
        <v>0.29890183137723403</v>
      </c>
      <c r="W205" s="12">
        <f t="shared" si="51"/>
        <v>0.29437544767149948</v>
      </c>
      <c r="X205" s="12">
        <f t="shared" si="52"/>
        <v>0.70837702708800554</v>
      </c>
      <c r="Y205" s="12">
        <f t="shared" si="53"/>
        <v>0.46366412684232844</v>
      </c>
      <c r="Z205" s="12">
        <f t="shared" si="48"/>
        <v>1.5124257586235506</v>
      </c>
      <c r="AA205" s="12">
        <f t="shared" si="49"/>
        <v>1.6445463426974198</v>
      </c>
      <c r="AB205" s="10">
        <f t="shared" si="54"/>
        <v>4.0359999999999996</v>
      </c>
      <c r="AC205" s="10">
        <f t="shared" si="55"/>
        <v>6.45</v>
      </c>
      <c r="AD205" s="10">
        <f t="shared" si="56"/>
        <v>0.41820000000000002</v>
      </c>
      <c r="AE205" s="12">
        <f t="shared" si="57"/>
        <v>0.71419857966817335</v>
      </c>
      <c r="AF205" s="12">
        <f t="shared" si="58"/>
        <v>0.16</v>
      </c>
      <c r="AG205" s="12">
        <f t="shared" si="59"/>
        <v>0.10224</v>
      </c>
      <c r="AH205" s="10">
        <f t="shared" si="60"/>
        <v>0.95660392663054294</v>
      </c>
      <c r="AI205" s="10">
        <f t="shared" si="61"/>
        <v>1.1310355639654699</v>
      </c>
      <c r="AJ205" s="13">
        <f t="shared" si="62"/>
        <v>0.95660392663054294</v>
      </c>
      <c r="AK205" s="13">
        <f t="shared" si="63"/>
        <v>1.1310355639654699</v>
      </c>
    </row>
    <row r="206" spans="1:37">
      <c r="A206" s="8">
        <f>鋼床鈑!A206</f>
        <v>204</v>
      </c>
      <c r="B206" s="47" t="s">
        <v>41</v>
      </c>
      <c r="C206" s="47" t="s">
        <v>42</v>
      </c>
      <c r="D206" s="47" t="s">
        <v>304</v>
      </c>
      <c r="E206" s="48">
        <v>418200</v>
      </c>
      <c r="F206" s="49">
        <v>121680.8575</v>
      </c>
      <c r="G206" s="49">
        <v>136115.51930000001</v>
      </c>
      <c r="H206" s="49">
        <v>727404217233.58801</v>
      </c>
      <c r="I206" s="49">
        <v>1131035563965.47</v>
      </c>
      <c r="J206" s="49">
        <v>956603926630.54297</v>
      </c>
      <c r="K206" s="49">
        <v>3249.605</v>
      </c>
      <c r="L206" s="49">
        <v>3200.395</v>
      </c>
      <c r="M206" s="49">
        <v>1596.6576</v>
      </c>
      <c r="N206" s="49">
        <v>2439.3424</v>
      </c>
      <c r="O206" s="48">
        <v>0</v>
      </c>
      <c r="P206" s="48">
        <v>0</v>
      </c>
      <c r="Q206" s="48">
        <v>26958</v>
      </c>
      <c r="R206" s="48">
        <v>20834</v>
      </c>
      <c r="S206" s="11">
        <f>(鋼床鈑!F206+鋼床鈑!N206+鋼床鈑!O206)*鋼床鈑!L206+(鋼床鈑!I206+鋼床鈑!N206+鋼床鈑!O206)*鋼床鈑!M206</f>
        <v>102240</v>
      </c>
      <c r="T206" s="11">
        <f>(鋼床鈑!K206)*鋼床鈑!N206+(鋼床鈑!K206)*鋼床鈑!O206</f>
        <v>160000</v>
      </c>
      <c r="U206" s="11">
        <f>4*((鋼床鈑!I206+鋼床鈑!N206/2+鋼床鈑!O206/2)*(鋼床鈑!K206+鋼床鈑!L206/2+鋼床鈑!M206/2))^2/((鋼床鈑!F206+鋼床鈑!N206/2+鋼床鈑!O206/2)/鋼床鈑!L206+(鋼床鈑!I206+鋼床鈑!N206/2+鋼床鈑!O206/2)/鋼床鈑!M206+(鋼床鈑!K206+鋼床鈑!L206/2+鋼床鈑!M206/2)/鋼床鈑!N206+(鋼床鈑!K206+鋼床鈑!L206/2+鋼床鈑!M206/2)/鋼床鈑!O206)</f>
        <v>714198579668.17334</v>
      </c>
      <c r="V206" s="12">
        <f t="shared" si="50"/>
        <v>0.29890183137723403</v>
      </c>
      <c r="W206" s="12">
        <f t="shared" si="51"/>
        <v>0.29437544767149948</v>
      </c>
      <c r="X206" s="12">
        <f t="shared" si="52"/>
        <v>0.70837702708800554</v>
      </c>
      <c r="Y206" s="12">
        <f t="shared" si="53"/>
        <v>0.46366412684232844</v>
      </c>
      <c r="Z206" s="12">
        <f t="shared" si="48"/>
        <v>1.5124257586235506</v>
      </c>
      <c r="AA206" s="12">
        <f t="shared" si="49"/>
        <v>1.6445463426974198</v>
      </c>
      <c r="AB206" s="10">
        <f t="shared" si="54"/>
        <v>4.0359999999999996</v>
      </c>
      <c r="AC206" s="10">
        <f t="shared" si="55"/>
        <v>6.45</v>
      </c>
      <c r="AD206" s="10">
        <f t="shared" si="56"/>
        <v>0.41820000000000002</v>
      </c>
      <c r="AE206" s="12">
        <f t="shared" si="57"/>
        <v>0.71419857966817335</v>
      </c>
      <c r="AF206" s="12">
        <f t="shared" si="58"/>
        <v>0.16</v>
      </c>
      <c r="AG206" s="12">
        <f t="shared" si="59"/>
        <v>0.10224</v>
      </c>
      <c r="AH206" s="10">
        <f t="shared" si="60"/>
        <v>0.95660392663054294</v>
      </c>
      <c r="AI206" s="10">
        <f t="shared" si="61"/>
        <v>1.1310355639654699</v>
      </c>
      <c r="AJ206" s="13">
        <f t="shared" si="62"/>
        <v>0.95660392663054294</v>
      </c>
      <c r="AK206" s="13">
        <f t="shared" si="63"/>
        <v>1.1310355639654699</v>
      </c>
    </row>
    <row r="207" spans="1:37">
      <c r="A207" s="8">
        <f>鋼床鈑!A207</f>
        <v>205</v>
      </c>
      <c r="B207" s="47" t="s">
        <v>41</v>
      </c>
      <c r="C207" s="47" t="s">
        <v>42</v>
      </c>
      <c r="D207" s="47" t="s">
        <v>305</v>
      </c>
      <c r="E207" s="48">
        <v>406520</v>
      </c>
      <c r="F207" s="49">
        <v>123128.8296</v>
      </c>
      <c r="G207" s="49">
        <v>124465.7882</v>
      </c>
      <c r="H207" s="49">
        <v>652508378185.57898</v>
      </c>
      <c r="I207" s="49">
        <v>954411590147.38306</v>
      </c>
      <c r="J207" s="49">
        <v>933352013810.10706</v>
      </c>
      <c r="K207" s="49">
        <v>3248.1570000000002</v>
      </c>
      <c r="L207" s="49">
        <v>3201.8429999999998</v>
      </c>
      <c r="M207" s="49">
        <v>1471.1478</v>
      </c>
      <c r="N207" s="49">
        <v>2272.8521999999998</v>
      </c>
      <c r="O207" s="48">
        <v>0</v>
      </c>
      <c r="P207" s="48">
        <v>0</v>
      </c>
      <c r="Q207" s="48">
        <v>26374</v>
      </c>
      <c r="R207" s="48">
        <v>20250</v>
      </c>
      <c r="S207" s="11">
        <f>(鋼床鈑!F207+鋼床鈑!N207+鋼床鈑!O207)*鋼床鈑!L207+(鋼床鈑!I207+鋼床鈑!N207+鋼床鈑!O207)*鋼床鈑!M207</f>
        <v>102240</v>
      </c>
      <c r="T207" s="11">
        <f>(鋼床鈑!K207)*鋼床鈑!N207+(鋼床鈑!K207)*鋼床鈑!O207</f>
        <v>148320</v>
      </c>
      <c r="U207" s="11">
        <f>4*((鋼床鈑!I207+鋼床鈑!N207/2+鋼床鈑!O207/2)*(鋼床鈑!K207+鋼床鈑!L207/2+鋼床鈑!M207/2))^2/((鋼床鈑!F207+鋼床鈑!N207/2+鋼床鈑!O207/2)/鋼床鈑!L207+(鋼床鈑!I207+鋼床鈑!N207/2+鋼床鈑!O207/2)/鋼床鈑!M207+(鋼床鈑!K207+鋼床鈑!L207/2+鋼床鈑!M207/2)/鋼床鈑!N207+(鋼床鈑!K207+鋼床鈑!L207/2+鋼床鈑!M207/2)/鋼床鈑!O207)</f>
        <v>640161041283.75732</v>
      </c>
      <c r="V207" s="12">
        <f t="shared" si="50"/>
        <v>0.29150461587595239</v>
      </c>
      <c r="W207" s="12">
        <f t="shared" si="51"/>
        <v>0.28734818354226938</v>
      </c>
      <c r="X207" s="12">
        <f t="shared" si="52"/>
        <v>0.64875302817798663</v>
      </c>
      <c r="Y207" s="12">
        <f t="shared" si="53"/>
        <v>0.41991801761125652</v>
      </c>
      <c r="Z207" s="12">
        <f t="shared" si="48"/>
        <v>1.5152412192451488</v>
      </c>
      <c r="AA207" s="12">
        <f t="shared" si="49"/>
        <v>1.5322403465356746</v>
      </c>
      <c r="AB207" s="10">
        <f t="shared" si="54"/>
        <v>3.7440000000000002</v>
      </c>
      <c r="AC207" s="10">
        <f t="shared" si="55"/>
        <v>6.45</v>
      </c>
      <c r="AD207" s="10">
        <f t="shared" si="56"/>
        <v>0.40651999999999999</v>
      </c>
      <c r="AE207" s="12">
        <f t="shared" si="57"/>
        <v>0.64016104128375728</v>
      </c>
      <c r="AF207" s="12">
        <f t="shared" si="58"/>
        <v>0.14832000000000001</v>
      </c>
      <c r="AG207" s="12">
        <f t="shared" si="59"/>
        <v>0.10224</v>
      </c>
      <c r="AH207" s="10">
        <f t="shared" si="60"/>
        <v>0.93335201381010702</v>
      </c>
      <c r="AI207" s="10">
        <f t="shared" si="61"/>
        <v>0.95441159014738308</v>
      </c>
      <c r="AJ207" s="13">
        <f t="shared" si="62"/>
        <v>0.93335201381010702</v>
      </c>
      <c r="AK207" s="13">
        <f t="shared" si="63"/>
        <v>0.95441159014738308</v>
      </c>
    </row>
    <row r="208" spans="1:37">
      <c r="A208" s="8">
        <f>鋼床鈑!A208</f>
        <v>206</v>
      </c>
      <c r="B208" s="47" t="s">
        <v>41</v>
      </c>
      <c r="C208" s="47" t="s">
        <v>42</v>
      </c>
      <c r="D208" s="47" t="s">
        <v>306</v>
      </c>
      <c r="E208" s="48">
        <v>394200</v>
      </c>
      <c r="F208" s="49">
        <v>124597.2164</v>
      </c>
      <c r="G208" s="49">
        <v>112192.0336</v>
      </c>
      <c r="H208" s="49">
        <v>575245309102.24597</v>
      </c>
      <c r="I208" s="49">
        <v>786488513686.35205</v>
      </c>
      <c r="J208" s="49">
        <v>908824063905.53003</v>
      </c>
      <c r="K208" s="49">
        <v>3246.5367999999999</v>
      </c>
      <c r="L208" s="49">
        <v>3203.4632000000001</v>
      </c>
      <c r="M208" s="49">
        <v>1340.0766000000001</v>
      </c>
      <c r="N208" s="49">
        <v>2095.9234000000001</v>
      </c>
      <c r="O208" s="48">
        <v>0</v>
      </c>
      <c r="P208" s="48">
        <v>0</v>
      </c>
      <c r="Q208" s="48">
        <v>25758</v>
      </c>
      <c r="R208" s="48">
        <v>19634</v>
      </c>
      <c r="S208" s="11">
        <f>(鋼床鈑!F208+鋼床鈑!N208+鋼床鈑!O208)*鋼床鈑!L208+(鋼床鈑!I208+鋼床鈑!N208+鋼床鈑!O208)*鋼床鈑!M208</f>
        <v>102240</v>
      </c>
      <c r="T208" s="11">
        <f>(鋼床鈑!K208)*鋼床鈑!N208+(鋼床鈑!K208)*鋼床鈑!O208</f>
        <v>136000</v>
      </c>
      <c r="U208" s="11">
        <f>4*((鋼床鈑!I208+鋼床鈑!N208/2+鋼床鈑!O208/2)*(鋼床鈑!K208+鋼床鈑!L208/2+鋼床鈑!M208/2))^2/((鋼床鈑!F208+鋼床鈑!N208/2+鋼床鈑!O208/2)/鋼床鈑!L208+(鋼床鈑!I208+鋼床鈑!N208/2+鋼床鈑!O208/2)/鋼床鈑!M208+(鋼床鈑!K208+鋼床鈑!L208/2+鋼床鈑!M208/2)/鋼床鈑!N208+(鋼床鈑!K208+鋼床鈑!L208/2+鋼床鈑!M208/2)/鋼床鈑!O208)</f>
        <v>563876454518.47363</v>
      </c>
      <c r="V208" s="12">
        <f t="shared" si="50"/>
        <v>0.28370048512045648</v>
      </c>
      <c r="W208" s="12">
        <f t="shared" si="51"/>
        <v>0.2799364738158921</v>
      </c>
      <c r="X208" s="12">
        <f t="shared" si="52"/>
        <v>0.58689817707909531</v>
      </c>
      <c r="Y208" s="12">
        <f t="shared" si="53"/>
        <v>0.37524678320130972</v>
      </c>
      <c r="Z208" s="12">
        <f t="shared" si="48"/>
        <v>1.5183839307970546</v>
      </c>
      <c r="AA208" s="12">
        <f t="shared" si="49"/>
        <v>1.4124981321506775</v>
      </c>
      <c r="AB208" s="10">
        <f t="shared" si="54"/>
        <v>3.4359999999999999</v>
      </c>
      <c r="AC208" s="10">
        <f t="shared" si="55"/>
        <v>6.45</v>
      </c>
      <c r="AD208" s="10">
        <f t="shared" si="56"/>
        <v>0.39419999999999999</v>
      </c>
      <c r="AE208" s="12">
        <f t="shared" si="57"/>
        <v>0.56387645451847368</v>
      </c>
      <c r="AF208" s="12">
        <f t="shared" si="58"/>
        <v>0.13600000000000001</v>
      </c>
      <c r="AG208" s="12">
        <f t="shared" si="59"/>
        <v>0.10224</v>
      </c>
      <c r="AH208" s="10">
        <f t="shared" si="60"/>
        <v>0.90882406390553006</v>
      </c>
      <c r="AI208" s="10">
        <f t="shared" si="61"/>
        <v>0.78648851368635209</v>
      </c>
      <c r="AJ208" s="13">
        <f t="shared" si="62"/>
        <v>0.90882406390553006</v>
      </c>
      <c r="AK208" s="13">
        <f t="shared" si="63"/>
        <v>0.78648851368635209</v>
      </c>
    </row>
    <row r="209" spans="1:37">
      <c r="A209" s="8">
        <f>鋼床鈑!A209</f>
        <v>207</v>
      </c>
      <c r="B209" s="47" t="s">
        <v>41</v>
      </c>
      <c r="C209" s="47" t="s">
        <v>42</v>
      </c>
      <c r="D209" s="47" t="s">
        <v>307</v>
      </c>
      <c r="E209" s="48">
        <v>381880</v>
      </c>
      <c r="F209" s="49">
        <v>126036.17600000001</v>
      </c>
      <c r="G209" s="49">
        <v>99952.655100000004</v>
      </c>
      <c r="H209" s="49">
        <v>500087000505.23499</v>
      </c>
      <c r="I209" s="49">
        <v>636821901635.849</v>
      </c>
      <c r="J209" s="49">
        <v>884293910722.58801</v>
      </c>
      <c r="K209" s="49">
        <v>3244.8119999999999</v>
      </c>
      <c r="L209" s="49">
        <v>3205.1880000000001</v>
      </c>
      <c r="M209" s="49">
        <v>1210.4848999999999</v>
      </c>
      <c r="N209" s="49">
        <v>1917.5151000000001</v>
      </c>
      <c r="O209" s="48">
        <v>0</v>
      </c>
      <c r="P209" s="48">
        <v>0</v>
      </c>
      <c r="Q209" s="48">
        <v>25142</v>
      </c>
      <c r="R209" s="48">
        <v>19018</v>
      </c>
      <c r="S209" s="11">
        <f>(鋼床鈑!F209+鋼床鈑!N209+鋼床鈑!O209)*鋼床鈑!L209+(鋼床鈑!I209+鋼床鈑!N209+鋼床鈑!O209)*鋼床鈑!M209</f>
        <v>102240</v>
      </c>
      <c r="T209" s="11">
        <f>(鋼床鈑!K209)*鋼床鈑!N209+(鋼床鈑!K209)*鋼床鈑!O209</f>
        <v>123680</v>
      </c>
      <c r="U209" s="11">
        <f>4*((鋼床鈑!I209+鋼床鈑!N209/2+鋼床鈑!O209/2)*(鋼床鈑!K209+鋼床鈑!L209/2+鋼床鈑!M209/2))^2/((鋼床鈑!F209+鋼床鈑!N209/2+鋼床鈑!O209/2)/鋼床鈑!L209+(鋼床鈑!I209+鋼床鈑!N209/2+鋼床鈑!O209/2)/鋼床鈑!M209+(鋼床鈑!K209+鋼床鈑!L209/2+鋼床鈑!M209/2)/鋼床鈑!N209+(鋼床鈑!K209+鋼床鈑!L209/2+鋼床鈑!M209/2)/鋼床鈑!O209)</f>
        <v>489718475384.00317</v>
      </c>
      <c r="V209" s="12">
        <f t="shared" si="50"/>
        <v>0.2758945530566656</v>
      </c>
      <c r="W209" s="12">
        <f t="shared" si="51"/>
        <v>0.27252546857031718</v>
      </c>
      <c r="X209" s="12">
        <f t="shared" si="52"/>
        <v>0.52608826564945088</v>
      </c>
      <c r="Y209" s="12">
        <f t="shared" si="53"/>
        <v>0.33210789403215074</v>
      </c>
      <c r="Z209" s="12">
        <f t="shared" si="48"/>
        <v>1.5217203913383588</v>
      </c>
      <c r="AA209" s="12">
        <f t="shared" si="49"/>
        <v>1.291354673727855</v>
      </c>
      <c r="AB209" s="10">
        <f t="shared" si="54"/>
        <v>3.1280000000000001</v>
      </c>
      <c r="AC209" s="10">
        <f t="shared" si="55"/>
        <v>6.45</v>
      </c>
      <c r="AD209" s="10">
        <f t="shared" si="56"/>
        <v>0.38188</v>
      </c>
      <c r="AE209" s="12">
        <f t="shared" si="57"/>
        <v>0.48971847538400315</v>
      </c>
      <c r="AF209" s="12">
        <f t="shared" si="58"/>
        <v>0.12368</v>
      </c>
      <c r="AG209" s="12">
        <f t="shared" si="59"/>
        <v>0.10224</v>
      </c>
      <c r="AH209" s="10">
        <f t="shared" si="60"/>
        <v>0.88429391072258801</v>
      </c>
      <c r="AI209" s="10">
        <f t="shared" si="61"/>
        <v>0.63682190163584895</v>
      </c>
      <c r="AJ209" s="13">
        <f t="shared" si="62"/>
        <v>0.88429391072258801</v>
      </c>
      <c r="AK209" s="13">
        <f t="shared" si="63"/>
        <v>0.63682190163584895</v>
      </c>
    </row>
    <row r="210" spans="1:37">
      <c r="A210" s="8">
        <f>鋼床鈑!A210</f>
        <v>208</v>
      </c>
      <c r="B210" s="47" t="s">
        <v>41</v>
      </c>
      <c r="C210" s="47" t="s">
        <v>42</v>
      </c>
      <c r="D210" s="47" t="s">
        <v>308</v>
      </c>
      <c r="E210" s="48">
        <v>370200</v>
      </c>
      <c r="F210" s="49">
        <v>127370.12270000001</v>
      </c>
      <c r="G210" s="49">
        <v>88399.1011</v>
      </c>
      <c r="H210" s="49">
        <v>431046094522.45599</v>
      </c>
      <c r="I210" s="49">
        <v>511218448784.33301</v>
      </c>
      <c r="J210" s="49">
        <v>861035817034.64697</v>
      </c>
      <c r="K210" s="49">
        <v>3243.0708</v>
      </c>
      <c r="L210" s="49">
        <v>3206.9292</v>
      </c>
      <c r="M210" s="49">
        <v>1089.1252999999999</v>
      </c>
      <c r="N210" s="49">
        <v>1746.8747000000001</v>
      </c>
      <c r="O210" s="48">
        <v>0</v>
      </c>
      <c r="P210" s="48">
        <v>0</v>
      </c>
      <c r="Q210" s="48">
        <v>24558</v>
      </c>
      <c r="R210" s="48">
        <v>18434</v>
      </c>
      <c r="S210" s="11">
        <f>(鋼床鈑!F210+鋼床鈑!N210+鋼床鈑!O210)*鋼床鈑!L210+(鋼床鈑!I210+鋼床鈑!N210+鋼床鈑!O210)*鋼床鈑!M210</f>
        <v>102240</v>
      </c>
      <c r="T210" s="11">
        <f>(鋼床鈑!K210)*鋼床鈑!N210+(鋼床鈑!K210)*鋼床鈑!O210</f>
        <v>112000</v>
      </c>
      <c r="U210" s="11">
        <f>4*((鋼床鈑!I210+鋼床鈑!N210/2+鋼床鈑!O210/2)*(鋼床鈑!K210+鋼床鈑!L210/2+鋼床鈑!M210/2))^2/((鋼床鈑!F210+鋼床鈑!N210/2+鋼床鈑!O210/2)/鋼床鈑!L210+(鋼床鈑!I210+鋼床鈑!N210/2+鋼床鈑!O210/2)/鋼床鈑!M210+(鋼床鈑!K210+鋼床鈑!L210/2+鋼床鈑!M210/2)/鋼床鈑!N210+(鋼床鈑!K210+鋼床鈑!L210/2+鋼床鈑!M210/2)/鋼床鈑!O210)</f>
        <v>421674280928.80396</v>
      </c>
      <c r="V210" s="12">
        <f t="shared" si="50"/>
        <v>0.26849230629558235</v>
      </c>
      <c r="W210" s="12">
        <f t="shared" si="51"/>
        <v>0.2655001602292022</v>
      </c>
      <c r="X210" s="12">
        <f t="shared" si="52"/>
        <v>0.46938442141077158</v>
      </c>
      <c r="Y210" s="12">
        <f t="shared" si="53"/>
        <v>0.29264746279989801</v>
      </c>
      <c r="Z210" s="12">
        <f t="shared" si="48"/>
        <v>1.5250792125760804</v>
      </c>
      <c r="AA210" s="12">
        <f t="shared" si="49"/>
        <v>1.1751276684832279</v>
      </c>
      <c r="AB210" s="10">
        <f t="shared" si="54"/>
        <v>2.8359999999999999</v>
      </c>
      <c r="AC210" s="10">
        <f t="shared" si="55"/>
        <v>6.45</v>
      </c>
      <c r="AD210" s="10">
        <f t="shared" si="56"/>
        <v>0.37019999999999997</v>
      </c>
      <c r="AE210" s="12">
        <f t="shared" si="57"/>
        <v>0.42167428092880394</v>
      </c>
      <c r="AF210" s="12">
        <f t="shared" si="58"/>
        <v>0.112</v>
      </c>
      <c r="AG210" s="12">
        <f t="shared" si="59"/>
        <v>0.10224</v>
      </c>
      <c r="AH210" s="10">
        <f t="shared" si="60"/>
        <v>0.86103581703464693</v>
      </c>
      <c r="AI210" s="10">
        <f t="shared" si="61"/>
        <v>0.51121844878433298</v>
      </c>
      <c r="AJ210" s="13">
        <f t="shared" si="62"/>
        <v>0.86103581703464693</v>
      </c>
      <c r="AK210" s="13">
        <f t="shared" si="63"/>
        <v>0.51121844878433298</v>
      </c>
    </row>
    <row r="211" spans="1:37">
      <c r="A211" s="8">
        <f>鋼床鈑!A211</f>
        <v>209</v>
      </c>
      <c r="B211" s="47" t="s">
        <v>41</v>
      </c>
      <c r="C211" s="47" t="s">
        <v>42</v>
      </c>
      <c r="D211" s="47" t="s">
        <v>309</v>
      </c>
      <c r="E211" s="48">
        <v>370200</v>
      </c>
      <c r="F211" s="49">
        <v>127370.12270000001</v>
      </c>
      <c r="G211" s="49">
        <v>88399.1011</v>
      </c>
      <c r="H211" s="49">
        <v>431046094522.45599</v>
      </c>
      <c r="I211" s="49">
        <v>511218448784.33301</v>
      </c>
      <c r="J211" s="49">
        <v>861035817034.64697</v>
      </c>
      <c r="K211" s="49">
        <v>3243.0708</v>
      </c>
      <c r="L211" s="49">
        <v>3206.9292</v>
      </c>
      <c r="M211" s="49">
        <v>1089.1252999999999</v>
      </c>
      <c r="N211" s="49">
        <v>1746.8747000000001</v>
      </c>
      <c r="O211" s="48">
        <v>0</v>
      </c>
      <c r="P211" s="48">
        <v>0</v>
      </c>
      <c r="Q211" s="48">
        <v>24558</v>
      </c>
      <c r="R211" s="48">
        <v>18434</v>
      </c>
      <c r="S211" s="11">
        <f>(鋼床鈑!F211+鋼床鈑!N211+鋼床鈑!O211)*鋼床鈑!L211+(鋼床鈑!I211+鋼床鈑!N211+鋼床鈑!O211)*鋼床鈑!M211</f>
        <v>102240</v>
      </c>
      <c r="T211" s="11">
        <f>(鋼床鈑!K211)*鋼床鈑!N211+(鋼床鈑!K211)*鋼床鈑!O211</f>
        <v>112000</v>
      </c>
      <c r="U211" s="11">
        <f>4*((鋼床鈑!I211+鋼床鈑!N211/2+鋼床鈑!O211/2)*(鋼床鈑!K211+鋼床鈑!L211/2+鋼床鈑!M211/2))^2/((鋼床鈑!F211+鋼床鈑!N211/2+鋼床鈑!O211/2)/鋼床鈑!L211+(鋼床鈑!I211+鋼床鈑!N211/2+鋼床鈑!O211/2)/鋼床鈑!M211+(鋼床鈑!K211+鋼床鈑!L211/2+鋼床鈑!M211/2)/鋼床鈑!N211+(鋼床鈑!K211+鋼床鈑!L211/2+鋼床鈑!M211/2)/鋼床鈑!O211)</f>
        <v>421674280928.80396</v>
      </c>
      <c r="V211" s="12">
        <f t="shared" si="50"/>
        <v>0.26849230629558235</v>
      </c>
      <c r="W211" s="12">
        <f t="shared" si="51"/>
        <v>0.2655001602292022</v>
      </c>
      <c r="X211" s="12">
        <f t="shared" si="52"/>
        <v>0.46938442141077158</v>
      </c>
      <c r="Y211" s="12">
        <f t="shared" si="53"/>
        <v>0.29264746279989801</v>
      </c>
      <c r="Z211" s="12">
        <f t="shared" si="48"/>
        <v>1.5250792125760804</v>
      </c>
      <c r="AA211" s="12">
        <f t="shared" si="49"/>
        <v>1.1751276684832279</v>
      </c>
      <c r="AB211" s="10">
        <f t="shared" si="54"/>
        <v>2.8359999999999999</v>
      </c>
      <c r="AC211" s="10">
        <f t="shared" si="55"/>
        <v>6.45</v>
      </c>
      <c r="AD211" s="10">
        <f t="shared" si="56"/>
        <v>0.37019999999999997</v>
      </c>
      <c r="AE211" s="12">
        <f t="shared" si="57"/>
        <v>0.42167428092880394</v>
      </c>
      <c r="AF211" s="12">
        <f t="shared" si="58"/>
        <v>0.112</v>
      </c>
      <c r="AG211" s="12">
        <f t="shared" si="59"/>
        <v>0.10224</v>
      </c>
      <c r="AH211" s="10">
        <f t="shared" si="60"/>
        <v>0.86103581703464693</v>
      </c>
      <c r="AI211" s="10">
        <f t="shared" si="61"/>
        <v>0.51121844878433298</v>
      </c>
      <c r="AJ211" s="13">
        <f t="shared" si="62"/>
        <v>0.86103581703464693</v>
      </c>
      <c r="AK211" s="13">
        <f t="shared" si="63"/>
        <v>0.51121844878433298</v>
      </c>
    </row>
    <row r="212" spans="1:37">
      <c r="A212" s="8"/>
    </row>
    <row r="213" spans="1:37">
      <c r="A213" s="8"/>
    </row>
    <row r="214" spans="1:37">
      <c r="A214" s="8"/>
    </row>
    <row r="215" spans="1:37">
      <c r="A215" s="8"/>
    </row>
    <row r="216" spans="1:37">
      <c r="A216" s="8"/>
    </row>
    <row r="217" spans="1:37">
      <c r="A217" s="8"/>
    </row>
    <row r="218" spans="1:37">
      <c r="A218" s="8"/>
    </row>
    <row r="219" spans="1:37">
      <c r="A219" s="8"/>
    </row>
    <row r="220" spans="1:37">
      <c r="A220" s="8"/>
    </row>
    <row r="221" spans="1:37">
      <c r="A221" s="8"/>
    </row>
    <row r="222" spans="1:37">
      <c r="A222" s="8"/>
    </row>
    <row r="223" spans="1:37">
      <c r="A223" s="8"/>
    </row>
    <row r="224" spans="1:37">
      <c r="A224" s="8"/>
    </row>
    <row r="225" spans="1:1">
      <c r="A225" s="8"/>
    </row>
    <row r="226" spans="1:1">
      <c r="A226" s="8"/>
    </row>
    <row r="227" spans="1:1">
      <c r="A227" s="8"/>
    </row>
    <row r="228" spans="1:1">
      <c r="A228" s="8"/>
    </row>
    <row r="229" spans="1:1">
      <c r="A229" s="8"/>
    </row>
    <row r="230" spans="1:1">
      <c r="A230" s="8"/>
    </row>
    <row r="231" spans="1:1">
      <c r="A231" s="8"/>
    </row>
    <row r="232" spans="1:1">
      <c r="A232" s="8"/>
    </row>
    <row r="233" spans="1:1">
      <c r="A233" s="8"/>
    </row>
  </sheetData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具名範圍</vt:lpstr>
      </vt:variant>
      <vt:variant>
        <vt:i4>3</vt:i4>
      </vt:variant>
    </vt:vector>
  </HeadingPairs>
  <TitlesOfParts>
    <vt:vector size="6" baseType="lpstr">
      <vt:lpstr>鋼床鈑</vt:lpstr>
      <vt:lpstr>加勁鈑</vt:lpstr>
      <vt:lpstr>斷面性質</vt:lpstr>
      <vt:lpstr>底版加勁鈑配置</vt:lpstr>
      <vt:lpstr>頂版加勁鈑配置</vt:lpstr>
      <vt:lpstr>斷面參數</vt:lpstr>
    </vt:vector>
  </TitlesOfParts>
  <Manager/>
  <Company>GrapeCity,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 第一結構部 魏星池(華光借調)</dc:creator>
  <cp:lastModifiedBy>SA 第一結構部 魏星池(華光借調)</cp:lastModifiedBy>
  <dcterms:created xsi:type="dcterms:W3CDTF">2025-02-17T09:04:16Z</dcterms:created>
  <dcterms:modified xsi:type="dcterms:W3CDTF">2025-02-20T02:02:05Z</dcterms:modified>
</cp:coreProperties>
</file>